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mac/Documents/DIX Y/SOMIDA/SIMP/sxmxdxSimp/data/"/>
    </mc:Choice>
  </mc:AlternateContent>
  <xr:revisionPtr revIDLastSave="0" documentId="13_ncr:1_{11E8CBF0-86B7-9D4B-ADFC-17345BFE616A}" xr6:coauthVersionLast="47" xr6:coauthVersionMax="47" xr10:uidLastSave="{00000000-0000-0000-0000-000000000000}"/>
  <bookViews>
    <workbookView xWindow="0" yWindow="600" windowWidth="28800" windowHeight="16100" activeTab="6" xr2:uid="{00000000-000D-0000-FFFF-FFFF00000000}"/>
  </bookViews>
  <sheets>
    <sheet name="Donnees SOMIDA" sheetId="1" r:id="rId1"/>
    <sheet name="Employes" sheetId="2" r:id="rId2"/>
    <sheet name="Production" sheetId="3" r:id="rId3"/>
    <sheet name="Charges" sheetId="4" r:id="rId4"/>
    <sheet name="Exportations" sheetId="5" r:id="rId5"/>
    <sheet name="Frais Export" sheetId="6" r:id="rId6"/>
    <sheet name="Synthes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5" i="7" l="1"/>
  <c r="M5" i="7"/>
  <c r="L5" i="7"/>
  <c r="K5" i="7"/>
  <c r="J5" i="7"/>
  <c r="I5" i="7"/>
  <c r="H5" i="7"/>
  <c r="G5" i="7"/>
  <c r="F5" i="7"/>
  <c r="E5" i="7"/>
  <c r="D5" i="7"/>
  <c r="O5" i="7" s="1"/>
  <c r="C5" i="7"/>
  <c r="N4" i="7"/>
  <c r="M4" i="7"/>
  <c r="L4" i="7"/>
  <c r="K4" i="7"/>
  <c r="J4" i="7"/>
  <c r="I4" i="7"/>
  <c r="H4" i="7"/>
  <c r="G4" i="7"/>
  <c r="O4" i="7" s="1"/>
  <c r="F4" i="7"/>
  <c r="E4" i="7"/>
  <c r="D4" i="7"/>
  <c r="C4" i="7"/>
  <c r="N3" i="7"/>
  <c r="M3" i="7"/>
  <c r="L3" i="7"/>
  <c r="K3" i="7"/>
  <c r="J3" i="7"/>
  <c r="I3" i="7"/>
  <c r="H3" i="7"/>
  <c r="G3" i="7"/>
  <c r="F3" i="7"/>
  <c r="E3" i="7"/>
  <c r="D3" i="7"/>
  <c r="C3" i="7"/>
  <c r="N2" i="7"/>
  <c r="M2" i="7"/>
  <c r="M6" i="7" s="1"/>
  <c r="M7" i="7" s="1"/>
  <c r="L2" i="7"/>
  <c r="L6" i="7" s="1"/>
  <c r="L7" i="7" s="1"/>
  <c r="K2" i="7"/>
  <c r="K6" i="7" s="1"/>
  <c r="K7" i="7" s="1"/>
  <c r="J2" i="7"/>
  <c r="I2" i="7"/>
  <c r="H2" i="7"/>
  <c r="G2" i="7"/>
  <c r="F2" i="7"/>
  <c r="E2" i="7"/>
  <c r="E6" i="7" s="1"/>
  <c r="E7" i="7" s="1"/>
  <c r="D2" i="7"/>
  <c r="D6" i="7" s="1"/>
  <c r="D7" i="7" s="1"/>
  <c r="C2" i="7"/>
  <c r="C6" i="7" s="1"/>
  <c r="M5" i="5"/>
  <c r="J5" i="5"/>
  <c r="G5" i="5"/>
  <c r="D5" i="5"/>
  <c r="A5" i="5"/>
  <c r="J6" i="7" l="1"/>
  <c r="J7" i="7" s="1"/>
  <c r="F6" i="7"/>
  <c r="F7" i="7" s="1"/>
  <c r="N6" i="7"/>
  <c r="N7" i="7" s="1"/>
  <c r="G6" i="7"/>
  <c r="G7" i="7" s="1"/>
  <c r="H6" i="7"/>
  <c r="H7" i="7" s="1"/>
  <c r="O3" i="7"/>
  <c r="I6" i="7"/>
  <c r="I7" i="7" s="1"/>
  <c r="C7" i="7"/>
  <c r="O2" i="7"/>
  <c r="O6" i="7" l="1"/>
  <c r="O7" i="7"/>
</calcChain>
</file>

<file path=xl/sharedStrings.xml><?xml version="1.0" encoding="utf-8"?>
<sst xmlns="http://schemas.openxmlformats.org/spreadsheetml/2006/main" count="946" uniqueCount="220">
  <si>
    <t>DONNEES SOMIDA - PARAMETRES ET REFERENTIELS</t>
  </si>
  <si>
    <t>Paramètre</t>
  </si>
  <si>
    <t>Valeur</t>
  </si>
  <si>
    <t>Unité / devise</t>
  </si>
  <si>
    <t>Commentaire</t>
  </si>
  <si>
    <t>Exercice</t>
  </si>
  <si>
    <t>année</t>
  </si>
  <si>
    <t>Exercice budgétaire</t>
  </si>
  <si>
    <t>Inflation annuelle</t>
  </si>
  <si>
    <t>%</t>
  </si>
  <si>
    <t>Hypothèse budgétaire</t>
  </si>
  <si>
    <t>Taux USD/MGA</t>
  </si>
  <si>
    <t>MGA/USD</t>
  </si>
  <si>
    <t>Hypothèse de change</t>
  </si>
  <si>
    <t>Taux JPY/MGA</t>
  </si>
  <si>
    <t>MGA/JPY</t>
  </si>
  <si>
    <t>Augmentation salariale</t>
  </si>
  <si>
    <t>Hypothèse RH</t>
  </si>
  <si>
    <t>TVA</t>
  </si>
  <si>
    <t>Paramètre fiscal</t>
  </si>
  <si>
    <t>Site principal</t>
  </si>
  <si>
    <t>FORT DAUPHIN</t>
  </si>
  <si>
    <t>Administration / export</t>
  </si>
  <si>
    <t>Site production</t>
  </si>
  <si>
    <t>AMPANDRANDAVA</t>
  </si>
  <si>
    <t>Production</t>
  </si>
  <si>
    <t>MARCHES EXPORT</t>
  </si>
  <si>
    <t>Pays</t>
  </si>
  <si>
    <t>Entité représentatrice</t>
  </si>
  <si>
    <t>Devise</t>
  </si>
  <si>
    <t>Observation</t>
  </si>
  <si>
    <t>Japon</t>
  </si>
  <si>
    <t>GOODEIS</t>
  </si>
  <si>
    <t>JPY</t>
  </si>
  <si>
    <t>Relation export issue de la correction utilisateur</t>
  </si>
  <si>
    <t>Russie</t>
  </si>
  <si>
    <t>ELINAR</t>
  </si>
  <si>
    <t>USD</t>
  </si>
  <si>
    <t>Chine</t>
  </si>
  <si>
    <t>REPRESENTANT CHINE - A VALIDER</t>
  </si>
  <si>
    <t>Nom exact à confirmer depuis Données SOMIDA</t>
  </si>
  <si>
    <t>Matricule</t>
  </si>
  <si>
    <t>Nom simulé</t>
  </si>
  <si>
    <t>Site</t>
  </si>
  <si>
    <t>Département</t>
  </si>
  <si>
    <t>Poste</t>
  </si>
  <si>
    <t>Salaire base mensuel (MGA)</t>
  </si>
  <si>
    <t>Prime mensuelle (MGA)</t>
  </si>
  <si>
    <t>Charges patronales (MGA)</t>
  </si>
  <si>
    <t>Coût mensuel total (MGA)</t>
  </si>
  <si>
    <t>Statut</t>
  </si>
  <si>
    <t>EMP-001</t>
  </si>
  <si>
    <t>RABE Hery</t>
  </si>
  <si>
    <t>Direction</t>
  </si>
  <si>
    <t>Directeur Général</t>
  </si>
  <si>
    <t>Actif</t>
  </si>
  <si>
    <t>EMP-002</t>
  </si>
  <si>
    <t>RAKOTO Miora</t>
  </si>
  <si>
    <t>DAF</t>
  </si>
  <si>
    <t>EMP-003</t>
  </si>
  <si>
    <t>ANDRIA Fanja</t>
  </si>
  <si>
    <t>Finance</t>
  </si>
  <si>
    <t>Chef comptable</t>
  </si>
  <si>
    <t>EMP-004</t>
  </si>
  <si>
    <t>RAZAFY Toky</t>
  </si>
  <si>
    <t>Comptable</t>
  </si>
  <si>
    <t>EMP-005</t>
  </si>
  <si>
    <t>RANDRIA Nirina</t>
  </si>
  <si>
    <t>Assistant comptable</t>
  </si>
  <si>
    <t>EMP-006</t>
  </si>
  <si>
    <t>RATSIM Lova</t>
  </si>
  <si>
    <t>RH</t>
  </si>
  <si>
    <t>Responsable RH</t>
  </si>
  <si>
    <t>EMP-007</t>
  </si>
  <si>
    <t>RAJAO Aina</t>
  </si>
  <si>
    <t>Commercial</t>
  </si>
  <si>
    <t>Responsable commercial export</t>
  </si>
  <si>
    <t>EMP-008</t>
  </si>
  <si>
    <t>RAMAN Tiana</t>
  </si>
  <si>
    <t>Agent export</t>
  </si>
  <si>
    <t>EMP-009</t>
  </si>
  <si>
    <t>RAKOTON Zo</t>
  </si>
  <si>
    <t>Responsable production</t>
  </si>
  <si>
    <t>EMP-010</t>
  </si>
  <si>
    <t>RAZAN Mamy</t>
  </si>
  <si>
    <t>Chef d'atelier</t>
  </si>
  <si>
    <t>EMP-011</t>
  </si>
  <si>
    <t>Contrôleur qualité</t>
  </si>
  <si>
    <t>EMP-012</t>
  </si>
  <si>
    <t>TRANOMARO</t>
  </si>
  <si>
    <t>Opérateur traitement</t>
  </si>
  <si>
    <t>EMP-013</t>
  </si>
  <si>
    <t>Coupeuse / trieuse</t>
  </si>
  <si>
    <t>EMP-014</t>
  </si>
  <si>
    <t>AMBOASARY</t>
  </si>
  <si>
    <t>Logistique</t>
  </si>
  <si>
    <t>Responsable logistique</t>
  </si>
  <si>
    <t>EMP-015</t>
  </si>
  <si>
    <t>Magasinier</t>
  </si>
  <si>
    <t>EMP-016</t>
  </si>
  <si>
    <t>Maintenance</t>
  </si>
  <si>
    <t>Technicien maintenance</t>
  </si>
  <si>
    <t>EMP-017</t>
  </si>
  <si>
    <t>Sécurité</t>
  </si>
  <si>
    <t>Agent de sécurité</t>
  </si>
  <si>
    <t>EMP-018</t>
  </si>
  <si>
    <t>Administration</t>
  </si>
  <si>
    <t>Assistant administratif</t>
  </si>
  <si>
    <t>EMP-019</t>
  </si>
  <si>
    <t>EMP-020</t>
  </si>
  <si>
    <t>EMP-021</t>
  </si>
  <si>
    <t>EMP-022</t>
  </si>
  <si>
    <t>EMP-023</t>
  </si>
  <si>
    <t>EMP-024</t>
  </si>
  <si>
    <t>EMP-025</t>
  </si>
  <si>
    <t>EMP-026</t>
  </si>
  <si>
    <t>EMP-027</t>
  </si>
  <si>
    <t>EMP-028</t>
  </si>
  <si>
    <t>EMP-029</t>
  </si>
  <si>
    <t>EMP-030</t>
  </si>
  <si>
    <t>EMP-031</t>
  </si>
  <si>
    <t>EMP-032</t>
  </si>
  <si>
    <t>EMP-033</t>
  </si>
  <si>
    <t>EMP-034</t>
  </si>
  <si>
    <t>EMP-035</t>
  </si>
  <si>
    <t>EMP-036</t>
  </si>
  <si>
    <t>EMP-037</t>
  </si>
  <si>
    <t>EMP-038</t>
  </si>
  <si>
    <t>EMP-039</t>
  </si>
  <si>
    <t>EMP-040</t>
  </si>
  <si>
    <t>EMP-041</t>
  </si>
  <si>
    <t>EMP-042</t>
  </si>
  <si>
    <t>EMP-043</t>
  </si>
  <si>
    <t>EMP-044</t>
  </si>
  <si>
    <t>EMP-045</t>
  </si>
  <si>
    <t>EMP-046</t>
  </si>
  <si>
    <t>EMP-047</t>
  </si>
  <si>
    <t>EMP-048</t>
  </si>
  <si>
    <t>EMP-049</t>
  </si>
  <si>
    <t>EMP-050</t>
  </si>
  <si>
    <t>EMP-051</t>
  </si>
  <si>
    <t>EMP-052</t>
  </si>
  <si>
    <t>EMP-053</t>
  </si>
  <si>
    <t>EMP-054</t>
  </si>
  <si>
    <t>EMP-055</t>
  </si>
  <si>
    <t>EMP-056</t>
  </si>
  <si>
    <t>EMP-057</t>
  </si>
  <si>
    <t>EMP-058</t>
  </si>
  <si>
    <t>EMP-059</t>
  </si>
  <si>
    <t>EMP-060</t>
  </si>
  <si>
    <t>Produit</t>
  </si>
  <si>
    <t>Unité</t>
  </si>
  <si>
    <t>Janvier</t>
  </si>
  <si>
    <t>Février</t>
  </si>
  <si>
    <t>Mars</t>
  </si>
  <si>
    <t>Avril</t>
  </si>
  <si>
    <t>Mai</t>
  </si>
  <si>
    <t>Juin</t>
  </si>
  <si>
    <t>Juillet</t>
  </si>
  <si>
    <t>Août</t>
  </si>
  <si>
    <t>Septembre</t>
  </si>
  <si>
    <t>Octobre</t>
  </si>
  <si>
    <t>Novembre</t>
  </si>
  <si>
    <t>Décembre</t>
  </si>
  <si>
    <t>Total annuel</t>
  </si>
  <si>
    <t>ABR COUPE</t>
  </si>
  <si>
    <t>tonnes</t>
  </si>
  <si>
    <t>FP1 COUPE</t>
  </si>
  <si>
    <t>FP2 COUPE</t>
  </si>
  <si>
    <t>TRA</t>
  </si>
  <si>
    <t>BSA</t>
  </si>
  <si>
    <t>Catégorie</t>
  </si>
  <si>
    <t>Nature</t>
  </si>
  <si>
    <t>PRODUCTION</t>
  </si>
  <si>
    <t>Matières et consommables</t>
  </si>
  <si>
    <t>MGA</t>
  </si>
  <si>
    <t>Énergie / électricité</t>
  </si>
  <si>
    <t>Traitement mica</t>
  </si>
  <si>
    <t>Maintenance équipements</t>
  </si>
  <si>
    <t>Emballages</t>
  </si>
  <si>
    <t>ADMINISTRATION</t>
  </si>
  <si>
    <t>Télécommunications / Internet</t>
  </si>
  <si>
    <t>Assurances</t>
  </si>
  <si>
    <t>Honoraires et conseil</t>
  </si>
  <si>
    <t>LOGISTIQUE</t>
  </si>
  <si>
    <t>Transport interne</t>
  </si>
  <si>
    <t>Magasinage / manutention</t>
  </si>
  <si>
    <t>FISCAL</t>
  </si>
  <si>
    <t>Impôts et taxes</t>
  </si>
  <si>
    <t>FINANCE</t>
  </si>
  <si>
    <t>Frais bancaires</t>
  </si>
  <si>
    <t>SECURITE</t>
  </si>
  <si>
    <t>Gardiennage / sécurité</t>
  </si>
  <si>
    <t>SOMIDA — TABLEAU DE BORD DES EXPORTATIONS 2024</t>
  </si>
  <si>
    <t>Pilotage DAF • Japon / Russie / Chine • Suivi mensuel des volumes, devises et chiffre d’affaires</t>
  </si>
  <si>
    <t>VOLUME EXPORTÉ (t)</t>
  </si>
  <si>
    <t>CA EXPORT (MGA)</t>
  </si>
  <si>
    <t>CA JAPON (MGA)</t>
  </si>
  <si>
    <t>CA RUSSIE (MGA)</t>
  </si>
  <si>
    <t>CA CHINE (MGA)</t>
  </si>
  <si>
    <t>MARCHÉS / DEVISES</t>
  </si>
  <si>
    <t>3 pays • JPY / USD</t>
  </si>
  <si>
    <t>DÉTAIL MENSUEL DES EXPORTATIONS PAR MARCHÉ, REPRÉSENTANT ET PRODUIT</t>
  </si>
  <si>
    <t>Indicateur</t>
  </si>
  <si>
    <t>Quantité exportée</t>
  </si>
  <si>
    <t>Chiffre d'affaires devise</t>
  </si>
  <si>
    <t>Chiffre d'affaires MGA</t>
  </si>
  <si>
    <t>Nature frais</t>
  </si>
  <si>
    <t>Transport local</t>
  </si>
  <si>
    <t>Transit &amp; documents</t>
  </si>
  <si>
    <t>Manutention portuaire</t>
  </si>
  <si>
    <t>Fret international</t>
  </si>
  <si>
    <t>Assurance transport</t>
  </si>
  <si>
    <t>Frais bancaires export</t>
  </si>
  <si>
    <t>CA export</t>
  </si>
  <si>
    <t>Charges exploitation</t>
  </si>
  <si>
    <t>Frais export</t>
  </si>
  <si>
    <t>Masse salariale</t>
  </si>
  <si>
    <t>Résultat opérationnel</t>
  </si>
  <si>
    <t>Marge opérationnelle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</si>
</sst>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#,##0;[Red]\(#,##0\);\-"/>
    <numFmt numFmtId="166" formatCode="#,##0.00;[Red]\(#,##0.00\);\-"/>
    <numFmt numFmtId="167" formatCode="0.0%;[Red]\(0.0%\);\-"/>
    <numFmt numFmtId="168" formatCode="#,##0.00\ &quot;t&quot;;[Red]\(#,##0.00\);\-"/>
  </numFmts>
  <fonts count="11">
    <font>
      <sz val="11"/>
      <name val="Carlito"/>
    </font>
    <font>
      <b/>
      <sz val="11"/>
      <color rgb="FFFFFFFF"/>
      <name val="Carlito"/>
    </font>
    <font>
      <sz val="11"/>
      <color rgb="FF0000FF"/>
      <name val="Carlito"/>
    </font>
    <font>
      <b/>
      <sz val="16"/>
      <color rgb="FFFFFFFF"/>
      <name val="Carlito"/>
    </font>
    <font>
      <i/>
      <sz val="10"/>
      <color rgb="FF404040"/>
      <name val="Carlito"/>
    </font>
    <font>
      <b/>
      <sz val="9"/>
      <color rgb="FFFFFFFF"/>
      <name val="Carlito"/>
    </font>
    <font>
      <b/>
      <sz val="12"/>
      <color rgb="FF000000"/>
      <name val="Carlito"/>
    </font>
    <font>
      <b/>
      <sz val="10"/>
      <color rgb="FFFFFFFF"/>
      <name val="Carlito"/>
    </font>
    <font>
      <sz val="9"/>
      <name val="Carlito"/>
    </font>
    <font>
      <b/>
      <sz val="9"/>
      <name val="Carlito"/>
    </font>
    <font>
      <b/>
      <sz val="9"/>
      <color rgb="FF000000"/>
      <name val="Carlito"/>
    </font>
  </fonts>
  <fills count="11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7365D"/>
      </patternFill>
    </fill>
    <fill>
      <patternFill patternType="solid">
        <fgColor rgb="FFD9EAF7"/>
      </patternFill>
    </fill>
    <fill>
      <patternFill patternType="solid">
        <fgColor rgb="FF1F4E78"/>
      </patternFill>
    </fill>
    <fill>
      <patternFill patternType="solid">
        <fgColor rgb="FFEAF2F8"/>
      </patternFill>
    </fill>
    <fill>
      <patternFill patternType="solid">
        <fgColor rgb="FF5B9BD5"/>
      </patternFill>
    </fill>
    <fill>
      <patternFill patternType="solid">
        <fgColor rgb="FFF7FBFF"/>
      </patternFill>
    </fill>
    <fill>
      <patternFill patternType="solid">
        <fgColor rgb="FFF9F9F9"/>
      </patternFill>
    </fill>
    <fill>
      <patternFill patternType="solid">
        <fgColor rgb="FFFFF9E8"/>
      </patternFill>
    </fill>
  </fills>
  <borders count="2">
    <border>
      <left/>
      <right/>
      <top/>
      <bottom/>
      <diagonal/>
    </border>
    <border>
      <left/>
      <right/>
      <top style="medium">
        <color rgb="FF17365D"/>
      </top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/>
    <xf numFmtId="164" fontId="2" fillId="0" borderId="0" xfId="0" applyNumberFormat="1" applyFont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5" fillId="7" borderId="0" xfId="0" applyFont="1" applyFill="1" applyAlignment="1">
      <alignment horizontal="center" vertical="center" wrapText="1"/>
    </xf>
    <xf numFmtId="0" fontId="9" fillId="8" borderId="1" xfId="0" applyFont="1" applyFill="1" applyBorder="1" applyAlignment="1">
      <alignment horizontal="left" vertical="center"/>
    </xf>
    <xf numFmtId="0" fontId="8" fillId="8" borderId="1" xfId="0" applyFont="1" applyFill="1" applyBorder="1" applyAlignment="1">
      <alignment horizontal="left" vertical="center"/>
    </xf>
    <xf numFmtId="0" fontId="9" fillId="8" borderId="0" xfId="0" applyFont="1" applyFill="1" applyAlignment="1">
      <alignment horizontal="left" vertical="center"/>
    </xf>
    <xf numFmtId="0" fontId="8" fillId="8" borderId="0" xfId="0" applyFont="1" applyFill="1" applyAlignment="1">
      <alignment horizontal="left" vertical="center"/>
    </xf>
    <xf numFmtId="0" fontId="10" fillId="8" borderId="0" xfId="0" applyFont="1" applyFill="1" applyAlignment="1">
      <alignment horizontal="left" vertical="center"/>
    </xf>
    <xf numFmtId="0" fontId="9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9" fillId="9" borderId="0" xfId="0" applyFont="1" applyFill="1" applyAlignment="1">
      <alignment horizontal="left" vertical="center"/>
    </xf>
    <xf numFmtId="0" fontId="8" fillId="9" borderId="0" xfId="0" applyFont="1" applyFill="1" applyAlignment="1">
      <alignment horizontal="left" vertical="center"/>
    </xf>
    <xf numFmtId="0" fontId="10" fillId="9" borderId="0" xfId="0" applyFont="1" applyFill="1" applyAlignment="1">
      <alignment horizontal="left" vertical="center"/>
    </xf>
    <xf numFmtId="0" fontId="9" fillId="10" borderId="1" xfId="0" applyFont="1" applyFill="1" applyBorder="1" applyAlignment="1">
      <alignment horizontal="left" vertical="center"/>
    </xf>
    <xf numFmtId="0" fontId="8" fillId="10" borderId="1" xfId="0" applyFont="1" applyFill="1" applyBorder="1" applyAlignment="1">
      <alignment horizontal="left" vertical="center"/>
    </xf>
    <xf numFmtId="0" fontId="9" fillId="10" borderId="0" xfId="0" applyFont="1" applyFill="1" applyAlignment="1">
      <alignment horizontal="left" vertical="center"/>
    </xf>
    <xf numFmtId="0" fontId="8" fillId="10" borderId="0" xfId="0" applyFont="1" applyFill="1" applyAlignment="1">
      <alignment horizontal="left" vertical="center"/>
    </xf>
    <xf numFmtId="0" fontId="10" fillId="10" borderId="0" xfId="0" applyFont="1" applyFill="1" applyAlignment="1">
      <alignment horizontal="left" vertical="center"/>
    </xf>
    <xf numFmtId="166" fontId="5" fillId="7" borderId="0" xfId="0" applyNumberFormat="1" applyFont="1" applyFill="1" applyAlignment="1">
      <alignment horizontal="right" vertical="center" wrapText="1"/>
    </xf>
    <xf numFmtId="166" fontId="8" fillId="8" borderId="1" xfId="0" applyNumberFormat="1" applyFont="1" applyFill="1" applyBorder="1" applyAlignment="1">
      <alignment horizontal="right" vertical="center"/>
    </xf>
    <xf numFmtId="166" fontId="8" fillId="8" borderId="0" xfId="0" applyNumberFormat="1" applyFont="1" applyFill="1" applyAlignment="1">
      <alignment horizontal="right" vertical="center"/>
    </xf>
    <xf numFmtId="166" fontId="10" fillId="8" borderId="0" xfId="0" applyNumberFormat="1" applyFont="1" applyFill="1" applyAlignment="1">
      <alignment horizontal="right" vertical="center"/>
    </xf>
    <xf numFmtId="166" fontId="8" fillId="9" borderId="1" xfId="0" applyNumberFormat="1" applyFont="1" applyFill="1" applyBorder="1" applyAlignment="1">
      <alignment horizontal="right" vertical="center"/>
    </xf>
    <xf numFmtId="166" fontId="8" fillId="9" borderId="0" xfId="0" applyNumberFormat="1" applyFont="1" applyFill="1" applyAlignment="1">
      <alignment horizontal="right" vertical="center"/>
    </xf>
    <xf numFmtId="166" fontId="10" fillId="9" borderId="0" xfId="0" applyNumberFormat="1" applyFont="1" applyFill="1" applyAlignment="1">
      <alignment horizontal="right" vertical="center"/>
    </xf>
    <xf numFmtId="166" fontId="8" fillId="10" borderId="1" xfId="0" applyNumberFormat="1" applyFont="1" applyFill="1" applyBorder="1" applyAlignment="1">
      <alignment horizontal="right" vertical="center"/>
    </xf>
    <xf numFmtId="166" fontId="8" fillId="10" borderId="0" xfId="0" applyNumberFormat="1" applyFont="1" applyFill="1" applyAlignment="1">
      <alignment horizontal="right" vertical="center"/>
    </xf>
    <xf numFmtId="166" fontId="10" fillId="10" borderId="0" xfId="0" applyNumberFormat="1" applyFont="1" applyFill="1" applyAlignment="1">
      <alignment horizontal="right" vertical="center"/>
    </xf>
    <xf numFmtId="0" fontId="1" fillId="2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4" fillId="4" borderId="0" xfId="0" applyFont="1" applyFill="1" applyAlignment="1">
      <alignment horizontal="left"/>
    </xf>
    <xf numFmtId="166" fontId="4" fillId="4" borderId="0" xfId="0" applyNumberFormat="1" applyFont="1" applyFill="1" applyAlignment="1">
      <alignment horizontal="left"/>
    </xf>
    <xf numFmtId="0" fontId="5" fillId="5" borderId="0" xfId="0" applyFont="1" applyFill="1" applyAlignment="1">
      <alignment horizontal="center" vertical="center" wrapText="1"/>
    </xf>
    <xf numFmtId="166" fontId="5" fillId="5" borderId="0" xfId="0" applyNumberFormat="1" applyFont="1" applyFill="1" applyAlignment="1">
      <alignment horizontal="center" vertical="center" wrapText="1"/>
    </xf>
    <xf numFmtId="168" fontId="6" fillId="6" borderId="0" xfId="0" applyNumberFormat="1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6" fillId="6" borderId="0" xfId="0" applyNumberFormat="1" applyFont="1" applyFill="1" applyAlignment="1">
      <alignment horizontal="center" vertical="center"/>
    </xf>
    <xf numFmtId="166" fontId="6" fillId="6" borderId="0" xfId="0" applyNumberFormat="1" applyFont="1" applyFill="1" applyAlignment="1">
      <alignment horizontal="center" vertical="center"/>
    </xf>
    <xf numFmtId="0" fontId="7" fillId="3" borderId="0" xfId="0" applyFont="1" applyFill="1" applyAlignment="1">
      <alignment horizontal="left"/>
    </xf>
    <xf numFmtId="166" fontId="7" fillId="3" borderId="0" xfId="0" applyNumberFormat="1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workbookViewId="0">
      <selection sqref="A1:D1"/>
    </sheetView>
  </sheetViews>
  <sheetFormatPr baseColWidth="10" defaultColWidth="8.83203125" defaultRowHeight="14"/>
  <cols>
    <col min="1" max="1" width="28" customWidth="1"/>
    <col min="2" max="2" width="26.1640625" customWidth="1"/>
    <col min="3" max="3" width="11.1640625" customWidth="1"/>
    <col min="4" max="4" width="40" customWidth="1"/>
  </cols>
  <sheetData>
    <row r="1" spans="1:4">
      <c r="A1" s="33" t="s">
        <v>0</v>
      </c>
      <c r="B1" s="33"/>
      <c r="C1" s="33"/>
      <c r="D1" s="33"/>
    </row>
    <row r="2" spans="1:4" ht="30">
      <c r="A2" s="1" t="s">
        <v>1</v>
      </c>
      <c r="B2" s="1" t="s">
        <v>2</v>
      </c>
      <c r="C2" s="1" t="s">
        <v>3</v>
      </c>
      <c r="D2" s="1" t="s">
        <v>4</v>
      </c>
    </row>
    <row r="3" spans="1:4">
      <c r="A3" t="s">
        <v>5</v>
      </c>
      <c r="B3" s="2">
        <v>2024</v>
      </c>
      <c r="C3" t="s">
        <v>6</v>
      </c>
      <c r="D3" t="s">
        <v>7</v>
      </c>
    </row>
    <row r="4" spans="1:4">
      <c r="A4" t="s">
        <v>8</v>
      </c>
      <c r="B4" s="3">
        <v>6.5000000000000002E-2</v>
      </c>
      <c r="C4" t="s">
        <v>9</v>
      </c>
      <c r="D4" t="s">
        <v>10</v>
      </c>
    </row>
    <row r="5" spans="1:4">
      <c r="A5" t="s">
        <v>11</v>
      </c>
      <c r="B5" s="2">
        <v>4450</v>
      </c>
      <c r="C5" t="s">
        <v>12</v>
      </c>
      <c r="D5" t="s">
        <v>13</v>
      </c>
    </row>
    <row r="6" spans="1:4">
      <c r="A6" t="s">
        <v>14</v>
      </c>
      <c r="B6" s="2">
        <v>30.5</v>
      </c>
      <c r="C6" t="s">
        <v>15</v>
      </c>
      <c r="D6" t="s">
        <v>13</v>
      </c>
    </row>
    <row r="7" spans="1:4">
      <c r="A7" t="s">
        <v>16</v>
      </c>
      <c r="B7" s="3">
        <v>7.0000000000000007E-2</v>
      </c>
      <c r="C7" t="s">
        <v>9</v>
      </c>
      <c r="D7" t="s">
        <v>17</v>
      </c>
    </row>
    <row r="8" spans="1:4">
      <c r="A8" t="s">
        <v>18</v>
      </c>
      <c r="B8" s="3">
        <v>0.2</v>
      </c>
      <c r="C8" t="s">
        <v>9</v>
      </c>
      <c r="D8" t="s">
        <v>19</v>
      </c>
    </row>
    <row r="9" spans="1:4">
      <c r="A9" t="s">
        <v>20</v>
      </c>
      <c r="B9" t="s">
        <v>21</v>
      </c>
      <c r="D9" t="s">
        <v>22</v>
      </c>
    </row>
    <row r="10" spans="1:4">
      <c r="A10" t="s">
        <v>23</v>
      </c>
      <c r="B10" t="s">
        <v>24</v>
      </c>
      <c r="D10" t="s">
        <v>25</v>
      </c>
    </row>
    <row r="12" spans="1:4" ht="15">
      <c r="A12" s="1" t="s">
        <v>26</v>
      </c>
      <c r="B12" s="1"/>
      <c r="C12" s="1"/>
      <c r="D12" s="1"/>
    </row>
    <row r="13" spans="1:4" ht="15">
      <c r="A13" s="1" t="s">
        <v>27</v>
      </c>
      <c r="B13" s="1" t="s">
        <v>28</v>
      </c>
      <c r="C13" s="1" t="s">
        <v>29</v>
      </c>
      <c r="D13" s="1" t="s">
        <v>30</v>
      </c>
    </row>
    <row r="14" spans="1:4">
      <c r="A14" t="s">
        <v>31</v>
      </c>
      <c r="B14" t="s">
        <v>32</v>
      </c>
      <c r="C14" t="s">
        <v>33</v>
      </c>
      <c r="D14" t="s">
        <v>34</v>
      </c>
    </row>
    <row r="15" spans="1:4">
      <c r="A15" t="s">
        <v>35</v>
      </c>
      <c r="B15" t="s">
        <v>36</v>
      </c>
      <c r="C15" t="s">
        <v>37</v>
      </c>
      <c r="D15" t="s">
        <v>34</v>
      </c>
    </row>
    <row r="16" spans="1:4">
      <c r="A16" t="s">
        <v>38</v>
      </c>
      <c r="B16" t="s">
        <v>39</v>
      </c>
      <c r="C16" t="s">
        <v>37</v>
      </c>
      <c r="D16" t="s">
        <v>40</v>
      </c>
    </row>
  </sheetData>
  <mergeCells count="1">
    <mergeCell ref="A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1"/>
  <sheetViews>
    <sheetView topLeftCell="A32" workbookViewId="0">
      <selection activeCell="I63" sqref="I63"/>
    </sheetView>
  </sheetViews>
  <sheetFormatPr baseColWidth="10" defaultColWidth="8.83203125" defaultRowHeight="14"/>
  <cols>
    <col min="1" max="1" width="7.83203125" customWidth="1"/>
    <col min="2" max="2" width="18" customWidth="1"/>
    <col min="3" max="3" width="14.6640625" customWidth="1"/>
    <col min="4" max="4" width="11.6640625" customWidth="1"/>
    <col min="5" max="5" width="26" customWidth="1"/>
    <col min="6" max="6" width="22" customWidth="1"/>
    <col min="7" max="7" width="18.6640625" customWidth="1"/>
    <col min="8" max="9" width="20.5" customWidth="1"/>
    <col min="10" max="10" width="5.1640625" customWidth="1"/>
  </cols>
  <sheetData>
    <row r="1" spans="1:10" ht="30">
      <c r="A1" s="1" t="s">
        <v>41</v>
      </c>
      <c r="B1" s="1" t="s">
        <v>42</v>
      </c>
      <c r="C1" s="1" t="s">
        <v>43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48</v>
      </c>
      <c r="I1" s="1" t="s">
        <v>49</v>
      </c>
      <c r="J1" s="1" t="s">
        <v>50</v>
      </c>
    </row>
    <row r="2" spans="1:10">
      <c r="A2" t="s">
        <v>51</v>
      </c>
      <c r="B2" t="s">
        <v>52</v>
      </c>
      <c r="C2" t="s">
        <v>21</v>
      </c>
      <c r="D2" t="s">
        <v>53</v>
      </c>
      <c r="E2" t="s">
        <v>54</v>
      </c>
      <c r="F2" s="4">
        <v>12440000</v>
      </c>
      <c r="G2" s="4">
        <v>1244000</v>
      </c>
      <c r="H2" s="4">
        <v>2239000</v>
      </c>
      <c r="I2" s="4">
        <v>15923000</v>
      </c>
      <c r="J2" t="s">
        <v>55</v>
      </c>
    </row>
    <row r="3" spans="1:10">
      <c r="A3" t="s">
        <v>56</v>
      </c>
      <c r="B3" t="s">
        <v>57</v>
      </c>
      <c r="C3" t="s">
        <v>24</v>
      </c>
      <c r="D3" t="s">
        <v>53</v>
      </c>
      <c r="E3" t="s">
        <v>58</v>
      </c>
      <c r="F3" s="4">
        <v>9320000</v>
      </c>
      <c r="G3" s="4">
        <v>932000</v>
      </c>
      <c r="H3" s="4">
        <v>1678000</v>
      </c>
      <c r="I3" s="4">
        <v>11930000</v>
      </c>
      <c r="J3" t="s">
        <v>55</v>
      </c>
    </row>
    <row r="4" spans="1:10">
      <c r="A4" t="s">
        <v>59</v>
      </c>
      <c r="B4" t="s">
        <v>60</v>
      </c>
      <c r="C4" t="s">
        <v>21</v>
      </c>
      <c r="D4" t="s">
        <v>61</v>
      </c>
      <c r="E4" t="s">
        <v>62</v>
      </c>
      <c r="F4" s="4">
        <v>5310000</v>
      </c>
      <c r="G4" s="4">
        <v>637000</v>
      </c>
      <c r="H4" s="4">
        <v>956000</v>
      </c>
      <c r="I4" s="4">
        <v>6903000</v>
      </c>
      <c r="J4" t="s">
        <v>55</v>
      </c>
    </row>
    <row r="5" spans="1:10">
      <c r="A5" t="s">
        <v>63</v>
      </c>
      <c r="B5" t="s">
        <v>64</v>
      </c>
      <c r="C5" t="s">
        <v>21</v>
      </c>
      <c r="D5" t="s">
        <v>61</v>
      </c>
      <c r="E5" t="s">
        <v>65</v>
      </c>
      <c r="F5" s="4">
        <v>3410000</v>
      </c>
      <c r="G5" s="4">
        <v>273000</v>
      </c>
      <c r="H5" s="4">
        <v>614000</v>
      </c>
      <c r="I5" s="4">
        <v>4297000</v>
      </c>
      <c r="J5" t="s">
        <v>55</v>
      </c>
    </row>
    <row r="6" spans="1:10">
      <c r="A6" t="s">
        <v>66</v>
      </c>
      <c r="B6" t="s">
        <v>67</v>
      </c>
      <c r="C6" t="s">
        <v>24</v>
      </c>
      <c r="D6" t="s">
        <v>61</v>
      </c>
      <c r="E6" t="s">
        <v>68</v>
      </c>
      <c r="F6" s="4">
        <v>2270000</v>
      </c>
      <c r="G6" s="4">
        <v>114000</v>
      </c>
      <c r="H6" s="4">
        <v>409000</v>
      </c>
      <c r="I6" s="4">
        <v>2793000</v>
      </c>
      <c r="J6" t="s">
        <v>55</v>
      </c>
    </row>
    <row r="7" spans="1:10">
      <c r="A7" t="s">
        <v>69</v>
      </c>
      <c r="B7" t="s">
        <v>70</v>
      </c>
      <c r="C7" t="s">
        <v>24</v>
      </c>
      <c r="D7" t="s">
        <v>71</v>
      </c>
      <c r="E7" t="s">
        <v>72</v>
      </c>
      <c r="F7" s="4">
        <v>4750000</v>
      </c>
      <c r="G7" s="4">
        <v>380000</v>
      </c>
      <c r="H7" s="4">
        <v>855000</v>
      </c>
      <c r="I7" s="4">
        <v>5985000</v>
      </c>
      <c r="J7" t="s">
        <v>55</v>
      </c>
    </row>
    <row r="8" spans="1:10">
      <c r="A8" t="s">
        <v>73</v>
      </c>
      <c r="B8" t="s">
        <v>74</v>
      </c>
      <c r="C8" t="s">
        <v>24</v>
      </c>
      <c r="D8" t="s">
        <v>75</v>
      </c>
      <c r="E8" t="s">
        <v>76</v>
      </c>
      <c r="F8" s="4">
        <v>5390000</v>
      </c>
      <c r="G8" s="4">
        <v>431000</v>
      </c>
      <c r="H8" s="4">
        <v>970000</v>
      </c>
      <c r="I8" s="4">
        <v>6791000</v>
      </c>
      <c r="J8" t="s">
        <v>55</v>
      </c>
    </row>
    <row r="9" spans="1:10">
      <c r="A9" t="s">
        <v>77</v>
      </c>
      <c r="B9" t="s">
        <v>78</v>
      </c>
      <c r="C9" t="s">
        <v>24</v>
      </c>
      <c r="D9" t="s">
        <v>75</v>
      </c>
      <c r="E9" t="s">
        <v>79</v>
      </c>
      <c r="F9" s="4">
        <v>3070000</v>
      </c>
      <c r="G9" s="4">
        <v>154000</v>
      </c>
      <c r="H9" s="4">
        <v>553000</v>
      </c>
      <c r="I9" s="4">
        <v>3777000</v>
      </c>
      <c r="J9" t="s">
        <v>55</v>
      </c>
    </row>
    <row r="10" spans="1:10">
      <c r="A10" t="s">
        <v>80</v>
      </c>
      <c r="B10" t="s">
        <v>81</v>
      </c>
      <c r="C10" t="s">
        <v>21</v>
      </c>
      <c r="D10" t="s">
        <v>25</v>
      </c>
      <c r="E10" t="s">
        <v>82</v>
      </c>
      <c r="F10" s="4">
        <v>5310000</v>
      </c>
      <c r="G10" s="4">
        <v>637000</v>
      </c>
      <c r="H10" s="4">
        <v>956000</v>
      </c>
      <c r="I10" s="4">
        <v>6903000</v>
      </c>
      <c r="J10" t="s">
        <v>55</v>
      </c>
    </row>
    <row r="11" spans="1:10">
      <c r="A11" t="s">
        <v>83</v>
      </c>
      <c r="B11" t="s">
        <v>84</v>
      </c>
      <c r="C11" t="s">
        <v>21</v>
      </c>
      <c r="D11" t="s">
        <v>25</v>
      </c>
      <c r="E11" t="s">
        <v>85</v>
      </c>
      <c r="F11" s="4">
        <v>3320000</v>
      </c>
      <c r="G11" s="4">
        <v>332000</v>
      </c>
      <c r="H11" s="4">
        <v>598000</v>
      </c>
      <c r="I11" s="4">
        <v>4250000</v>
      </c>
      <c r="J11" t="s">
        <v>55</v>
      </c>
    </row>
    <row r="12" spans="1:10">
      <c r="A12" t="s">
        <v>86</v>
      </c>
      <c r="B12" t="s">
        <v>52</v>
      </c>
      <c r="C12" t="s">
        <v>21</v>
      </c>
      <c r="D12" t="s">
        <v>25</v>
      </c>
      <c r="E12" t="s">
        <v>87</v>
      </c>
      <c r="F12" s="4">
        <v>2540000</v>
      </c>
      <c r="G12" s="4">
        <v>203000</v>
      </c>
      <c r="H12" s="4">
        <v>457000</v>
      </c>
      <c r="I12" s="4">
        <v>3200000</v>
      </c>
      <c r="J12" t="s">
        <v>55</v>
      </c>
    </row>
    <row r="13" spans="1:10">
      <c r="A13" t="s">
        <v>88</v>
      </c>
      <c r="B13" t="s">
        <v>57</v>
      </c>
      <c r="C13" t="s">
        <v>89</v>
      </c>
      <c r="D13" t="s">
        <v>25</v>
      </c>
      <c r="E13" t="s">
        <v>90</v>
      </c>
      <c r="F13" s="4">
        <v>1680000</v>
      </c>
      <c r="G13" s="4">
        <v>134000</v>
      </c>
      <c r="H13" s="4">
        <v>302000</v>
      </c>
      <c r="I13" s="4">
        <v>2116000</v>
      </c>
      <c r="J13" t="s">
        <v>55</v>
      </c>
    </row>
    <row r="14" spans="1:10">
      <c r="A14" t="s">
        <v>91</v>
      </c>
      <c r="B14" t="s">
        <v>60</v>
      </c>
      <c r="C14" t="s">
        <v>21</v>
      </c>
      <c r="D14" t="s">
        <v>25</v>
      </c>
      <c r="E14" t="s">
        <v>92</v>
      </c>
      <c r="F14" s="4">
        <v>1280000</v>
      </c>
      <c r="G14" s="4">
        <v>102000</v>
      </c>
      <c r="H14" s="4">
        <v>230000</v>
      </c>
      <c r="I14" s="4">
        <v>1612000</v>
      </c>
      <c r="J14" t="s">
        <v>55</v>
      </c>
    </row>
    <row r="15" spans="1:10">
      <c r="A15" t="s">
        <v>93</v>
      </c>
      <c r="B15" t="s">
        <v>64</v>
      </c>
      <c r="C15" t="s">
        <v>94</v>
      </c>
      <c r="D15" t="s">
        <v>95</v>
      </c>
      <c r="E15" t="s">
        <v>96</v>
      </c>
      <c r="F15" s="4">
        <v>3820000</v>
      </c>
      <c r="G15" s="4">
        <v>191000</v>
      </c>
      <c r="H15" s="4">
        <v>688000</v>
      </c>
      <c r="I15" s="4">
        <v>4699000</v>
      </c>
      <c r="J15" t="s">
        <v>55</v>
      </c>
    </row>
    <row r="16" spans="1:10">
      <c r="A16" t="s">
        <v>97</v>
      </c>
      <c r="B16" t="s">
        <v>67</v>
      </c>
      <c r="C16" t="s">
        <v>24</v>
      </c>
      <c r="D16" t="s">
        <v>95</v>
      </c>
      <c r="E16" t="s">
        <v>98</v>
      </c>
      <c r="F16" s="4">
        <v>1590000</v>
      </c>
      <c r="G16" s="4">
        <v>159000</v>
      </c>
      <c r="H16" s="4">
        <v>286000</v>
      </c>
      <c r="I16" s="4">
        <v>2035000</v>
      </c>
      <c r="J16" t="s">
        <v>55</v>
      </c>
    </row>
    <row r="17" spans="1:10">
      <c r="A17" t="s">
        <v>99</v>
      </c>
      <c r="B17" t="s">
        <v>70</v>
      </c>
      <c r="C17" t="s">
        <v>24</v>
      </c>
      <c r="D17" t="s">
        <v>100</v>
      </c>
      <c r="E17" t="s">
        <v>101</v>
      </c>
      <c r="F17" s="4">
        <v>2330000</v>
      </c>
      <c r="G17" s="4">
        <v>280000</v>
      </c>
      <c r="H17" s="4">
        <v>419000</v>
      </c>
      <c r="I17" s="4">
        <v>3029000</v>
      </c>
      <c r="J17" t="s">
        <v>55</v>
      </c>
    </row>
    <row r="18" spans="1:10">
      <c r="A18" t="s">
        <v>102</v>
      </c>
      <c r="B18" t="s">
        <v>74</v>
      </c>
      <c r="C18" t="s">
        <v>21</v>
      </c>
      <c r="D18" t="s">
        <v>103</v>
      </c>
      <c r="E18" t="s">
        <v>104</v>
      </c>
      <c r="F18" s="4">
        <v>1170000</v>
      </c>
      <c r="G18" s="4">
        <v>94000</v>
      </c>
      <c r="H18" s="4">
        <v>211000</v>
      </c>
      <c r="I18" s="4">
        <v>1475000</v>
      </c>
      <c r="J18" t="s">
        <v>55</v>
      </c>
    </row>
    <row r="19" spans="1:10">
      <c r="A19" t="s">
        <v>105</v>
      </c>
      <c r="B19" t="s">
        <v>78</v>
      </c>
      <c r="C19" t="s">
        <v>21</v>
      </c>
      <c r="D19" t="s">
        <v>106</v>
      </c>
      <c r="E19" t="s">
        <v>107</v>
      </c>
      <c r="F19" s="4">
        <v>1890000</v>
      </c>
      <c r="G19" s="4">
        <v>151000</v>
      </c>
      <c r="H19" s="4">
        <v>340000</v>
      </c>
      <c r="I19" s="4">
        <v>2381000</v>
      </c>
      <c r="J19" t="s">
        <v>55</v>
      </c>
    </row>
    <row r="20" spans="1:10">
      <c r="A20" t="s">
        <v>108</v>
      </c>
      <c r="B20" t="s">
        <v>81</v>
      </c>
      <c r="C20" t="s">
        <v>21</v>
      </c>
      <c r="D20" t="s">
        <v>53</v>
      </c>
      <c r="E20" t="s">
        <v>54</v>
      </c>
      <c r="F20" s="4">
        <v>12490000</v>
      </c>
      <c r="G20" s="4">
        <v>999000</v>
      </c>
      <c r="H20" s="4">
        <v>2248000</v>
      </c>
      <c r="I20" s="4">
        <v>15737000</v>
      </c>
      <c r="J20" t="s">
        <v>55</v>
      </c>
    </row>
    <row r="21" spans="1:10">
      <c r="A21" t="s">
        <v>109</v>
      </c>
      <c r="B21" t="s">
        <v>84</v>
      </c>
      <c r="C21" t="s">
        <v>94</v>
      </c>
      <c r="D21" t="s">
        <v>53</v>
      </c>
      <c r="E21" t="s">
        <v>58</v>
      </c>
      <c r="F21" s="4">
        <v>9180000</v>
      </c>
      <c r="G21" s="4">
        <v>918000</v>
      </c>
      <c r="H21" s="4">
        <v>1652000</v>
      </c>
      <c r="I21" s="4">
        <v>11750000</v>
      </c>
      <c r="J21" t="s">
        <v>55</v>
      </c>
    </row>
    <row r="22" spans="1:10">
      <c r="A22" t="s">
        <v>110</v>
      </c>
      <c r="B22" t="s">
        <v>52</v>
      </c>
      <c r="C22" t="s">
        <v>89</v>
      </c>
      <c r="D22" t="s">
        <v>61</v>
      </c>
      <c r="E22" t="s">
        <v>62</v>
      </c>
      <c r="F22" s="4">
        <v>5620000</v>
      </c>
      <c r="G22" s="4">
        <v>674000</v>
      </c>
      <c r="H22" s="4">
        <v>1012000</v>
      </c>
      <c r="I22" s="4">
        <v>7306000</v>
      </c>
      <c r="J22" t="s">
        <v>55</v>
      </c>
    </row>
    <row r="23" spans="1:10">
      <c r="A23" t="s">
        <v>111</v>
      </c>
      <c r="B23" t="s">
        <v>57</v>
      </c>
      <c r="C23" t="s">
        <v>21</v>
      </c>
      <c r="D23" t="s">
        <v>61</v>
      </c>
      <c r="E23" t="s">
        <v>65</v>
      </c>
      <c r="F23" s="4">
        <v>3500000</v>
      </c>
      <c r="G23" s="4">
        <v>280000</v>
      </c>
      <c r="H23" s="4">
        <v>630000</v>
      </c>
      <c r="I23" s="4">
        <v>4410000</v>
      </c>
      <c r="J23" t="s">
        <v>55</v>
      </c>
    </row>
    <row r="24" spans="1:10">
      <c r="A24" t="s">
        <v>112</v>
      </c>
      <c r="B24" t="s">
        <v>60</v>
      </c>
      <c r="C24" t="s">
        <v>21</v>
      </c>
      <c r="D24" t="s">
        <v>61</v>
      </c>
      <c r="E24" t="s">
        <v>68</v>
      </c>
      <c r="F24" s="4">
        <v>2100000</v>
      </c>
      <c r="G24" s="4">
        <v>105000</v>
      </c>
      <c r="H24" s="4">
        <v>378000</v>
      </c>
      <c r="I24" s="4">
        <v>2583000</v>
      </c>
      <c r="J24" t="s">
        <v>55</v>
      </c>
    </row>
    <row r="25" spans="1:10">
      <c r="A25" t="s">
        <v>113</v>
      </c>
      <c r="B25" t="s">
        <v>64</v>
      </c>
      <c r="C25" t="s">
        <v>89</v>
      </c>
      <c r="D25" t="s">
        <v>71</v>
      </c>
      <c r="E25" t="s">
        <v>72</v>
      </c>
      <c r="F25" s="4">
        <v>4640000</v>
      </c>
      <c r="G25" s="4">
        <v>232000</v>
      </c>
      <c r="H25" s="4">
        <v>835000</v>
      </c>
      <c r="I25" s="4">
        <v>5707000</v>
      </c>
      <c r="J25" t="s">
        <v>55</v>
      </c>
    </row>
    <row r="26" spans="1:10">
      <c r="A26" t="s">
        <v>114</v>
      </c>
      <c r="B26" t="s">
        <v>67</v>
      </c>
      <c r="C26" t="s">
        <v>21</v>
      </c>
      <c r="D26" t="s">
        <v>75</v>
      </c>
      <c r="E26" t="s">
        <v>76</v>
      </c>
      <c r="F26" s="4">
        <v>5150000</v>
      </c>
      <c r="G26" s="4">
        <v>412000</v>
      </c>
      <c r="H26" s="4">
        <v>927000</v>
      </c>
      <c r="I26" s="4">
        <v>6489000</v>
      </c>
      <c r="J26" t="s">
        <v>55</v>
      </c>
    </row>
    <row r="27" spans="1:10">
      <c r="A27" t="s">
        <v>115</v>
      </c>
      <c r="B27" t="s">
        <v>70</v>
      </c>
      <c r="C27" t="s">
        <v>21</v>
      </c>
      <c r="D27" t="s">
        <v>75</v>
      </c>
      <c r="E27" t="s">
        <v>79</v>
      </c>
      <c r="F27" s="4">
        <v>2710000</v>
      </c>
      <c r="G27" s="4">
        <v>271000</v>
      </c>
      <c r="H27" s="4">
        <v>488000</v>
      </c>
      <c r="I27" s="4">
        <v>3469000</v>
      </c>
      <c r="J27" t="s">
        <v>55</v>
      </c>
    </row>
    <row r="28" spans="1:10">
      <c r="A28" t="s">
        <v>116</v>
      </c>
      <c r="B28" t="s">
        <v>74</v>
      </c>
      <c r="C28" t="s">
        <v>24</v>
      </c>
      <c r="D28" t="s">
        <v>25</v>
      </c>
      <c r="E28" t="s">
        <v>82</v>
      </c>
      <c r="F28" s="4">
        <v>5170000</v>
      </c>
      <c r="G28" s="4">
        <v>517000</v>
      </c>
      <c r="H28" s="4">
        <v>931000</v>
      </c>
      <c r="I28" s="4">
        <v>6618000</v>
      </c>
      <c r="J28" t="s">
        <v>55</v>
      </c>
    </row>
    <row r="29" spans="1:10">
      <c r="A29" t="s">
        <v>117</v>
      </c>
      <c r="B29" t="s">
        <v>78</v>
      </c>
      <c r="C29" t="s">
        <v>21</v>
      </c>
      <c r="D29" t="s">
        <v>25</v>
      </c>
      <c r="E29" t="s">
        <v>85</v>
      </c>
      <c r="F29" s="4">
        <v>3390000</v>
      </c>
      <c r="G29" s="4">
        <v>407000</v>
      </c>
      <c r="H29" s="4">
        <v>610000</v>
      </c>
      <c r="I29" s="4">
        <v>4407000</v>
      </c>
      <c r="J29" t="s">
        <v>55</v>
      </c>
    </row>
    <row r="30" spans="1:10">
      <c r="A30" t="s">
        <v>118</v>
      </c>
      <c r="B30" t="s">
        <v>81</v>
      </c>
      <c r="C30" t="s">
        <v>21</v>
      </c>
      <c r="D30" t="s">
        <v>25</v>
      </c>
      <c r="E30" t="s">
        <v>87</v>
      </c>
      <c r="F30" s="4">
        <v>2420000</v>
      </c>
      <c r="G30" s="4">
        <v>242000</v>
      </c>
      <c r="H30" s="4">
        <v>436000</v>
      </c>
      <c r="I30" s="4">
        <v>3098000</v>
      </c>
      <c r="J30" t="s">
        <v>55</v>
      </c>
    </row>
    <row r="31" spans="1:10">
      <c r="A31" t="s">
        <v>119</v>
      </c>
      <c r="B31" t="s">
        <v>84</v>
      </c>
      <c r="C31" t="s">
        <v>24</v>
      </c>
      <c r="D31" t="s">
        <v>25</v>
      </c>
      <c r="E31" t="s">
        <v>90</v>
      </c>
      <c r="F31" s="4">
        <v>1720000</v>
      </c>
      <c r="G31" s="4">
        <v>172000</v>
      </c>
      <c r="H31" s="4">
        <v>310000</v>
      </c>
      <c r="I31" s="4">
        <v>2202000</v>
      </c>
      <c r="J31" t="s">
        <v>55</v>
      </c>
    </row>
    <row r="32" spans="1:10">
      <c r="A32" t="s">
        <v>120</v>
      </c>
      <c r="B32" t="s">
        <v>52</v>
      </c>
      <c r="C32" t="s">
        <v>24</v>
      </c>
      <c r="D32" t="s">
        <v>25</v>
      </c>
      <c r="E32" t="s">
        <v>92</v>
      </c>
      <c r="F32" s="4">
        <v>1300000</v>
      </c>
      <c r="G32" s="4">
        <v>104000</v>
      </c>
      <c r="H32" s="4">
        <v>234000</v>
      </c>
      <c r="I32" s="4">
        <v>1638000</v>
      </c>
      <c r="J32" t="s">
        <v>55</v>
      </c>
    </row>
    <row r="33" spans="1:10">
      <c r="A33" t="s">
        <v>121</v>
      </c>
      <c r="B33" t="s">
        <v>57</v>
      </c>
      <c r="C33" t="s">
        <v>21</v>
      </c>
      <c r="D33" t="s">
        <v>95</v>
      </c>
      <c r="E33" t="s">
        <v>96</v>
      </c>
      <c r="F33" s="4">
        <v>3790000</v>
      </c>
      <c r="G33" s="4">
        <v>303000</v>
      </c>
      <c r="H33" s="4">
        <v>682000</v>
      </c>
      <c r="I33" s="4">
        <v>4775000</v>
      </c>
      <c r="J33" t="s">
        <v>55</v>
      </c>
    </row>
    <row r="34" spans="1:10">
      <c r="A34" t="s">
        <v>122</v>
      </c>
      <c r="B34" t="s">
        <v>60</v>
      </c>
      <c r="C34" t="s">
        <v>24</v>
      </c>
      <c r="D34" t="s">
        <v>95</v>
      </c>
      <c r="E34" t="s">
        <v>98</v>
      </c>
      <c r="F34" s="4">
        <v>1720000</v>
      </c>
      <c r="G34" s="4">
        <v>86000</v>
      </c>
      <c r="H34" s="4">
        <v>310000</v>
      </c>
      <c r="I34" s="4">
        <v>2116000</v>
      </c>
      <c r="J34" t="s">
        <v>55</v>
      </c>
    </row>
    <row r="35" spans="1:10">
      <c r="A35" t="s">
        <v>123</v>
      </c>
      <c r="B35" t="s">
        <v>64</v>
      </c>
      <c r="C35" t="s">
        <v>94</v>
      </c>
      <c r="D35" t="s">
        <v>100</v>
      </c>
      <c r="E35" t="s">
        <v>101</v>
      </c>
      <c r="F35" s="4">
        <v>2460000</v>
      </c>
      <c r="G35" s="4">
        <v>295000</v>
      </c>
      <c r="H35" s="4">
        <v>443000</v>
      </c>
      <c r="I35" s="4">
        <v>3198000</v>
      </c>
      <c r="J35" t="s">
        <v>55</v>
      </c>
    </row>
    <row r="36" spans="1:10">
      <c r="A36" t="s">
        <v>124</v>
      </c>
      <c r="B36" t="s">
        <v>67</v>
      </c>
      <c r="C36" t="s">
        <v>21</v>
      </c>
      <c r="D36" t="s">
        <v>103</v>
      </c>
      <c r="E36" t="s">
        <v>104</v>
      </c>
      <c r="F36" s="4">
        <v>1240000</v>
      </c>
      <c r="G36" s="4">
        <v>62000</v>
      </c>
      <c r="H36" s="4">
        <v>223000</v>
      </c>
      <c r="I36" s="4">
        <v>1525000</v>
      </c>
      <c r="J36" t="s">
        <v>55</v>
      </c>
    </row>
    <row r="37" spans="1:10">
      <c r="A37" t="s">
        <v>125</v>
      </c>
      <c r="B37" t="s">
        <v>70</v>
      </c>
      <c r="C37" t="s">
        <v>94</v>
      </c>
      <c r="D37" t="s">
        <v>106</v>
      </c>
      <c r="E37" t="s">
        <v>107</v>
      </c>
      <c r="F37" s="4">
        <v>1760000</v>
      </c>
      <c r="G37" s="4">
        <v>141000</v>
      </c>
      <c r="H37" s="4">
        <v>317000</v>
      </c>
      <c r="I37" s="4">
        <v>2218000</v>
      </c>
      <c r="J37" t="s">
        <v>55</v>
      </c>
    </row>
    <row r="38" spans="1:10">
      <c r="A38" t="s">
        <v>126</v>
      </c>
      <c r="B38" t="s">
        <v>74</v>
      </c>
      <c r="C38" t="s">
        <v>94</v>
      </c>
      <c r="D38" t="s">
        <v>53</v>
      </c>
      <c r="E38" t="s">
        <v>54</v>
      </c>
      <c r="F38" s="4">
        <v>11920000</v>
      </c>
      <c r="G38" s="4">
        <v>596000</v>
      </c>
      <c r="H38" s="4">
        <v>2146000</v>
      </c>
      <c r="I38" s="4">
        <v>14662000</v>
      </c>
      <c r="J38" t="s">
        <v>55</v>
      </c>
    </row>
    <row r="39" spans="1:10">
      <c r="A39" t="s">
        <v>127</v>
      </c>
      <c r="B39" t="s">
        <v>78</v>
      </c>
      <c r="C39" t="s">
        <v>24</v>
      </c>
      <c r="D39" t="s">
        <v>53</v>
      </c>
      <c r="E39" t="s">
        <v>58</v>
      </c>
      <c r="F39" s="4">
        <v>8530000</v>
      </c>
      <c r="G39" s="4">
        <v>1024000</v>
      </c>
      <c r="H39" s="4">
        <v>1535000</v>
      </c>
      <c r="I39" s="4">
        <v>11089000</v>
      </c>
      <c r="J39" t="s">
        <v>55</v>
      </c>
    </row>
    <row r="40" spans="1:10">
      <c r="A40" t="s">
        <v>128</v>
      </c>
      <c r="B40" t="s">
        <v>81</v>
      </c>
      <c r="C40" t="s">
        <v>21</v>
      </c>
      <c r="D40" t="s">
        <v>61</v>
      </c>
      <c r="E40" t="s">
        <v>62</v>
      </c>
      <c r="F40" s="4">
        <v>5390000</v>
      </c>
      <c r="G40" s="4">
        <v>431000</v>
      </c>
      <c r="H40" s="4">
        <v>970000</v>
      </c>
      <c r="I40" s="4">
        <v>6791000</v>
      </c>
      <c r="J40" t="s">
        <v>55</v>
      </c>
    </row>
    <row r="41" spans="1:10">
      <c r="A41" t="s">
        <v>129</v>
      </c>
      <c r="B41" t="s">
        <v>84</v>
      </c>
      <c r="C41" t="s">
        <v>24</v>
      </c>
      <c r="D41" t="s">
        <v>61</v>
      </c>
      <c r="E41" t="s">
        <v>65</v>
      </c>
      <c r="F41" s="4">
        <v>3460000</v>
      </c>
      <c r="G41" s="4">
        <v>173000</v>
      </c>
      <c r="H41" s="4">
        <v>623000</v>
      </c>
      <c r="I41" s="4">
        <v>4256000</v>
      </c>
      <c r="J41" t="s">
        <v>55</v>
      </c>
    </row>
    <row r="42" spans="1:10">
      <c r="A42" t="s">
        <v>130</v>
      </c>
      <c r="B42" t="s">
        <v>52</v>
      </c>
      <c r="C42" t="s">
        <v>21</v>
      </c>
      <c r="D42" t="s">
        <v>61</v>
      </c>
      <c r="E42" t="s">
        <v>68</v>
      </c>
      <c r="F42" s="4">
        <v>2220000</v>
      </c>
      <c r="G42" s="4">
        <v>222000</v>
      </c>
      <c r="H42" s="4">
        <v>400000</v>
      </c>
      <c r="I42" s="4">
        <v>2842000</v>
      </c>
      <c r="J42" t="s">
        <v>55</v>
      </c>
    </row>
    <row r="43" spans="1:10">
      <c r="A43" t="s">
        <v>131</v>
      </c>
      <c r="B43" t="s">
        <v>57</v>
      </c>
      <c r="C43" t="s">
        <v>21</v>
      </c>
      <c r="D43" t="s">
        <v>71</v>
      </c>
      <c r="E43" t="s">
        <v>72</v>
      </c>
      <c r="F43" s="4">
        <v>4250000</v>
      </c>
      <c r="G43" s="4">
        <v>340000</v>
      </c>
      <c r="H43" s="4">
        <v>765000</v>
      </c>
      <c r="I43" s="4">
        <v>5355000</v>
      </c>
      <c r="J43" t="s">
        <v>55</v>
      </c>
    </row>
    <row r="44" spans="1:10">
      <c r="A44" t="s">
        <v>132</v>
      </c>
      <c r="B44" t="s">
        <v>60</v>
      </c>
      <c r="C44" t="s">
        <v>24</v>
      </c>
      <c r="D44" t="s">
        <v>75</v>
      </c>
      <c r="E44" t="s">
        <v>76</v>
      </c>
      <c r="F44" s="4">
        <v>5310000</v>
      </c>
      <c r="G44" s="4">
        <v>425000</v>
      </c>
      <c r="H44" s="4">
        <v>956000</v>
      </c>
      <c r="I44" s="4">
        <v>6691000</v>
      </c>
      <c r="J44" t="s">
        <v>55</v>
      </c>
    </row>
    <row r="45" spans="1:10">
      <c r="A45" t="s">
        <v>133</v>
      </c>
      <c r="B45" t="s">
        <v>64</v>
      </c>
      <c r="C45" t="s">
        <v>21</v>
      </c>
      <c r="D45" t="s">
        <v>75</v>
      </c>
      <c r="E45" t="s">
        <v>79</v>
      </c>
      <c r="F45" s="4">
        <v>2970000</v>
      </c>
      <c r="G45" s="4">
        <v>356000</v>
      </c>
      <c r="H45" s="4">
        <v>535000</v>
      </c>
      <c r="I45" s="4">
        <v>3861000</v>
      </c>
      <c r="J45" t="s">
        <v>55</v>
      </c>
    </row>
    <row r="46" spans="1:10">
      <c r="A46" t="s">
        <v>134</v>
      </c>
      <c r="B46" t="s">
        <v>67</v>
      </c>
      <c r="C46" t="s">
        <v>24</v>
      </c>
      <c r="D46" t="s">
        <v>25</v>
      </c>
      <c r="E46" t="s">
        <v>82</v>
      </c>
      <c r="F46" s="4">
        <v>5040000</v>
      </c>
      <c r="G46" s="4">
        <v>605000</v>
      </c>
      <c r="H46" s="4">
        <v>907000</v>
      </c>
      <c r="I46" s="4">
        <v>6552000</v>
      </c>
      <c r="J46" t="s">
        <v>55</v>
      </c>
    </row>
    <row r="47" spans="1:10">
      <c r="A47" t="s">
        <v>135</v>
      </c>
      <c r="B47" t="s">
        <v>70</v>
      </c>
      <c r="C47" t="s">
        <v>21</v>
      </c>
      <c r="D47" t="s">
        <v>25</v>
      </c>
      <c r="E47" t="s">
        <v>85</v>
      </c>
      <c r="F47" s="4">
        <v>3370000</v>
      </c>
      <c r="G47" s="4">
        <v>270000</v>
      </c>
      <c r="H47" s="4">
        <v>607000</v>
      </c>
      <c r="I47" s="4">
        <v>4247000</v>
      </c>
      <c r="J47" t="s">
        <v>55</v>
      </c>
    </row>
    <row r="48" spans="1:10">
      <c r="A48" t="s">
        <v>136</v>
      </c>
      <c r="B48" t="s">
        <v>74</v>
      </c>
      <c r="C48" t="s">
        <v>24</v>
      </c>
      <c r="D48" t="s">
        <v>25</v>
      </c>
      <c r="E48" t="s">
        <v>87</v>
      </c>
      <c r="F48" s="4">
        <v>2750000</v>
      </c>
      <c r="G48" s="4">
        <v>330000</v>
      </c>
      <c r="H48" s="4">
        <v>495000</v>
      </c>
      <c r="I48" s="4">
        <v>3575000</v>
      </c>
      <c r="J48" t="s">
        <v>55</v>
      </c>
    </row>
    <row r="49" spans="1:10">
      <c r="A49" t="s">
        <v>137</v>
      </c>
      <c r="B49" t="s">
        <v>78</v>
      </c>
      <c r="C49" t="s">
        <v>21</v>
      </c>
      <c r="D49" t="s">
        <v>25</v>
      </c>
      <c r="E49" t="s">
        <v>90</v>
      </c>
      <c r="F49" s="4">
        <v>1600000</v>
      </c>
      <c r="G49" s="4">
        <v>128000</v>
      </c>
      <c r="H49" s="4">
        <v>288000</v>
      </c>
      <c r="I49" s="4">
        <v>2016000</v>
      </c>
      <c r="J49" t="s">
        <v>55</v>
      </c>
    </row>
    <row r="50" spans="1:10">
      <c r="A50" t="s">
        <v>138</v>
      </c>
      <c r="B50" t="s">
        <v>81</v>
      </c>
      <c r="C50" t="s">
        <v>21</v>
      </c>
      <c r="D50" t="s">
        <v>25</v>
      </c>
      <c r="E50" t="s">
        <v>92</v>
      </c>
      <c r="F50" s="4">
        <v>1280000</v>
      </c>
      <c r="G50" s="4">
        <v>102000</v>
      </c>
      <c r="H50" s="4">
        <v>230000</v>
      </c>
      <c r="I50" s="4">
        <v>1612000</v>
      </c>
      <c r="J50" t="s">
        <v>55</v>
      </c>
    </row>
    <row r="51" spans="1:10">
      <c r="A51" t="s">
        <v>139</v>
      </c>
      <c r="B51" t="s">
        <v>84</v>
      </c>
      <c r="C51" t="s">
        <v>21</v>
      </c>
      <c r="D51" t="s">
        <v>95</v>
      </c>
      <c r="E51" t="s">
        <v>96</v>
      </c>
      <c r="F51" s="4">
        <v>4120000</v>
      </c>
      <c r="G51" s="4">
        <v>206000</v>
      </c>
      <c r="H51" s="4">
        <v>742000</v>
      </c>
      <c r="I51" s="4">
        <v>5068000</v>
      </c>
      <c r="J51" t="s">
        <v>55</v>
      </c>
    </row>
    <row r="52" spans="1:10">
      <c r="A52" t="s">
        <v>140</v>
      </c>
      <c r="B52" t="s">
        <v>52</v>
      </c>
      <c r="C52" t="s">
        <v>24</v>
      </c>
      <c r="D52" t="s">
        <v>95</v>
      </c>
      <c r="E52" t="s">
        <v>98</v>
      </c>
      <c r="F52" s="4">
        <v>1520000</v>
      </c>
      <c r="G52" s="4">
        <v>122000</v>
      </c>
      <c r="H52" s="4">
        <v>274000</v>
      </c>
      <c r="I52" s="4">
        <v>1916000</v>
      </c>
      <c r="J52" t="s">
        <v>55</v>
      </c>
    </row>
    <row r="53" spans="1:10">
      <c r="A53" t="s">
        <v>141</v>
      </c>
      <c r="B53" t="s">
        <v>57</v>
      </c>
      <c r="C53" t="s">
        <v>21</v>
      </c>
      <c r="D53" t="s">
        <v>100</v>
      </c>
      <c r="E53" t="s">
        <v>101</v>
      </c>
      <c r="F53" s="4">
        <v>2270000</v>
      </c>
      <c r="G53" s="4">
        <v>114000</v>
      </c>
      <c r="H53" s="4">
        <v>409000</v>
      </c>
      <c r="I53" s="4">
        <v>2793000</v>
      </c>
      <c r="J53" t="s">
        <v>55</v>
      </c>
    </row>
    <row r="54" spans="1:10">
      <c r="A54" t="s">
        <v>142</v>
      </c>
      <c r="B54" t="s">
        <v>60</v>
      </c>
      <c r="C54" t="s">
        <v>24</v>
      </c>
      <c r="D54" t="s">
        <v>103</v>
      </c>
      <c r="E54" t="s">
        <v>104</v>
      </c>
      <c r="F54" s="4">
        <v>1190000</v>
      </c>
      <c r="G54" s="4">
        <v>143000</v>
      </c>
      <c r="H54" s="4">
        <v>214000</v>
      </c>
      <c r="I54" s="4">
        <v>1547000</v>
      </c>
      <c r="J54" t="s">
        <v>55</v>
      </c>
    </row>
    <row r="55" spans="1:10">
      <c r="A55" t="s">
        <v>143</v>
      </c>
      <c r="B55" t="s">
        <v>64</v>
      </c>
      <c r="C55" t="s">
        <v>21</v>
      </c>
      <c r="D55" t="s">
        <v>106</v>
      </c>
      <c r="E55" t="s">
        <v>107</v>
      </c>
      <c r="F55" s="4">
        <v>1760000</v>
      </c>
      <c r="G55" s="4">
        <v>176000</v>
      </c>
      <c r="H55" s="4">
        <v>317000</v>
      </c>
      <c r="I55" s="4">
        <v>2253000</v>
      </c>
      <c r="J55" t="s">
        <v>55</v>
      </c>
    </row>
    <row r="56" spans="1:10">
      <c r="A56" t="s">
        <v>144</v>
      </c>
      <c r="B56" t="s">
        <v>67</v>
      </c>
      <c r="C56" t="s">
        <v>24</v>
      </c>
      <c r="D56" t="s">
        <v>53</v>
      </c>
      <c r="E56" t="s">
        <v>54</v>
      </c>
      <c r="F56" s="4">
        <v>12180000</v>
      </c>
      <c r="G56" s="4">
        <v>1218000</v>
      </c>
      <c r="H56" s="4">
        <v>2192000</v>
      </c>
      <c r="I56" s="4">
        <v>15590000</v>
      </c>
      <c r="J56" t="s">
        <v>55</v>
      </c>
    </row>
    <row r="57" spans="1:10">
      <c r="A57" t="s">
        <v>145</v>
      </c>
      <c r="B57" t="s">
        <v>70</v>
      </c>
      <c r="C57" t="s">
        <v>89</v>
      </c>
      <c r="D57" t="s">
        <v>53</v>
      </c>
      <c r="E57" t="s">
        <v>58</v>
      </c>
      <c r="F57" s="4">
        <v>8510000</v>
      </c>
      <c r="G57" s="4">
        <v>426000</v>
      </c>
      <c r="H57" s="4">
        <v>1532000</v>
      </c>
      <c r="I57" s="4">
        <v>10468000</v>
      </c>
      <c r="J57" t="s">
        <v>55</v>
      </c>
    </row>
    <row r="58" spans="1:10">
      <c r="A58" t="s">
        <v>146</v>
      </c>
      <c r="B58" t="s">
        <v>74</v>
      </c>
      <c r="C58" t="s">
        <v>94</v>
      </c>
      <c r="D58" t="s">
        <v>61</v>
      </c>
      <c r="E58" t="s">
        <v>62</v>
      </c>
      <c r="F58" s="4">
        <v>5490000</v>
      </c>
      <c r="G58" s="4">
        <v>274000</v>
      </c>
      <c r="H58" s="4">
        <v>988000</v>
      </c>
      <c r="I58" s="4">
        <v>6752000</v>
      </c>
      <c r="J58" t="s">
        <v>55</v>
      </c>
    </row>
    <row r="59" spans="1:10">
      <c r="A59" t="s">
        <v>147</v>
      </c>
      <c r="B59" t="s">
        <v>78</v>
      </c>
      <c r="C59" t="s">
        <v>89</v>
      </c>
      <c r="D59" t="s">
        <v>61</v>
      </c>
      <c r="E59" t="s">
        <v>65</v>
      </c>
      <c r="F59" s="4">
        <v>3200000</v>
      </c>
      <c r="G59" s="4">
        <v>160000</v>
      </c>
      <c r="H59" s="4">
        <v>576000</v>
      </c>
      <c r="I59" s="4">
        <v>3936000</v>
      </c>
      <c r="J59" t="s">
        <v>55</v>
      </c>
    </row>
    <row r="60" spans="1:10">
      <c r="A60" t="s">
        <v>148</v>
      </c>
      <c r="B60" t="s">
        <v>81</v>
      </c>
      <c r="C60" t="s">
        <v>24</v>
      </c>
      <c r="D60" t="s">
        <v>61</v>
      </c>
      <c r="E60" t="s">
        <v>68</v>
      </c>
      <c r="F60" s="4">
        <v>2130000</v>
      </c>
      <c r="G60" s="4">
        <v>213000</v>
      </c>
      <c r="H60" s="4">
        <v>383000</v>
      </c>
      <c r="I60" s="4">
        <v>2726000</v>
      </c>
      <c r="J60" t="s">
        <v>55</v>
      </c>
    </row>
    <row r="61" spans="1:10">
      <c r="A61" t="s">
        <v>149</v>
      </c>
      <c r="B61" t="s">
        <v>84</v>
      </c>
      <c r="C61" t="s">
        <v>94</v>
      </c>
      <c r="D61" t="s">
        <v>71</v>
      </c>
      <c r="E61" t="s">
        <v>72</v>
      </c>
      <c r="F61" s="4">
        <v>4300000</v>
      </c>
      <c r="G61" s="4">
        <v>516000</v>
      </c>
      <c r="H61" s="4">
        <v>774000</v>
      </c>
      <c r="I61" s="4">
        <v>5590000</v>
      </c>
      <c r="J61" t="s">
        <v>55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"/>
  <sheetViews>
    <sheetView workbookViewId="0">
      <selection activeCell="J17" sqref="J17"/>
    </sheetView>
  </sheetViews>
  <sheetFormatPr baseColWidth="10" defaultColWidth="8.83203125" defaultRowHeight="14"/>
  <cols>
    <col min="1" max="1" width="14.6640625" customWidth="1"/>
    <col min="2" max="2" width="18" customWidth="1"/>
    <col min="3" max="3" width="5.6640625" customWidth="1"/>
    <col min="4" max="5" width="5.83203125" customWidth="1"/>
    <col min="6" max="6" width="19.6640625" customWidth="1"/>
    <col min="7" max="9" width="4.6640625" customWidth="1"/>
    <col min="10" max="10" width="5" customWidth="1"/>
    <col min="11" max="11" width="4.6640625" customWidth="1"/>
    <col min="12" max="12" width="8.83203125" customWidth="1"/>
    <col min="13" max="13" width="6.6640625" customWidth="1"/>
    <col min="14" max="14" width="8.5" customWidth="1"/>
    <col min="15" max="15" width="8.33203125" customWidth="1"/>
    <col min="16" max="16" width="9.83203125" customWidth="1"/>
  </cols>
  <sheetData>
    <row r="1" spans="1:16" ht="30">
      <c r="A1" s="1" t="s">
        <v>43</v>
      </c>
      <c r="B1" s="1" t="s">
        <v>150</v>
      </c>
      <c r="C1" s="1" t="s">
        <v>151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  <c r="J1" s="1" t="s">
        <v>158</v>
      </c>
      <c r="K1" s="1" t="s">
        <v>159</v>
      </c>
      <c r="L1" s="1" t="s">
        <v>160</v>
      </c>
      <c r="M1" s="1" t="s">
        <v>161</v>
      </c>
      <c r="N1" s="1" t="s">
        <v>162</v>
      </c>
      <c r="O1" s="1" t="s">
        <v>163</v>
      </c>
      <c r="P1" s="1" t="s">
        <v>164</v>
      </c>
    </row>
    <row r="2" spans="1:16">
      <c r="A2" t="s">
        <v>24</v>
      </c>
      <c r="B2" t="s">
        <v>165</v>
      </c>
      <c r="C2" t="s">
        <v>166</v>
      </c>
      <c r="D2" s="5">
        <v>82.32</v>
      </c>
      <c r="E2" s="5">
        <v>75.17</v>
      </c>
      <c r="F2" s="5">
        <v>65.38</v>
      </c>
      <c r="G2" s="5">
        <v>78.56</v>
      </c>
      <c r="H2" s="5">
        <v>64.5</v>
      </c>
      <c r="I2" s="5">
        <v>71.12</v>
      </c>
      <c r="J2" s="5">
        <v>82.55</v>
      </c>
      <c r="K2" s="5">
        <v>72.83</v>
      </c>
      <c r="L2" s="5">
        <v>63.98</v>
      </c>
      <c r="M2" s="5">
        <v>76.17</v>
      </c>
      <c r="N2" s="5">
        <v>81.22</v>
      </c>
      <c r="O2" s="5">
        <v>79.42</v>
      </c>
      <c r="P2" s="5">
        <v>893.22</v>
      </c>
    </row>
    <row r="3" spans="1:16">
      <c r="A3" t="s">
        <v>24</v>
      </c>
      <c r="B3" t="s">
        <v>167</v>
      </c>
      <c r="C3" t="s">
        <v>166</v>
      </c>
      <c r="D3" s="5">
        <v>61.98</v>
      </c>
      <c r="E3" s="5">
        <v>51.81</v>
      </c>
      <c r="F3" s="5">
        <v>49.24</v>
      </c>
      <c r="G3" s="5">
        <v>56.27</v>
      </c>
      <c r="H3" s="5">
        <v>56.66</v>
      </c>
      <c r="I3" s="5">
        <v>50.8</v>
      </c>
      <c r="J3" s="5">
        <v>56.93</v>
      </c>
      <c r="K3" s="5">
        <v>54.42</v>
      </c>
      <c r="L3" s="5">
        <v>62.86</v>
      </c>
      <c r="M3" s="5">
        <v>58.95</v>
      </c>
      <c r="N3" s="5">
        <v>51.69</v>
      </c>
      <c r="O3" s="5">
        <v>56.52</v>
      </c>
      <c r="P3" s="5">
        <v>668.13</v>
      </c>
    </row>
    <row r="4" spans="1:16">
      <c r="A4" t="s">
        <v>24</v>
      </c>
      <c r="B4" t="s">
        <v>168</v>
      </c>
      <c r="C4" t="s">
        <v>166</v>
      </c>
      <c r="D4" s="5">
        <v>52.28</v>
      </c>
      <c r="E4" s="5">
        <v>54.81</v>
      </c>
      <c r="F4" s="5">
        <v>48.69</v>
      </c>
      <c r="G4" s="5">
        <v>44.14</v>
      </c>
      <c r="H4" s="5">
        <v>48.99</v>
      </c>
      <c r="I4" s="5">
        <v>47.14</v>
      </c>
      <c r="J4" s="5">
        <v>49.53</v>
      </c>
      <c r="K4" s="5">
        <v>43.77</v>
      </c>
      <c r="L4" s="5">
        <v>50.56</v>
      </c>
      <c r="M4" s="5">
        <v>44.84</v>
      </c>
      <c r="N4" s="5">
        <v>54.51</v>
      </c>
      <c r="O4" s="5">
        <v>45.48</v>
      </c>
      <c r="P4" s="5">
        <v>584.74</v>
      </c>
    </row>
    <row r="5" spans="1:16">
      <c r="A5" t="s">
        <v>24</v>
      </c>
      <c r="B5" t="s">
        <v>169</v>
      </c>
      <c r="C5" t="s">
        <v>166</v>
      </c>
      <c r="D5" s="5">
        <v>70.69</v>
      </c>
      <c r="E5" s="5">
        <v>66.400000000000006</v>
      </c>
      <c r="F5" s="5">
        <v>63.68</v>
      </c>
      <c r="G5" s="5">
        <v>57.18</v>
      </c>
      <c r="H5" s="5">
        <v>62.68</v>
      </c>
      <c r="I5" s="5">
        <v>60.45</v>
      </c>
      <c r="J5" s="5">
        <v>64.67</v>
      </c>
      <c r="K5" s="5">
        <v>59.42</v>
      </c>
      <c r="L5" s="5">
        <v>70.84</v>
      </c>
      <c r="M5" s="5">
        <v>70.5</v>
      </c>
      <c r="N5" s="5">
        <v>59.4</v>
      </c>
      <c r="O5" s="5">
        <v>70.19</v>
      </c>
      <c r="P5" s="5">
        <v>776.1</v>
      </c>
    </row>
    <row r="6" spans="1:16">
      <c r="A6" t="s">
        <v>24</v>
      </c>
      <c r="B6" t="s">
        <v>170</v>
      </c>
      <c r="C6" t="s">
        <v>166</v>
      </c>
      <c r="D6" s="5">
        <v>43.34</v>
      </c>
      <c r="E6" s="5">
        <v>39.729999999999997</v>
      </c>
      <c r="F6" s="5">
        <v>44.63</v>
      </c>
      <c r="G6" s="5">
        <v>47.76</v>
      </c>
      <c r="H6" s="5">
        <v>42.02</v>
      </c>
      <c r="I6" s="5">
        <v>42.94</v>
      </c>
      <c r="J6" s="5">
        <v>39.299999999999997</v>
      </c>
      <c r="K6" s="5">
        <v>46.54</v>
      </c>
      <c r="L6" s="5">
        <v>38.76</v>
      </c>
      <c r="M6" s="5">
        <v>41.33</v>
      </c>
      <c r="N6" s="5">
        <v>37.82</v>
      </c>
      <c r="O6" s="5">
        <v>40.11</v>
      </c>
      <c r="P6" s="5">
        <v>504.28</v>
      </c>
    </row>
    <row r="7" spans="1:16">
      <c r="A7" t="s">
        <v>21</v>
      </c>
      <c r="B7" t="s">
        <v>165</v>
      </c>
      <c r="C7" t="s">
        <v>166</v>
      </c>
      <c r="D7" s="5">
        <v>76.78</v>
      </c>
      <c r="E7" s="5">
        <v>79.319999999999993</v>
      </c>
      <c r="F7" s="5">
        <v>64.819999999999993</v>
      </c>
      <c r="G7" s="5">
        <v>63.93</v>
      </c>
      <c r="H7" s="5">
        <v>66.680000000000007</v>
      </c>
      <c r="I7" s="5">
        <v>75.040000000000006</v>
      </c>
      <c r="J7" s="5">
        <v>68.33</v>
      </c>
      <c r="K7" s="5">
        <v>75.91</v>
      </c>
      <c r="L7" s="5">
        <v>70.33</v>
      </c>
      <c r="M7" s="5">
        <v>68.010000000000005</v>
      </c>
      <c r="N7" s="5">
        <v>65.89</v>
      </c>
      <c r="O7" s="5">
        <v>81.17</v>
      </c>
      <c r="P7" s="5">
        <v>856.21</v>
      </c>
    </row>
    <row r="8" spans="1:16">
      <c r="A8" t="s">
        <v>21</v>
      </c>
      <c r="B8" t="s">
        <v>167</v>
      </c>
      <c r="C8" t="s">
        <v>166</v>
      </c>
      <c r="D8" s="5">
        <v>63.26</v>
      </c>
      <c r="E8" s="5">
        <v>60.62</v>
      </c>
      <c r="F8" s="5">
        <v>63.27</v>
      </c>
      <c r="G8" s="5">
        <v>57.16</v>
      </c>
      <c r="H8" s="5">
        <v>53.49</v>
      </c>
      <c r="I8" s="5">
        <v>48.36</v>
      </c>
      <c r="J8" s="5">
        <v>59.22</v>
      </c>
      <c r="K8" s="5">
        <v>49.51</v>
      </c>
      <c r="L8" s="5">
        <v>54.29</v>
      </c>
      <c r="M8" s="5">
        <v>52.64</v>
      </c>
      <c r="N8" s="5">
        <v>63.75</v>
      </c>
      <c r="O8" s="5">
        <v>63.07</v>
      </c>
      <c r="P8" s="5">
        <v>688.64</v>
      </c>
    </row>
    <row r="9" spans="1:16">
      <c r="A9" t="s">
        <v>21</v>
      </c>
      <c r="B9" t="s">
        <v>168</v>
      </c>
      <c r="C9" t="s">
        <v>166</v>
      </c>
      <c r="D9" s="5">
        <v>42.38</v>
      </c>
      <c r="E9" s="5">
        <v>49.61</v>
      </c>
      <c r="F9" s="5">
        <v>41.75</v>
      </c>
      <c r="G9" s="5">
        <v>50.5</v>
      </c>
      <c r="H9" s="5">
        <v>45.05</v>
      </c>
      <c r="I9" s="5">
        <v>53.5</v>
      </c>
      <c r="J9" s="5">
        <v>44.01</v>
      </c>
      <c r="K9" s="5">
        <v>53.57</v>
      </c>
      <c r="L9" s="5">
        <v>47.53</v>
      </c>
      <c r="M9" s="5">
        <v>44.05</v>
      </c>
      <c r="N9" s="5">
        <v>48.08</v>
      </c>
      <c r="O9" s="5">
        <v>45.11</v>
      </c>
      <c r="P9" s="5">
        <v>565.14</v>
      </c>
    </row>
    <row r="10" spans="1:16">
      <c r="A10" t="s">
        <v>21</v>
      </c>
      <c r="B10" t="s">
        <v>169</v>
      </c>
      <c r="C10" t="s">
        <v>166</v>
      </c>
      <c r="D10" s="5">
        <v>63.91</v>
      </c>
      <c r="E10" s="5">
        <v>56.96</v>
      </c>
      <c r="F10" s="5">
        <v>60.18</v>
      </c>
      <c r="G10" s="5">
        <v>69.430000000000007</v>
      </c>
      <c r="H10" s="5">
        <v>70.08</v>
      </c>
      <c r="I10" s="5">
        <v>66.349999999999994</v>
      </c>
      <c r="J10" s="5">
        <v>67.42</v>
      </c>
      <c r="K10" s="5">
        <v>59.32</v>
      </c>
      <c r="L10" s="5">
        <v>66.25</v>
      </c>
      <c r="M10" s="5">
        <v>58.2</v>
      </c>
      <c r="N10" s="5">
        <v>67.52</v>
      </c>
      <c r="O10" s="5">
        <v>57.68</v>
      </c>
      <c r="P10" s="5">
        <v>763.3</v>
      </c>
    </row>
    <row r="11" spans="1:16">
      <c r="A11" t="s">
        <v>21</v>
      </c>
      <c r="B11" t="s">
        <v>170</v>
      </c>
      <c r="C11" t="s">
        <v>166</v>
      </c>
      <c r="D11" s="5">
        <v>44.87</v>
      </c>
      <c r="E11" s="5">
        <v>46.3</v>
      </c>
      <c r="F11" s="5">
        <v>44.77</v>
      </c>
      <c r="G11" s="5">
        <v>48.42</v>
      </c>
      <c r="H11" s="5">
        <v>40.39</v>
      </c>
      <c r="I11" s="5">
        <v>40.26</v>
      </c>
      <c r="J11" s="5">
        <v>44.95</v>
      </c>
      <c r="K11" s="5">
        <v>43.01</v>
      </c>
      <c r="L11" s="5">
        <v>45.59</v>
      </c>
      <c r="M11" s="5">
        <v>36.369999999999997</v>
      </c>
      <c r="N11" s="5">
        <v>39.630000000000003</v>
      </c>
      <c r="O11" s="5">
        <v>37.880000000000003</v>
      </c>
      <c r="P11" s="5">
        <v>512.44000000000005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14"/>
  <sheetViews>
    <sheetView workbookViewId="0">
      <selection activeCell="B24" sqref="B24"/>
    </sheetView>
  </sheetViews>
  <sheetFormatPr baseColWidth="10" defaultColWidth="8.83203125" defaultRowHeight="14"/>
  <cols>
    <col min="1" max="1" width="13.6640625" customWidth="1"/>
    <col min="2" max="2" width="28" customWidth="1"/>
    <col min="3" max="3" width="14.6640625" customWidth="1"/>
    <col min="4" max="4" width="4.6640625" customWidth="1"/>
    <col min="5" max="5" width="21" customWidth="1"/>
    <col min="6" max="16" width="9.83203125" customWidth="1"/>
    <col min="17" max="17" width="11.1640625" customWidth="1"/>
  </cols>
  <sheetData>
    <row r="1" spans="1:17" ht="30">
      <c r="A1" s="1" t="s">
        <v>171</v>
      </c>
      <c r="B1" s="1" t="s">
        <v>172</v>
      </c>
      <c r="C1" s="1" t="s">
        <v>43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</row>
    <row r="2" spans="1:17">
      <c r="A2" t="s">
        <v>173</v>
      </c>
      <c r="B2" t="s">
        <v>174</v>
      </c>
      <c r="C2" t="s">
        <v>24</v>
      </c>
      <c r="D2" t="s">
        <v>175</v>
      </c>
      <c r="E2" s="4">
        <v>137291000</v>
      </c>
      <c r="F2" s="4">
        <v>145941000</v>
      </c>
      <c r="G2" s="4">
        <v>160223000</v>
      </c>
      <c r="H2" s="4">
        <v>135503000</v>
      </c>
      <c r="I2" s="4">
        <v>160170000</v>
      </c>
      <c r="J2" s="4">
        <v>132384000</v>
      </c>
      <c r="K2" s="4">
        <v>143134000</v>
      </c>
      <c r="L2" s="4">
        <v>147255000</v>
      </c>
      <c r="M2" s="4">
        <v>132152000</v>
      </c>
      <c r="N2" s="4">
        <v>132332000</v>
      </c>
      <c r="O2" s="4">
        <v>152684000</v>
      </c>
      <c r="P2" s="4">
        <v>136764000</v>
      </c>
      <c r="Q2" s="4">
        <v>1715833000</v>
      </c>
    </row>
    <row r="3" spans="1:17">
      <c r="A3" t="s">
        <v>173</v>
      </c>
      <c r="B3" t="s">
        <v>176</v>
      </c>
      <c r="C3" t="s">
        <v>24</v>
      </c>
      <c r="D3" t="s">
        <v>175</v>
      </c>
      <c r="E3" s="4">
        <v>49896000</v>
      </c>
      <c r="F3" s="4">
        <v>50375000</v>
      </c>
      <c r="G3" s="4">
        <v>54047000</v>
      </c>
      <c r="H3" s="4">
        <v>48614000</v>
      </c>
      <c r="I3" s="4">
        <v>42644000</v>
      </c>
      <c r="J3" s="4">
        <v>44110000</v>
      </c>
      <c r="K3" s="4">
        <v>50795000</v>
      </c>
      <c r="L3" s="4">
        <v>47772000</v>
      </c>
      <c r="M3" s="4">
        <v>45734000</v>
      </c>
      <c r="N3" s="4">
        <v>52881000</v>
      </c>
      <c r="O3" s="4">
        <v>49219000</v>
      </c>
      <c r="P3" s="4">
        <v>53123000</v>
      </c>
      <c r="Q3" s="4">
        <v>589210000</v>
      </c>
    </row>
    <row r="4" spans="1:17">
      <c r="A4" t="s">
        <v>173</v>
      </c>
      <c r="B4" t="s">
        <v>177</v>
      </c>
      <c r="C4" t="s">
        <v>24</v>
      </c>
      <c r="D4" t="s">
        <v>175</v>
      </c>
      <c r="E4" s="4">
        <v>85413000</v>
      </c>
      <c r="F4" s="4">
        <v>86123000</v>
      </c>
      <c r="G4" s="4">
        <v>77975000</v>
      </c>
      <c r="H4" s="4">
        <v>80009000</v>
      </c>
      <c r="I4" s="4">
        <v>90557000</v>
      </c>
      <c r="J4" s="4">
        <v>85235000</v>
      </c>
      <c r="K4" s="4">
        <v>82475000</v>
      </c>
      <c r="L4" s="4">
        <v>79617000</v>
      </c>
      <c r="M4" s="4">
        <v>75401000</v>
      </c>
      <c r="N4" s="4">
        <v>82565000</v>
      </c>
      <c r="O4" s="4">
        <v>92098000</v>
      </c>
      <c r="P4" s="4">
        <v>83465000</v>
      </c>
      <c r="Q4" s="4">
        <v>1000933000</v>
      </c>
    </row>
    <row r="5" spans="1:17">
      <c r="A5" t="s">
        <v>173</v>
      </c>
      <c r="B5" t="s">
        <v>178</v>
      </c>
      <c r="C5" t="s">
        <v>24</v>
      </c>
      <c r="D5" t="s">
        <v>175</v>
      </c>
      <c r="E5" s="4">
        <v>29736000</v>
      </c>
      <c r="F5" s="4">
        <v>31677000</v>
      </c>
      <c r="G5" s="4">
        <v>30771000</v>
      </c>
      <c r="H5" s="4">
        <v>28214000</v>
      </c>
      <c r="I5" s="4">
        <v>34041000</v>
      </c>
      <c r="J5" s="4">
        <v>31545000</v>
      </c>
      <c r="K5" s="4">
        <v>30414000</v>
      </c>
      <c r="L5" s="4">
        <v>33422000</v>
      </c>
      <c r="M5" s="4">
        <v>28813000</v>
      </c>
      <c r="N5" s="4">
        <v>35179000</v>
      </c>
      <c r="O5" s="4">
        <v>33528000</v>
      </c>
      <c r="P5" s="4">
        <v>31860000</v>
      </c>
      <c r="Q5" s="4">
        <v>379200000</v>
      </c>
    </row>
    <row r="6" spans="1:17">
      <c r="A6" t="s">
        <v>173</v>
      </c>
      <c r="B6" t="s">
        <v>179</v>
      </c>
      <c r="C6" t="s">
        <v>21</v>
      </c>
      <c r="D6" t="s">
        <v>175</v>
      </c>
      <c r="E6" s="4">
        <v>22382000</v>
      </c>
      <c r="F6" s="4">
        <v>24134000</v>
      </c>
      <c r="G6" s="4">
        <v>25616000</v>
      </c>
      <c r="H6" s="4">
        <v>22515000</v>
      </c>
      <c r="I6" s="4">
        <v>24945000</v>
      </c>
      <c r="J6" s="4">
        <v>23000000</v>
      </c>
      <c r="K6" s="4">
        <v>24197000</v>
      </c>
      <c r="L6" s="4">
        <v>22936000</v>
      </c>
      <c r="M6" s="4">
        <v>22880000</v>
      </c>
      <c r="N6" s="4">
        <v>21455000</v>
      </c>
      <c r="O6" s="4">
        <v>22386000</v>
      </c>
      <c r="P6" s="4">
        <v>25484000</v>
      </c>
      <c r="Q6" s="4">
        <v>281930000</v>
      </c>
    </row>
    <row r="7" spans="1:17">
      <c r="A7" t="s">
        <v>180</v>
      </c>
      <c r="B7" t="s">
        <v>181</v>
      </c>
      <c r="C7" t="s">
        <v>21</v>
      </c>
      <c r="D7" t="s">
        <v>175</v>
      </c>
      <c r="E7" s="4">
        <v>8007000</v>
      </c>
      <c r="F7" s="4">
        <v>6967000</v>
      </c>
      <c r="G7" s="4">
        <v>8353000</v>
      </c>
      <c r="H7" s="4">
        <v>8113000</v>
      </c>
      <c r="I7" s="4">
        <v>7595000</v>
      </c>
      <c r="J7" s="4">
        <v>8445000</v>
      </c>
      <c r="K7" s="4">
        <v>6787000</v>
      </c>
      <c r="L7" s="4">
        <v>7506000</v>
      </c>
      <c r="M7" s="4">
        <v>7094000</v>
      </c>
      <c r="N7" s="4">
        <v>6701000</v>
      </c>
      <c r="O7" s="4">
        <v>6975000</v>
      </c>
      <c r="P7" s="4">
        <v>6850000</v>
      </c>
      <c r="Q7" s="4">
        <v>89393000</v>
      </c>
    </row>
    <row r="8" spans="1:17">
      <c r="A8" t="s">
        <v>180</v>
      </c>
      <c r="B8" t="s">
        <v>182</v>
      </c>
      <c r="C8" t="s">
        <v>21</v>
      </c>
      <c r="D8" t="s">
        <v>175</v>
      </c>
      <c r="E8" s="4">
        <v>12621000</v>
      </c>
      <c r="F8" s="4">
        <v>12910000</v>
      </c>
      <c r="G8" s="4">
        <v>13878000</v>
      </c>
      <c r="H8" s="4">
        <v>14384000</v>
      </c>
      <c r="I8" s="4">
        <v>11846000</v>
      </c>
      <c r="J8" s="4">
        <v>14216000</v>
      </c>
      <c r="K8" s="4">
        <v>12903000</v>
      </c>
      <c r="L8" s="4">
        <v>11463000</v>
      </c>
      <c r="M8" s="4">
        <v>13629000</v>
      </c>
      <c r="N8" s="4">
        <v>14135000</v>
      </c>
      <c r="O8" s="4">
        <v>13133000</v>
      </c>
      <c r="P8" s="4">
        <v>13763000</v>
      </c>
      <c r="Q8" s="4">
        <v>158881000</v>
      </c>
    </row>
    <row r="9" spans="1:17">
      <c r="A9" t="s">
        <v>180</v>
      </c>
      <c r="B9" t="s">
        <v>183</v>
      </c>
      <c r="C9" t="s">
        <v>21</v>
      </c>
      <c r="D9" t="s">
        <v>175</v>
      </c>
      <c r="E9" s="4">
        <v>17180000</v>
      </c>
      <c r="F9" s="4">
        <v>14890000</v>
      </c>
      <c r="G9" s="4">
        <v>17423000</v>
      </c>
      <c r="H9" s="4">
        <v>16114000</v>
      </c>
      <c r="I9" s="4">
        <v>16798000</v>
      </c>
      <c r="J9" s="4">
        <v>17913000</v>
      </c>
      <c r="K9" s="4">
        <v>16061000</v>
      </c>
      <c r="L9" s="4">
        <v>15665000</v>
      </c>
      <c r="M9" s="4">
        <v>15891000</v>
      </c>
      <c r="N9" s="4">
        <v>14964000</v>
      </c>
      <c r="O9" s="4">
        <v>14257000</v>
      </c>
      <c r="P9" s="4">
        <v>16876000</v>
      </c>
      <c r="Q9" s="4">
        <v>194032000</v>
      </c>
    </row>
    <row r="10" spans="1:17">
      <c r="A10" t="s">
        <v>184</v>
      </c>
      <c r="B10" t="s">
        <v>185</v>
      </c>
      <c r="C10" t="s">
        <v>21</v>
      </c>
      <c r="D10" t="s">
        <v>175</v>
      </c>
      <c r="E10" s="4">
        <v>37704000</v>
      </c>
      <c r="F10" s="4">
        <v>39710000</v>
      </c>
      <c r="G10" s="4">
        <v>38432000</v>
      </c>
      <c r="H10" s="4">
        <v>34160000</v>
      </c>
      <c r="I10" s="4">
        <v>35986000</v>
      </c>
      <c r="J10" s="4">
        <v>41103000</v>
      </c>
      <c r="K10" s="4">
        <v>34551000</v>
      </c>
      <c r="L10" s="4">
        <v>39408000</v>
      </c>
      <c r="M10" s="4">
        <v>38527000</v>
      </c>
      <c r="N10" s="4">
        <v>36872000</v>
      </c>
      <c r="O10" s="4">
        <v>36549000</v>
      </c>
      <c r="P10" s="4">
        <v>40970000</v>
      </c>
      <c r="Q10" s="4">
        <v>453972000</v>
      </c>
    </row>
    <row r="11" spans="1:17">
      <c r="A11" t="s">
        <v>184</v>
      </c>
      <c r="B11" t="s">
        <v>186</v>
      </c>
      <c r="C11" t="s">
        <v>21</v>
      </c>
      <c r="D11" t="s">
        <v>175</v>
      </c>
      <c r="E11" s="4">
        <v>22710000</v>
      </c>
      <c r="F11" s="4">
        <v>21975000</v>
      </c>
      <c r="G11" s="4">
        <v>23472000</v>
      </c>
      <c r="H11" s="4">
        <v>23708000</v>
      </c>
      <c r="I11" s="4">
        <v>23782000</v>
      </c>
      <c r="J11" s="4">
        <v>20868000</v>
      </c>
      <c r="K11" s="4">
        <v>21599000</v>
      </c>
      <c r="L11" s="4">
        <v>23896000</v>
      </c>
      <c r="M11" s="4">
        <v>22113000</v>
      </c>
      <c r="N11" s="4">
        <v>20775000</v>
      </c>
      <c r="O11" s="4">
        <v>19975000</v>
      </c>
      <c r="P11" s="4">
        <v>20734000</v>
      </c>
      <c r="Q11" s="4">
        <v>265607000</v>
      </c>
    </row>
    <row r="12" spans="1:17">
      <c r="A12" t="s">
        <v>187</v>
      </c>
      <c r="B12" t="s">
        <v>188</v>
      </c>
      <c r="C12" t="s">
        <v>21</v>
      </c>
      <c r="D12" t="s">
        <v>175</v>
      </c>
      <c r="E12" s="4">
        <v>27301000</v>
      </c>
      <c r="F12" s="4">
        <v>30019000</v>
      </c>
      <c r="G12" s="4">
        <v>28557000</v>
      </c>
      <c r="H12" s="4">
        <v>26655000</v>
      </c>
      <c r="I12" s="4">
        <v>28846000</v>
      </c>
      <c r="J12" s="4">
        <v>25035000</v>
      </c>
      <c r="K12" s="4">
        <v>29174000</v>
      </c>
      <c r="L12" s="4">
        <v>25582000</v>
      </c>
      <c r="M12" s="4">
        <v>24483000</v>
      </c>
      <c r="N12" s="4">
        <v>24858000</v>
      </c>
      <c r="O12" s="4">
        <v>25308000</v>
      </c>
      <c r="P12" s="4">
        <v>29799000</v>
      </c>
      <c r="Q12" s="4">
        <v>325617000</v>
      </c>
    </row>
    <row r="13" spans="1:17">
      <c r="A13" t="s">
        <v>189</v>
      </c>
      <c r="B13" t="s">
        <v>190</v>
      </c>
      <c r="C13" t="s">
        <v>21</v>
      </c>
      <c r="D13" t="s">
        <v>175</v>
      </c>
      <c r="E13" s="4">
        <v>10432000</v>
      </c>
      <c r="F13" s="4">
        <v>9889000</v>
      </c>
      <c r="G13" s="4">
        <v>12335000</v>
      </c>
      <c r="H13" s="4">
        <v>12000000</v>
      </c>
      <c r="I13" s="4">
        <v>10368000</v>
      </c>
      <c r="J13" s="4">
        <v>12156000</v>
      </c>
      <c r="K13" s="4">
        <v>12370000</v>
      </c>
      <c r="L13" s="4">
        <v>9908000</v>
      </c>
      <c r="M13" s="4">
        <v>10698000</v>
      </c>
      <c r="N13" s="4">
        <v>10148000</v>
      </c>
      <c r="O13" s="4">
        <v>10671000</v>
      </c>
      <c r="P13" s="4">
        <v>11836000</v>
      </c>
      <c r="Q13" s="4">
        <v>132811000</v>
      </c>
    </row>
    <row r="14" spans="1:17">
      <c r="A14" t="s">
        <v>191</v>
      </c>
      <c r="B14" t="s">
        <v>192</v>
      </c>
      <c r="C14" t="s">
        <v>24</v>
      </c>
      <c r="D14" t="s">
        <v>175</v>
      </c>
      <c r="E14" s="4">
        <v>16231000</v>
      </c>
      <c r="F14" s="4">
        <v>15363000</v>
      </c>
      <c r="G14" s="4">
        <v>16047000</v>
      </c>
      <c r="H14" s="4">
        <v>14824000</v>
      </c>
      <c r="I14" s="4">
        <v>15529000</v>
      </c>
      <c r="J14" s="4">
        <v>14110000</v>
      </c>
      <c r="K14" s="4">
        <v>13335000</v>
      </c>
      <c r="L14" s="4">
        <v>16093000</v>
      </c>
      <c r="M14" s="4">
        <v>16062000</v>
      </c>
      <c r="N14" s="4">
        <v>14521000</v>
      </c>
      <c r="O14" s="4">
        <v>15250000</v>
      </c>
      <c r="P14" s="4">
        <v>14927000</v>
      </c>
      <c r="Q14" s="4">
        <v>182292000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S54"/>
  <sheetViews>
    <sheetView topLeftCell="E20" workbookViewId="0">
      <selection activeCell="L14" sqref="L14"/>
    </sheetView>
  </sheetViews>
  <sheetFormatPr baseColWidth="10" defaultColWidth="8.83203125" defaultRowHeight="14"/>
  <cols>
    <col min="1" max="1" width="12" customWidth="1"/>
    <col min="2" max="2" width="26" customWidth="1"/>
    <col min="3" max="3" width="15" customWidth="1"/>
    <col min="4" max="4" width="10" customWidth="1"/>
    <col min="5" max="5" width="24" customWidth="1"/>
    <col min="6" max="6" width="10" customWidth="1"/>
    <col min="7" max="18" width="13" customWidth="1"/>
    <col min="19" max="19" width="16" customWidth="1"/>
  </cols>
  <sheetData>
    <row r="1" spans="1:19" ht="40" customHeight="1">
      <c r="A1" s="34" t="s">
        <v>193</v>
      </c>
      <c r="B1" s="34"/>
      <c r="C1" s="34"/>
      <c r="D1" s="34"/>
      <c r="E1" s="34"/>
      <c r="F1" s="34"/>
      <c r="G1" s="34"/>
      <c r="H1" s="34"/>
      <c r="I1" s="34"/>
      <c r="J1" s="34"/>
      <c r="K1" s="34"/>
      <c r="L1" s="34"/>
      <c r="M1" s="34"/>
      <c r="N1" s="34"/>
      <c r="O1" s="34"/>
      <c r="P1" s="34"/>
      <c r="Q1" s="34"/>
      <c r="R1" s="34"/>
      <c r="S1" s="34"/>
    </row>
    <row r="2" spans="1:19" ht="29.25" customHeight="1">
      <c r="A2" s="35" t="s">
        <v>194</v>
      </c>
      <c r="B2" s="35"/>
      <c r="C2" s="35"/>
      <c r="D2" s="35"/>
      <c r="E2" s="35"/>
      <c r="F2" s="35"/>
      <c r="G2" s="36"/>
      <c r="H2" s="36"/>
      <c r="I2" s="36"/>
      <c r="J2" s="36"/>
      <c r="K2" s="36"/>
      <c r="L2" s="36"/>
      <c r="M2" s="36"/>
      <c r="N2" s="36"/>
      <c r="O2" s="36"/>
      <c r="P2" s="36"/>
      <c r="Q2" s="36"/>
      <c r="R2" s="36"/>
      <c r="S2" s="36"/>
    </row>
    <row r="3" spans="1:19"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</row>
    <row r="4" spans="1:19" ht="34.75" customHeight="1">
      <c r="A4" s="37" t="s">
        <v>195</v>
      </c>
      <c r="B4" s="37"/>
      <c r="C4" s="37"/>
      <c r="D4" s="37" t="s">
        <v>196</v>
      </c>
      <c r="E4" s="37"/>
      <c r="F4" s="37"/>
      <c r="G4" s="38" t="s">
        <v>197</v>
      </c>
      <c r="H4" s="38"/>
      <c r="I4" s="38"/>
      <c r="J4" s="38" t="s">
        <v>198</v>
      </c>
      <c r="K4" s="38"/>
      <c r="L4" s="38"/>
      <c r="M4" s="38" t="s">
        <v>199</v>
      </c>
      <c r="N4" s="38"/>
      <c r="O4" s="38"/>
      <c r="P4" s="38" t="s">
        <v>200</v>
      </c>
      <c r="Q4" s="38"/>
      <c r="R4" s="38"/>
      <c r="S4" s="38"/>
    </row>
    <row r="5" spans="1:19" ht="37.25" customHeight="1">
      <c r="A5" s="39">
        <f>SUMIF($E$10:$E$54,"Quantité exportée",$S$10:$S$54)</f>
        <v>3094.92</v>
      </c>
      <c r="B5" s="40"/>
      <c r="C5" s="40"/>
      <c r="D5" s="41">
        <f>SUMIF($E$10:$E$54,"Chiffre d'affaires MGA",$S$10:$S$54)</f>
        <v>17737746840</v>
      </c>
      <c r="E5" s="40"/>
      <c r="F5" s="40"/>
      <c r="G5" s="41">
        <f>SUMIFS($S$10:$S$54,$A$10:$A$54,"Japon",$E$10:$E$54,"Chiffre d'affaires MGA")</f>
        <v>5418113635</v>
      </c>
      <c r="H5" s="42"/>
      <c r="I5" s="42"/>
      <c r="J5" s="41">
        <f>SUMIFS($S$10:$S$54,$A$10:$A$54,"Russie",$E$10:$E$54,"Chiffre d'affaires MGA")</f>
        <v>6201787445</v>
      </c>
      <c r="K5" s="42"/>
      <c r="L5" s="42"/>
      <c r="M5" s="41">
        <f>SUMIFS($S$10:$S$54,$A$10:$A$54,"Chine",$E$10:$E$54,"Chiffre d'affaires MGA")</f>
        <v>6117845760</v>
      </c>
      <c r="N5" s="42"/>
      <c r="O5" s="42"/>
      <c r="P5" s="42" t="s">
        <v>201</v>
      </c>
      <c r="Q5" s="42"/>
      <c r="R5" s="42"/>
      <c r="S5" s="42"/>
    </row>
    <row r="6" spans="1:19"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</row>
    <row r="7" spans="1:19" ht="29.25" customHeight="1">
      <c r="A7" s="43" t="s">
        <v>202</v>
      </c>
      <c r="B7" s="43"/>
      <c r="C7" s="43"/>
      <c r="D7" s="43"/>
      <c r="E7" s="43"/>
      <c r="F7" s="43"/>
      <c r="G7" s="44"/>
      <c r="H7" s="44"/>
      <c r="I7" s="44"/>
      <c r="J7" s="44"/>
      <c r="K7" s="44"/>
      <c r="L7" s="44"/>
      <c r="M7" s="44"/>
      <c r="N7" s="44"/>
      <c r="O7" s="44"/>
      <c r="P7" s="44"/>
      <c r="Q7" s="44"/>
      <c r="R7" s="44"/>
      <c r="S7" s="44"/>
    </row>
    <row r="8" spans="1:19"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</row>
    <row r="9" spans="1:19" ht="45.25" customHeight="1">
      <c r="A9" s="7" t="s">
        <v>27</v>
      </c>
      <c r="B9" s="7" t="s">
        <v>28</v>
      </c>
      <c r="C9" s="7" t="s">
        <v>150</v>
      </c>
      <c r="D9" s="7" t="s">
        <v>29</v>
      </c>
      <c r="E9" s="7" t="s">
        <v>203</v>
      </c>
      <c r="F9" s="7" t="s">
        <v>151</v>
      </c>
      <c r="G9" s="23" t="s">
        <v>152</v>
      </c>
      <c r="H9" s="23" t="s">
        <v>153</v>
      </c>
      <c r="I9" s="23" t="s">
        <v>154</v>
      </c>
      <c r="J9" s="23" t="s">
        <v>155</v>
      </c>
      <c r="K9" s="23" t="s">
        <v>156</v>
      </c>
      <c r="L9" s="23" t="s">
        <v>157</v>
      </c>
      <c r="M9" s="23" t="s">
        <v>158</v>
      </c>
      <c r="N9" s="23" t="s">
        <v>159</v>
      </c>
      <c r="O9" s="23" t="s">
        <v>160</v>
      </c>
      <c r="P9" s="23" t="s">
        <v>161</v>
      </c>
      <c r="Q9" s="23" t="s">
        <v>162</v>
      </c>
      <c r="R9" s="23" t="s">
        <v>163</v>
      </c>
      <c r="S9" s="23" t="s">
        <v>164</v>
      </c>
    </row>
    <row r="10" spans="1:19">
      <c r="A10" s="8" t="s">
        <v>31</v>
      </c>
      <c r="B10" s="8" t="s">
        <v>32</v>
      </c>
      <c r="C10" s="9" t="s">
        <v>165</v>
      </c>
      <c r="D10" s="9" t="s">
        <v>33</v>
      </c>
      <c r="E10" s="9" t="s">
        <v>204</v>
      </c>
      <c r="F10" s="9" t="s">
        <v>166</v>
      </c>
      <c r="G10" s="24">
        <v>26.98</v>
      </c>
      <c r="H10" s="24">
        <v>20.36</v>
      </c>
      <c r="I10" s="24">
        <v>16.55</v>
      </c>
      <c r="J10" s="24">
        <v>18.41</v>
      </c>
      <c r="K10" s="24">
        <v>16.68</v>
      </c>
      <c r="L10" s="24">
        <v>25.44</v>
      </c>
      <c r="M10" s="24">
        <v>21.5</v>
      </c>
      <c r="N10" s="24">
        <v>25.5</v>
      </c>
      <c r="O10" s="24">
        <v>16.899999999999999</v>
      </c>
      <c r="P10" s="24">
        <v>15.88</v>
      </c>
      <c r="Q10" s="24">
        <v>16.829999999999998</v>
      </c>
      <c r="R10" s="24">
        <v>25.95</v>
      </c>
      <c r="S10" s="24">
        <v>246.98</v>
      </c>
    </row>
    <row r="11" spans="1:19">
      <c r="A11" s="10" t="s">
        <v>31</v>
      </c>
      <c r="B11" s="10" t="s">
        <v>32</v>
      </c>
      <c r="C11" s="11" t="s">
        <v>165</v>
      </c>
      <c r="D11" s="11" t="s">
        <v>33</v>
      </c>
      <c r="E11" s="11" t="s">
        <v>205</v>
      </c>
      <c r="F11" s="11" t="s">
        <v>33</v>
      </c>
      <c r="G11" s="25">
        <v>4991300</v>
      </c>
      <c r="H11" s="25">
        <v>3766600</v>
      </c>
      <c r="I11" s="25">
        <v>3061750</v>
      </c>
      <c r="J11" s="25">
        <v>3405850</v>
      </c>
      <c r="K11" s="25">
        <v>3085800</v>
      </c>
      <c r="L11" s="25">
        <v>4706400</v>
      </c>
      <c r="M11" s="25">
        <v>3977500</v>
      </c>
      <c r="N11" s="25">
        <v>4717500</v>
      </c>
      <c r="O11" s="25">
        <v>3126500</v>
      </c>
      <c r="P11" s="25">
        <v>2937800</v>
      </c>
      <c r="Q11" s="25">
        <v>3113550</v>
      </c>
      <c r="R11" s="25">
        <v>4800750</v>
      </c>
      <c r="S11" s="25">
        <v>45691300</v>
      </c>
    </row>
    <row r="12" spans="1:19">
      <c r="A12" s="12" t="s">
        <v>31</v>
      </c>
      <c r="B12" s="12" t="s">
        <v>32</v>
      </c>
      <c r="C12" s="12" t="s">
        <v>165</v>
      </c>
      <c r="D12" s="12" t="s">
        <v>33</v>
      </c>
      <c r="E12" s="12" t="s">
        <v>206</v>
      </c>
      <c r="F12" s="12" t="s">
        <v>175</v>
      </c>
      <c r="G12" s="26">
        <v>152234650</v>
      </c>
      <c r="H12" s="26">
        <v>114881300</v>
      </c>
      <c r="I12" s="26">
        <v>93383375</v>
      </c>
      <c r="J12" s="26">
        <v>103878425</v>
      </c>
      <c r="K12" s="26">
        <v>94116900</v>
      </c>
      <c r="L12" s="26">
        <v>143545200</v>
      </c>
      <c r="M12" s="26">
        <v>121313750</v>
      </c>
      <c r="N12" s="26">
        <v>143883750</v>
      </c>
      <c r="O12" s="26">
        <v>95358250</v>
      </c>
      <c r="P12" s="26">
        <v>89602900</v>
      </c>
      <c r="Q12" s="26">
        <v>94963275</v>
      </c>
      <c r="R12" s="26">
        <v>146422875</v>
      </c>
      <c r="S12" s="26">
        <v>1393584650</v>
      </c>
    </row>
    <row r="13" spans="1:19">
      <c r="A13" s="10" t="s">
        <v>31</v>
      </c>
      <c r="B13" s="10" t="s">
        <v>32</v>
      </c>
      <c r="C13" s="11" t="s">
        <v>167</v>
      </c>
      <c r="D13" s="11" t="s">
        <v>33</v>
      </c>
      <c r="E13" s="11" t="s">
        <v>204</v>
      </c>
      <c r="F13" s="11" t="s">
        <v>166</v>
      </c>
      <c r="G13" s="25">
        <v>18.23</v>
      </c>
      <c r="H13" s="25">
        <v>14.24</v>
      </c>
      <c r="I13" s="25">
        <v>18.920000000000002</v>
      </c>
      <c r="J13" s="25">
        <v>14.44</v>
      </c>
      <c r="K13" s="25">
        <v>20.13</v>
      </c>
      <c r="L13" s="25">
        <v>21.29</v>
      </c>
      <c r="M13" s="25">
        <v>17.77</v>
      </c>
      <c r="N13" s="25">
        <v>19.57</v>
      </c>
      <c r="O13" s="25">
        <v>16.22</v>
      </c>
      <c r="P13" s="25">
        <v>17.27</v>
      </c>
      <c r="Q13" s="25">
        <v>15.9</v>
      </c>
      <c r="R13" s="25">
        <v>14.77</v>
      </c>
      <c r="S13" s="25">
        <v>208.75</v>
      </c>
    </row>
    <row r="14" spans="1:19">
      <c r="A14" s="10" t="s">
        <v>31</v>
      </c>
      <c r="B14" s="10" t="s">
        <v>32</v>
      </c>
      <c r="C14" s="11" t="s">
        <v>167</v>
      </c>
      <c r="D14" s="11" t="s">
        <v>33</v>
      </c>
      <c r="E14" s="11" t="s">
        <v>205</v>
      </c>
      <c r="F14" s="11" t="s">
        <v>33</v>
      </c>
      <c r="G14" s="25">
        <v>3117330</v>
      </c>
      <c r="H14" s="25">
        <v>2435040</v>
      </c>
      <c r="I14" s="25">
        <v>3235320</v>
      </c>
      <c r="J14" s="25">
        <v>2469240</v>
      </c>
      <c r="K14" s="25">
        <v>3442230</v>
      </c>
      <c r="L14" s="25">
        <v>3640590</v>
      </c>
      <c r="M14" s="25">
        <v>3038670</v>
      </c>
      <c r="N14" s="25">
        <v>3346470</v>
      </c>
      <c r="O14" s="25">
        <v>2773620</v>
      </c>
      <c r="P14" s="25">
        <v>2953170</v>
      </c>
      <c r="Q14" s="25">
        <v>2718900</v>
      </c>
      <c r="R14" s="25">
        <v>2525670</v>
      </c>
      <c r="S14" s="25">
        <v>35696250</v>
      </c>
    </row>
    <row r="15" spans="1:19">
      <c r="A15" s="12" t="s">
        <v>31</v>
      </c>
      <c r="B15" s="12" t="s">
        <v>32</v>
      </c>
      <c r="C15" s="12" t="s">
        <v>167</v>
      </c>
      <c r="D15" s="12" t="s">
        <v>33</v>
      </c>
      <c r="E15" s="12" t="s">
        <v>206</v>
      </c>
      <c r="F15" s="12" t="s">
        <v>175</v>
      </c>
      <c r="G15" s="26">
        <v>95078565</v>
      </c>
      <c r="H15" s="26">
        <v>74268720</v>
      </c>
      <c r="I15" s="26">
        <v>98677260</v>
      </c>
      <c r="J15" s="26">
        <v>75311820</v>
      </c>
      <c r="K15" s="26">
        <v>104988015</v>
      </c>
      <c r="L15" s="26">
        <v>111037995</v>
      </c>
      <c r="M15" s="26">
        <v>92679435</v>
      </c>
      <c r="N15" s="26">
        <v>102067335</v>
      </c>
      <c r="O15" s="26">
        <v>84595410</v>
      </c>
      <c r="P15" s="26">
        <v>90071685</v>
      </c>
      <c r="Q15" s="26">
        <v>82926450</v>
      </c>
      <c r="R15" s="26">
        <v>77032935</v>
      </c>
      <c r="S15" s="26">
        <v>1088735625</v>
      </c>
    </row>
    <row r="16" spans="1:19">
      <c r="A16" s="10" t="s">
        <v>31</v>
      </c>
      <c r="B16" s="10" t="s">
        <v>32</v>
      </c>
      <c r="C16" s="11" t="s">
        <v>168</v>
      </c>
      <c r="D16" s="11" t="s">
        <v>33</v>
      </c>
      <c r="E16" s="11" t="s">
        <v>204</v>
      </c>
      <c r="F16" s="11" t="s">
        <v>166</v>
      </c>
      <c r="G16" s="25">
        <v>17.690000000000001</v>
      </c>
      <c r="H16" s="25">
        <v>18.260000000000002</v>
      </c>
      <c r="I16" s="25">
        <v>16.809999999999999</v>
      </c>
      <c r="J16" s="25">
        <v>12.01</v>
      </c>
      <c r="K16" s="25">
        <v>13.83</v>
      </c>
      <c r="L16" s="25">
        <v>12.45</v>
      </c>
      <c r="M16" s="25">
        <v>14.83</v>
      </c>
      <c r="N16" s="25">
        <v>16.64</v>
      </c>
      <c r="O16" s="25">
        <v>19.18</v>
      </c>
      <c r="P16" s="25">
        <v>11.88</v>
      </c>
      <c r="Q16" s="25">
        <v>14.27</v>
      </c>
      <c r="R16" s="25">
        <v>18.46</v>
      </c>
      <c r="S16" s="25">
        <v>186.31</v>
      </c>
    </row>
    <row r="17" spans="1:19">
      <c r="A17" s="10" t="s">
        <v>31</v>
      </c>
      <c r="B17" s="10" t="s">
        <v>32</v>
      </c>
      <c r="C17" s="11" t="s">
        <v>168</v>
      </c>
      <c r="D17" s="11" t="s">
        <v>33</v>
      </c>
      <c r="E17" s="11" t="s">
        <v>205</v>
      </c>
      <c r="F17" s="11" t="s">
        <v>33</v>
      </c>
      <c r="G17" s="25">
        <v>2918850</v>
      </c>
      <c r="H17" s="25">
        <v>3012900</v>
      </c>
      <c r="I17" s="25">
        <v>2773650</v>
      </c>
      <c r="J17" s="25">
        <v>1981650</v>
      </c>
      <c r="K17" s="25">
        <v>2281950</v>
      </c>
      <c r="L17" s="25">
        <v>2054250</v>
      </c>
      <c r="M17" s="25">
        <v>2446950</v>
      </c>
      <c r="N17" s="25">
        <v>2745600</v>
      </c>
      <c r="O17" s="25">
        <v>3164700</v>
      </c>
      <c r="P17" s="25">
        <v>1960200</v>
      </c>
      <c r="Q17" s="25">
        <v>2354550</v>
      </c>
      <c r="R17" s="25">
        <v>3045900</v>
      </c>
      <c r="S17" s="25">
        <v>30741150</v>
      </c>
    </row>
    <row r="18" spans="1:19">
      <c r="A18" s="12" t="s">
        <v>31</v>
      </c>
      <c r="B18" s="12" t="s">
        <v>32</v>
      </c>
      <c r="C18" s="12" t="s">
        <v>168</v>
      </c>
      <c r="D18" s="12" t="s">
        <v>33</v>
      </c>
      <c r="E18" s="12" t="s">
        <v>206</v>
      </c>
      <c r="F18" s="12" t="s">
        <v>175</v>
      </c>
      <c r="G18" s="26">
        <v>89024925</v>
      </c>
      <c r="H18" s="26">
        <v>91893450</v>
      </c>
      <c r="I18" s="26">
        <v>84596325</v>
      </c>
      <c r="J18" s="26">
        <v>60440325</v>
      </c>
      <c r="K18" s="26">
        <v>69599475</v>
      </c>
      <c r="L18" s="26">
        <v>62654625</v>
      </c>
      <c r="M18" s="26">
        <v>74631975</v>
      </c>
      <c r="N18" s="26">
        <v>83740800</v>
      </c>
      <c r="O18" s="26">
        <v>96523350</v>
      </c>
      <c r="P18" s="26">
        <v>59786100</v>
      </c>
      <c r="Q18" s="26">
        <v>71813775</v>
      </c>
      <c r="R18" s="26">
        <v>92899950</v>
      </c>
      <c r="S18" s="26">
        <v>937605075</v>
      </c>
    </row>
    <row r="19" spans="1:19">
      <c r="A19" s="10" t="s">
        <v>31</v>
      </c>
      <c r="B19" s="10" t="s">
        <v>32</v>
      </c>
      <c r="C19" s="11" t="s">
        <v>169</v>
      </c>
      <c r="D19" s="11" t="s">
        <v>33</v>
      </c>
      <c r="E19" s="11" t="s">
        <v>204</v>
      </c>
      <c r="F19" s="11" t="s">
        <v>166</v>
      </c>
      <c r="G19" s="25">
        <v>17.079999999999998</v>
      </c>
      <c r="H19" s="25">
        <v>19.28</v>
      </c>
      <c r="I19" s="25">
        <v>23.69</v>
      </c>
      <c r="J19" s="25">
        <v>16.170000000000002</v>
      </c>
      <c r="K19" s="25">
        <v>18.62</v>
      </c>
      <c r="L19" s="25">
        <v>24.79</v>
      </c>
      <c r="M19" s="25">
        <v>21.53</v>
      </c>
      <c r="N19" s="25">
        <v>22.55</v>
      </c>
      <c r="O19" s="25">
        <v>20.48</v>
      </c>
      <c r="P19" s="25">
        <v>21.28</v>
      </c>
      <c r="Q19" s="25">
        <v>18.05</v>
      </c>
      <c r="R19" s="25">
        <v>21.47</v>
      </c>
      <c r="S19" s="25">
        <v>244.99</v>
      </c>
    </row>
    <row r="20" spans="1:19">
      <c r="A20" s="10" t="s">
        <v>31</v>
      </c>
      <c r="B20" s="10" t="s">
        <v>32</v>
      </c>
      <c r="C20" s="11" t="s">
        <v>169</v>
      </c>
      <c r="D20" s="11" t="s">
        <v>33</v>
      </c>
      <c r="E20" s="11" t="s">
        <v>205</v>
      </c>
      <c r="F20" s="11" t="s">
        <v>33</v>
      </c>
      <c r="G20" s="25">
        <v>3040240</v>
      </c>
      <c r="H20" s="25">
        <v>3431840</v>
      </c>
      <c r="I20" s="25">
        <v>4216820</v>
      </c>
      <c r="J20" s="25">
        <v>2878260</v>
      </c>
      <c r="K20" s="25">
        <v>3314360</v>
      </c>
      <c r="L20" s="25">
        <v>4412620</v>
      </c>
      <c r="M20" s="25">
        <v>3832340</v>
      </c>
      <c r="N20" s="25">
        <v>4013900</v>
      </c>
      <c r="O20" s="25">
        <v>3645440</v>
      </c>
      <c r="P20" s="25">
        <v>3787840</v>
      </c>
      <c r="Q20" s="25">
        <v>3212900</v>
      </c>
      <c r="R20" s="25">
        <v>3821660</v>
      </c>
      <c r="S20" s="25">
        <v>43608220</v>
      </c>
    </row>
    <row r="21" spans="1:19">
      <c r="A21" s="12" t="s">
        <v>31</v>
      </c>
      <c r="B21" s="12" t="s">
        <v>32</v>
      </c>
      <c r="C21" s="12" t="s">
        <v>169</v>
      </c>
      <c r="D21" s="12" t="s">
        <v>33</v>
      </c>
      <c r="E21" s="12" t="s">
        <v>206</v>
      </c>
      <c r="F21" s="12" t="s">
        <v>175</v>
      </c>
      <c r="G21" s="26">
        <v>92727320</v>
      </c>
      <c r="H21" s="26">
        <v>104671120</v>
      </c>
      <c r="I21" s="26">
        <v>128613010</v>
      </c>
      <c r="J21" s="26">
        <v>87786930</v>
      </c>
      <c r="K21" s="26">
        <v>101087980</v>
      </c>
      <c r="L21" s="26">
        <v>134584910</v>
      </c>
      <c r="M21" s="26">
        <v>116886370</v>
      </c>
      <c r="N21" s="26">
        <v>122423950</v>
      </c>
      <c r="O21" s="26">
        <v>111185920</v>
      </c>
      <c r="P21" s="26">
        <v>115529120</v>
      </c>
      <c r="Q21" s="26">
        <v>97993450</v>
      </c>
      <c r="R21" s="26">
        <v>116560630</v>
      </c>
      <c r="S21" s="26">
        <v>1330050710</v>
      </c>
    </row>
    <row r="22" spans="1:19">
      <c r="A22" s="10" t="s">
        <v>31</v>
      </c>
      <c r="B22" s="10" t="s">
        <v>32</v>
      </c>
      <c r="C22" s="11" t="s">
        <v>170</v>
      </c>
      <c r="D22" s="11" t="s">
        <v>33</v>
      </c>
      <c r="E22" s="11" t="s">
        <v>204</v>
      </c>
      <c r="F22" s="11" t="s">
        <v>166</v>
      </c>
      <c r="G22" s="25">
        <v>11.07</v>
      </c>
      <c r="H22" s="25">
        <v>10.97</v>
      </c>
      <c r="I22" s="25">
        <v>9.4600000000000009</v>
      </c>
      <c r="J22" s="25">
        <v>9.93</v>
      </c>
      <c r="K22" s="25">
        <v>12.15</v>
      </c>
      <c r="L22" s="25">
        <v>14.06</v>
      </c>
      <c r="M22" s="25">
        <v>9.35</v>
      </c>
      <c r="N22" s="25">
        <v>12.71</v>
      </c>
      <c r="O22" s="25">
        <v>11.77</v>
      </c>
      <c r="P22" s="25">
        <v>13.79</v>
      </c>
      <c r="Q22" s="25">
        <v>12.49</v>
      </c>
      <c r="R22" s="25">
        <v>13.58</v>
      </c>
      <c r="S22" s="25">
        <v>141.33000000000001</v>
      </c>
    </row>
    <row r="23" spans="1:19">
      <c r="A23" s="10" t="s">
        <v>31</v>
      </c>
      <c r="B23" s="10" t="s">
        <v>32</v>
      </c>
      <c r="C23" s="11" t="s">
        <v>170</v>
      </c>
      <c r="D23" s="11" t="s">
        <v>33</v>
      </c>
      <c r="E23" s="11" t="s">
        <v>205</v>
      </c>
      <c r="F23" s="11" t="s">
        <v>33</v>
      </c>
      <c r="G23" s="25">
        <v>1715850</v>
      </c>
      <c r="H23" s="25">
        <v>1700350</v>
      </c>
      <c r="I23" s="25">
        <v>1466300</v>
      </c>
      <c r="J23" s="25">
        <v>1539150</v>
      </c>
      <c r="K23" s="25">
        <v>1883250</v>
      </c>
      <c r="L23" s="25">
        <v>2179300</v>
      </c>
      <c r="M23" s="25">
        <v>1449250</v>
      </c>
      <c r="N23" s="25">
        <v>1970050</v>
      </c>
      <c r="O23" s="25">
        <v>1824350</v>
      </c>
      <c r="P23" s="25">
        <v>2137450</v>
      </c>
      <c r="Q23" s="25">
        <v>1935950</v>
      </c>
      <c r="R23" s="25">
        <v>2104900</v>
      </c>
      <c r="S23" s="25">
        <v>21906150</v>
      </c>
    </row>
    <row r="24" spans="1:19">
      <c r="A24" s="12" t="s">
        <v>31</v>
      </c>
      <c r="B24" s="12" t="s">
        <v>32</v>
      </c>
      <c r="C24" s="12" t="s">
        <v>170</v>
      </c>
      <c r="D24" s="12" t="s">
        <v>33</v>
      </c>
      <c r="E24" s="12" t="s">
        <v>206</v>
      </c>
      <c r="F24" s="12" t="s">
        <v>175</v>
      </c>
      <c r="G24" s="26">
        <v>52333425</v>
      </c>
      <c r="H24" s="26">
        <v>51860675</v>
      </c>
      <c r="I24" s="26">
        <v>44722150</v>
      </c>
      <c r="J24" s="26">
        <v>46944075</v>
      </c>
      <c r="K24" s="26">
        <v>57439125</v>
      </c>
      <c r="L24" s="26">
        <v>66468650</v>
      </c>
      <c r="M24" s="26">
        <v>44202125</v>
      </c>
      <c r="N24" s="26">
        <v>60086525</v>
      </c>
      <c r="O24" s="26">
        <v>55642675</v>
      </c>
      <c r="P24" s="26">
        <v>65192225</v>
      </c>
      <c r="Q24" s="26">
        <v>59046475</v>
      </c>
      <c r="R24" s="26">
        <v>64199450</v>
      </c>
      <c r="S24" s="26">
        <v>668137575</v>
      </c>
    </row>
    <row r="25" spans="1:19">
      <c r="A25" s="13" t="s">
        <v>35</v>
      </c>
      <c r="B25" s="13" t="s">
        <v>36</v>
      </c>
      <c r="C25" s="14" t="s">
        <v>165</v>
      </c>
      <c r="D25" s="14" t="s">
        <v>37</v>
      </c>
      <c r="E25" s="14" t="s">
        <v>204</v>
      </c>
      <c r="F25" s="14" t="s">
        <v>166</v>
      </c>
      <c r="G25" s="27">
        <v>27.77</v>
      </c>
      <c r="H25" s="27">
        <v>21.84</v>
      </c>
      <c r="I25" s="27">
        <v>27.29</v>
      </c>
      <c r="J25" s="27">
        <v>19.78</v>
      </c>
      <c r="K25" s="27">
        <v>23.42</v>
      </c>
      <c r="L25" s="27">
        <v>18.77</v>
      </c>
      <c r="M25" s="27">
        <v>17.97</v>
      </c>
      <c r="N25" s="27">
        <v>18.579999999999998</v>
      </c>
      <c r="O25" s="27">
        <v>25.58</v>
      </c>
      <c r="P25" s="27">
        <v>27.23</v>
      </c>
      <c r="Q25" s="27">
        <v>16.170000000000002</v>
      </c>
      <c r="R25" s="27">
        <v>21.51</v>
      </c>
      <c r="S25" s="27">
        <v>265.91000000000003</v>
      </c>
    </row>
    <row r="26" spans="1:19">
      <c r="A26" s="15" t="s">
        <v>35</v>
      </c>
      <c r="B26" s="15" t="s">
        <v>36</v>
      </c>
      <c r="C26" s="16" t="s">
        <v>165</v>
      </c>
      <c r="D26" s="16" t="s">
        <v>37</v>
      </c>
      <c r="E26" s="16" t="s">
        <v>205</v>
      </c>
      <c r="F26" s="16" t="s">
        <v>37</v>
      </c>
      <c r="G26" s="28">
        <v>40266.5</v>
      </c>
      <c r="H26" s="28">
        <v>31668</v>
      </c>
      <c r="I26" s="28">
        <v>39570.5</v>
      </c>
      <c r="J26" s="28">
        <v>28681</v>
      </c>
      <c r="K26" s="28">
        <v>33959</v>
      </c>
      <c r="L26" s="28">
        <v>27216.5</v>
      </c>
      <c r="M26" s="28">
        <v>26056.5</v>
      </c>
      <c r="N26" s="28">
        <v>26941</v>
      </c>
      <c r="O26" s="28">
        <v>37091</v>
      </c>
      <c r="P26" s="28">
        <v>39483.5</v>
      </c>
      <c r="Q26" s="28">
        <v>23446.5</v>
      </c>
      <c r="R26" s="28">
        <v>31189.5</v>
      </c>
      <c r="S26" s="28">
        <v>385569.5</v>
      </c>
    </row>
    <row r="27" spans="1:19">
      <c r="A27" s="17" t="s">
        <v>35</v>
      </c>
      <c r="B27" s="17" t="s">
        <v>36</v>
      </c>
      <c r="C27" s="17" t="s">
        <v>165</v>
      </c>
      <c r="D27" s="17" t="s">
        <v>37</v>
      </c>
      <c r="E27" s="17" t="s">
        <v>206</v>
      </c>
      <c r="F27" s="17" t="s">
        <v>175</v>
      </c>
      <c r="G27" s="29">
        <v>179185925</v>
      </c>
      <c r="H27" s="29">
        <v>140922600</v>
      </c>
      <c r="I27" s="29">
        <v>176088725</v>
      </c>
      <c r="J27" s="29">
        <v>127630450</v>
      </c>
      <c r="K27" s="29">
        <v>151117550</v>
      </c>
      <c r="L27" s="29">
        <v>121113425</v>
      </c>
      <c r="M27" s="29">
        <v>115951425</v>
      </c>
      <c r="N27" s="29">
        <v>119887450</v>
      </c>
      <c r="O27" s="29">
        <v>165054950</v>
      </c>
      <c r="P27" s="29">
        <v>175701575</v>
      </c>
      <c r="Q27" s="29">
        <v>104336925</v>
      </c>
      <c r="R27" s="29">
        <v>138793275</v>
      </c>
      <c r="S27" s="29">
        <v>1715784275</v>
      </c>
    </row>
    <row r="28" spans="1:19">
      <c r="A28" s="15" t="s">
        <v>35</v>
      </c>
      <c r="B28" s="15" t="s">
        <v>36</v>
      </c>
      <c r="C28" s="16" t="s">
        <v>167</v>
      </c>
      <c r="D28" s="16" t="s">
        <v>37</v>
      </c>
      <c r="E28" s="16" t="s">
        <v>204</v>
      </c>
      <c r="F28" s="16" t="s">
        <v>166</v>
      </c>
      <c r="G28" s="28">
        <v>17.13</v>
      </c>
      <c r="H28" s="28">
        <v>12.66</v>
      </c>
      <c r="I28" s="28">
        <v>19.32</v>
      </c>
      <c r="J28" s="28">
        <v>13.79</v>
      </c>
      <c r="K28" s="28">
        <v>20.93</v>
      </c>
      <c r="L28" s="28">
        <v>17.73</v>
      </c>
      <c r="M28" s="28">
        <v>14.43</v>
      </c>
      <c r="N28" s="28">
        <v>17.649999999999999</v>
      </c>
      <c r="O28" s="28">
        <v>18.739999999999998</v>
      </c>
      <c r="P28" s="28">
        <v>16.399999999999999</v>
      </c>
      <c r="Q28" s="28">
        <v>18.21</v>
      </c>
      <c r="R28" s="28">
        <v>19.73</v>
      </c>
      <c r="S28" s="28">
        <v>206.72</v>
      </c>
    </row>
    <row r="29" spans="1:19">
      <c r="A29" s="15" t="s">
        <v>35</v>
      </c>
      <c r="B29" s="15" t="s">
        <v>36</v>
      </c>
      <c r="C29" s="16" t="s">
        <v>167</v>
      </c>
      <c r="D29" s="16" t="s">
        <v>37</v>
      </c>
      <c r="E29" s="16" t="s">
        <v>205</v>
      </c>
      <c r="F29" s="16" t="s">
        <v>37</v>
      </c>
      <c r="G29" s="28">
        <v>22611.599999999999</v>
      </c>
      <c r="H29" s="28">
        <v>16711.2</v>
      </c>
      <c r="I29" s="28">
        <v>25502.400000000001</v>
      </c>
      <c r="J29" s="28">
        <v>18202.8</v>
      </c>
      <c r="K29" s="28">
        <v>27627.599999999999</v>
      </c>
      <c r="L29" s="28">
        <v>23403.599999999999</v>
      </c>
      <c r="M29" s="28">
        <v>19047.599999999999</v>
      </c>
      <c r="N29" s="28">
        <v>23298</v>
      </c>
      <c r="O29" s="28">
        <v>24736.799999999999</v>
      </c>
      <c r="P29" s="28">
        <v>21648</v>
      </c>
      <c r="Q29" s="28">
        <v>24037.200000000001</v>
      </c>
      <c r="R29" s="28">
        <v>26043.599999999999</v>
      </c>
      <c r="S29" s="28">
        <v>272870.40000000002</v>
      </c>
    </row>
    <row r="30" spans="1:19">
      <c r="A30" s="17" t="s">
        <v>35</v>
      </c>
      <c r="B30" s="17" t="s">
        <v>36</v>
      </c>
      <c r="C30" s="17" t="s">
        <v>167</v>
      </c>
      <c r="D30" s="17" t="s">
        <v>37</v>
      </c>
      <c r="E30" s="17" t="s">
        <v>206</v>
      </c>
      <c r="F30" s="17" t="s">
        <v>175</v>
      </c>
      <c r="G30" s="29">
        <v>100621620</v>
      </c>
      <c r="H30" s="29">
        <v>74364840</v>
      </c>
      <c r="I30" s="29">
        <v>113485680</v>
      </c>
      <c r="J30" s="29">
        <v>81002460</v>
      </c>
      <c r="K30" s="29">
        <v>122942820</v>
      </c>
      <c r="L30" s="29">
        <v>104146020</v>
      </c>
      <c r="M30" s="29">
        <v>84761820</v>
      </c>
      <c r="N30" s="29">
        <v>103676100</v>
      </c>
      <c r="O30" s="29">
        <v>110078760</v>
      </c>
      <c r="P30" s="29">
        <v>96333600</v>
      </c>
      <c r="Q30" s="29">
        <v>106965540</v>
      </c>
      <c r="R30" s="29">
        <v>115894020</v>
      </c>
      <c r="S30" s="29">
        <v>1214273280</v>
      </c>
    </row>
    <row r="31" spans="1:19">
      <c r="A31" s="15" t="s">
        <v>35</v>
      </c>
      <c r="B31" s="15" t="s">
        <v>36</v>
      </c>
      <c r="C31" s="16" t="s">
        <v>168</v>
      </c>
      <c r="D31" s="16" t="s">
        <v>37</v>
      </c>
      <c r="E31" s="16" t="s">
        <v>204</v>
      </c>
      <c r="F31" s="16" t="s">
        <v>166</v>
      </c>
      <c r="G31" s="28">
        <v>14.67</v>
      </c>
      <c r="H31" s="28">
        <v>15.16</v>
      </c>
      <c r="I31" s="28">
        <v>16.670000000000002</v>
      </c>
      <c r="J31" s="28">
        <v>14.66</v>
      </c>
      <c r="K31" s="28">
        <v>15.19</v>
      </c>
      <c r="L31" s="28">
        <v>13.32</v>
      </c>
      <c r="M31" s="28">
        <v>18.690000000000001</v>
      </c>
      <c r="N31" s="28">
        <v>18.89</v>
      </c>
      <c r="O31" s="28">
        <v>12.49</v>
      </c>
      <c r="P31" s="28">
        <v>14.8</v>
      </c>
      <c r="Q31" s="28">
        <v>12.51</v>
      </c>
      <c r="R31" s="28">
        <v>13.17</v>
      </c>
      <c r="S31" s="28">
        <v>180.22</v>
      </c>
    </row>
    <row r="32" spans="1:19">
      <c r="A32" s="15" t="s">
        <v>35</v>
      </c>
      <c r="B32" s="15" t="s">
        <v>36</v>
      </c>
      <c r="C32" s="16" t="s">
        <v>168</v>
      </c>
      <c r="D32" s="16" t="s">
        <v>37</v>
      </c>
      <c r="E32" s="16" t="s">
        <v>205</v>
      </c>
      <c r="F32" s="16" t="s">
        <v>37</v>
      </c>
      <c r="G32" s="28">
        <v>18630.900000000001</v>
      </c>
      <c r="H32" s="28">
        <v>19253.2</v>
      </c>
      <c r="I32" s="28">
        <v>21170.9</v>
      </c>
      <c r="J32" s="28">
        <v>18618.2</v>
      </c>
      <c r="K32" s="28">
        <v>19291.3</v>
      </c>
      <c r="L32" s="28">
        <v>16916.400000000001</v>
      </c>
      <c r="M32" s="28">
        <v>23736.3</v>
      </c>
      <c r="N32" s="28">
        <v>23990.3</v>
      </c>
      <c r="O32" s="28">
        <v>15862.3</v>
      </c>
      <c r="P32" s="28">
        <v>18796</v>
      </c>
      <c r="Q32" s="28">
        <v>15887.7</v>
      </c>
      <c r="R32" s="28">
        <v>16725.900000000001</v>
      </c>
      <c r="S32" s="28">
        <v>228879.4</v>
      </c>
    </row>
    <row r="33" spans="1:19">
      <c r="A33" s="17" t="s">
        <v>35</v>
      </c>
      <c r="B33" s="17" t="s">
        <v>36</v>
      </c>
      <c r="C33" s="17" t="s">
        <v>168</v>
      </c>
      <c r="D33" s="17" t="s">
        <v>37</v>
      </c>
      <c r="E33" s="17" t="s">
        <v>206</v>
      </c>
      <c r="F33" s="17" t="s">
        <v>175</v>
      </c>
      <c r="G33" s="29">
        <v>82907505</v>
      </c>
      <c r="H33" s="29">
        <v>85676740</v>
      </c>
      <c r="I33" s="29">
        <v>94210505</v>
      </c>
      <c r="J33" s="29">
        <v>82850990</v>
      </c>
      <c r="K33" s="29">
        <v>85846285</v>
      </c>
      <c r="L33" s="29">
        <v>75277980</v>
      </c>
      <c r="M33" s="29">
        <v>105626535</v>
      </c>
      <c r="N33" s="29">
        <v>106756835</v>
      </c>
      <c r="O33" s="29">
        <v>70587235</v>
      </c>
      <c r="P33" s="29">
        <v>83642200</v>
      </c>
      <c r="Q33" s="29">
        <v>70700265</v>
      </c>
      <c r="R33" s="29">
        <v>74430255</v>
      </c>
      <c r="S33" s="29">
        <v>1018513330</v>
      </c>
    </row>
    <row r="34" spans="1:19">
      <c r="A34" s="15" t="s">
        <v>35</v>
      </c>
      <c r="B34" s="15" t="s">
        <v>36</v>
      </c>
      <c r="C34" s="16" t="s">
        <v>169</v>
      </c>
      <c r="D34" s="16" t="s">
        <v>37</v>
      </c>
      <c r="E34" s="16" t="s">
        <v>204</v>
      </c>
      <c r="F34" s="16" t="s">
        <v>166</v>
      </c>
      <c r="G34" s="28">
        <v>19.18</v>
      </c>
      <c r="H34" s="28">
        <v>25.19</v>
      </c>
      <c r="I34" s="28">
        <v>16.03</v>
      </c>
      <c r="J34" s="28">
        <v>21.7</v>
      </c>
      <c r="K34" s="28">
        <v>19.09</v>
      </c>
      <c r="L34" s="28">
        <v>17.420000000000002</v>
      </c>
      <c r="M34" s="28">
        <v>22.46</v>
      </c>
      <c r="N34" s="28">
        <v>23.18</v>
      </c>
      <c r="O34" s="28">
        <v>16.12</v>
      </c>
      <c r="P34" s="28">
        <v>15.33</v>
      </c>
      <c r="Q34" s="28">
        <v>25.26</v>
      </c>
      <c r="R34" s="28">
        <v>20.56</v>
      </c>
      <c r="S34" s="28">
        <v>241.52</v>
      </c>
    </row>
    <row r="35" spans="1:19">
      <c r="A35" s="15" t="s">
        <v>35</v>
      </c>
      <c r="B35" s="15" t="s">
        <v>36</v>
      </c>
      <c r="C35" s="16" t="s">
        <v>169</v>
      </c>
      <c r="D35" s="16" t="s">
        <v>37</v>
      </c>
      <c r="E35" s="16" t="s">
        <v>205</v>
      </c>
      <c r="F35" s="16" t="s">
        <v>37</v>
      </c>
      <c r="G35" s="28">
        <v>26660.2</v>
      </c>
      <c r="H35" s="28">
        <v>35014.1</v>
      </c>
      <c r="I35" s="28">
        <v>22281.7</v>
      </c>
      <c r="J35" s="28">
        <v>30163</v>
      </c>
      <c r="K35" s="28">
        <v>26535.1</v>
      </c>
      <c r="L35" s="28">
        <v>24213.8</v>
      </c>
      <c r="M35" s="28">
        <v>31219.4</v>
      </c>
      <c r="N35" s="28">
        <v>32220.2</v>
      </c>
      <c r="O35" s="28">
        <v>22406.799999999999</v>
      </c>
      <c r="P35" s="28">
        <v>21308.7</v>
      </c>
      <c r="Q35" s="28">
        <v>35111.4</v>
      </c>
      <c r="R35" s="28">
        <v>28578.400000000001</v>
      </c>
      <c r="S35" s="28">
        <v>335712.8</v>
      </c>
    </row>
    <row r="36" spans="1:19">
      <c r="A36" s="17" t="s">
        <v>35</v>
      </c>
      <c r="B36" s="17" t="s">
        <v>36</v>
      </c>
      <c r="C36" s="17" t="s">
        <v>169</v>
      </c>
      <c r="D36" s="17" t="s">
        <v>37</v>
      </c>
      <c r="E36" s="17" t="s">
        <v>206</v>
      </c>
      <c r="F36" s="17" t="s">
        <v>175</v>
      </c>
      <c r="G36" s="29">
        <v>118637890</v>
      </c>
      <c r="H36" s="29">
        <v>155812745</v>
      </c>
      <c r="I36" s="29">
        <v>99153565</v>
      </c>
      <c r="J36" s="29">
        <v>134225350</v>
      </c>
      <c r="K36" s="29">
        <v>118081195</v>
      </c>
      <c r="L36" s="29">
        <v>107751410</v>
      </c>
      <c r="M36" s="29">
        <v>138926330</v>
      </c>
      <c r="N36" s="29">
        <v>143379890</v>
      </c>
      <c r="O36" s="29">
        <v>99710260</v>
      </c>
      <c r="P36" s="29">
        <v>94823715</v>
      </c>
      <c r="Q36" s="29">
        <v>156245730</v>
      </c>
      <c r="R36" s="29">
        <v>127173880</v>
      </c>
      <c r="S36" s="29">
        <v>1493921960</v>
      </c>
    </row>
    <row r="37" spans="1:19">
      <c r="A37" s="15" t="s">
        <v>35</v>
      </c>
      <c r="B37" s="15" t="s">
        <v>36</v>
      </c>
      <c r="C37" s="16" t="s">
        <v>170</v>
      </c>
      <c r="D37" s="16" t="s">
        <v>37</v>
      </c>
      <c r="E37" s="16" t="s">
        <v>204</v>
      </c>
      <c r="F37" s="16" t="s">
        <v>166</v>
      </c>
      <c r="G37" s="28">
        <v>12.62</v>
      </c>
      <c r="H37" s="28">
        <v>11.98</v>
      </c>
      <c r="I37" s="28">
        <v>10.11</v>
      </c>
      <c r="J37" s="28">
        <v>14.04</v>
      </c>
      <c r="K37" s="28">
        <v>13.66</v>
      </c>
      <c r="L37" s="28">
        <v>9.69</v>
      </c>
      <c r="M37" s="28">
        <v>10.37</v>
      </c>
      <c r="N37" s="28">
        <v>9.66</v>
      </c>
      <c r="O37" s="28">
        <v>15.09</v>
      </c>
      <c r="P37" s="28">
        <v>12.24</v>
      </c>
      <c r="Q37" s="28">
        <v>10.73</v>
      </c>
      <c r="R37" s="28">
        <v>14.41</v>
      </c>
      <c r="S37" s="28">
        <v>144.6</v>
      </c>
    </row>
    <row r="38" spans="1:19">
      <c r="A38" s="15" t="s">
        <v>35</v>
      </c>
      <c r="B38" s="15" t="s">
        <v>36</v>
      </c>
      <c r="C38" s="16" t="s">
        <v>170</v>
      </c>
      <c r="D38" s="16" t="s">
        <v>37</v>
      </c>
      <c r="E38" s="16" t="s">
        <v>205</v>
      </c>
      <c r="F38" s="16" t="s">
        <v>37</v>
      </c>
      <c r="G38" s="28">
        <v>14891.6</v>
      </c>
      <c r="H38" s="28">
        <v>14136.4</v>
      </c>
      <c r="I38" s="28">
        <v>11929.8</v>
      </c>
      <c r="J38" s="28">
        <v>16567.2</v>
      </c>
      <c r="K38" s="28">
        <v>16118.8</v>
      </c>
      <c r="L38" s="28">
        <v>11434.2</v>
      </c>
      <c r="M38" s="28">
        <v>12236.6</v>
      </c>
      <c r="N38" s="28">
        <v>11398.8</v>
      </c>
      <c r="O38" s="28">
        <v>17806.2</v>
      </c>
      <c r="P38" s="28">
        <v>14443.2</v>
      </c>
      <c r="Q38" s="28">
        <v>12661.4</v>
      </c>
      <c r="R38" s="28">
        <v>17003.8</v>
      </c>
      <c r="S38" s="28">
        <v>170628</v>
      </c>
    </row>
    <row r="39" spans="1:19">
      <c r="A39" s="17" t="s">
        <v>35</v>
      </c>
      <c r="B39" s="17" t="s">
        <v>36</v>
      </c>
      <c r="C39" s="17" t="s">
        <v>170</v>
      </c>
      <c r="D39" s="17" t="s">
        <v>37</v>
      </c>
      <c r="E39" s="17" t="s">
        <v>206</v>
      </c>
      <c r="F39" s="17" t="s">
        <v>175</v>
      </c>
      <c r="G39" s="29">
        <v>66267620</v>
      </c>
      <c r="H39" s="29">
        <v>62906980</v>
      </c>
      <c r="I39" s="29">
        <v>53087610</v>
      </c>
      <c r="J39" s="29">
        <v>73724040</v>
      </c>
      <c r="K39" s="29">
        <v>71728660</v>
      </c>
      <c r="L39" s="29">
        <v>50882190</v>
      </c>
      <c r="M39" s="29">
        <v>54452870</v>
      </c>
      <c r="N39" s="29">
        <v>50724660</v>
      </c>
      <c r="O39" s="29">
        <v>79237590</v>
      </c>
      <c r="P39" s="29">
        <v>64272240</v>
      </c>
      <c r="Q39" s="29">
        <v>56343230</v>
      </c>
      <c r="R39" s="29">
        <v>75666910</v>
      </c>
      <c r="S39" s="29">
        <v>759294600</v>
      </c>
    </row>
    <row r="40" spans="1:19">
      <c r="A40" s="18" t="s">
        <v>38</v>
      </c>
      <c r="B40" s="18" t="s">
        <v>39</v>
      </c>
      <c r="C40" s="19" t="s">
        <v>165</v>
      </c>
      <c r="D40" s="19" t="s">
        <v>37</v>
      </c>
      <c r="E40" s="19" t="s">
        <v>204</v>
      </c>
      <c r="F40" s="19" t="s">
        <v>166</v>
      </c>
      <c r="G40" s="30">
        <v>19.87</v>
      </c>
      <c r="H40" s="30">
        <v>24.57</v>
      </c>
      <c r="I40" s="30">
        <v>21.9</v>
      </c>
      <c r="J40" s="30">
        <v>18.13</v>
      </c>
      <c r="K40" s="30">
        <v>18.809999999999999</v>
      </c>
      <c r="L40" s="30">
        <v>20.63</v>
      </c>
      <c r="M40" s="30">
        <v>16.809999999999999</v>
      </c>
      <c r="N40" s="30">
        <v>24.79</v>
      </c>
      <c r="O40" s="30">
        <v>16.37</v>
      </c>
      <c r="P40" s="30">
        <v>20.94</v>
      </c>
      <c r="Q40" s="30">
        <v>17.91</v>
      </c>
      <c r="R40" s="30">
        <v>18.350000000000001</v>
      </c>
      <c r="S40" s="30">
        <v>239.07999999999998</v>
      </c>
    </row>
    <row r="41" spans="1:19">
      <c r="A41" s="20" t="s">
        <v>38</v>
      </c>
      <c r="B41" s="20" t="s">
        <v>39</v>
      </c>
      <c r="C41" s="21" t="s">
        <v>165</v>
      </c>
      <c r="D41" s="21" t="s">
        <v>37</v>
      </c>
      <c r="E41" s="21" t="s">
        <v>205</v>
      </c>
      <c r="F41" s="21" t="s">
        <v>37</v>
      </c>
      <c r="G41" s="31">
        <v>28811.5</v>
      </c>
      <c r="H41" s="31">
        <v>35626.5</v>
      </c>
      <c r="I41" s="31">
        <v>31755</v>
      </c>
      <c r="J41" s="31">
        <v>26288.5</v>
      </c>
      <c r="K41" s="31">
        <v>27274.5</v>
      </c>
      <c r="L41" s="31">
        <v>29913.5</v>
      </c>
      <c r="M41" s="31">
        <v>24374.5</v>
      </c>
      <c r="N41" s="31">
        <v>35945.5</v>
      </c>
      <c r="O41" s="31">
        <v>23736.5</v>
      </c>
      <c r="P41" s="31">
        <v>30363</v>
      </c>
      <c r="Q41" s="31">
        <v>25969.5</v>
      </c>
      <c r="R41" s="31">
        <v>26607.5</v>
      </c>
      <c r="S41" s="31">
        <v>346666</v>
      </c>
    </row>
    <row r="42" spans="1:19">
      <c r="A42" s="22" t="s">
        <v>38</v>
      </c>
      <c r="B42" s="22" t="s">
        <v>39</v>
      </c>
      <c r="C42" s="22" t="s">
        <v>165</v>
      </c>
      <c r="D42" s="22" t="s">
        <v>37</v>
      </c>
      <c r="E42" s="22" t="s">
        <v>206</v>
      </c>
      <c r="F42" s="22" t="s">
        <v>175</v>
      </c>
      <c r="G42" s="32">
        <v>128211175</v>
      </c>
      <c r="H42" s="32">
        <v>158537925</v>
      </c>
      <c r="I42" s="32">
        <v>141309750</v>
      </c>
      <c r="J42" s="32">
        <v>116983825</v>
      </c>
      <c r="K42" s="32">
        <v>121371525</v>
      </c>
      <c r="L42" s="32">
        <v>133115075</v>
      </c>
      <c r="M42" s="32">
        <v>108466525</v>
      </c>
      <c r="N42" s="32">
        <v>159957475</v>
      </c>
      <c r="O42" s="32">
        <v>105627425</v>
      </c>
      <c r="P42" s="32">
        <v>135115350</v>
      </c>
      <c r="Q42" s="32">
        <v>115564275</v>
      </c>
      <c r="R42" s="32">
        <v>118403375</v>
      </c>
      <c r="S42" s="32">
        <v>1542663700</v>
      </c>
    </row>
    <row r="43" spans="1:19">
      <c r="A43" s="20" t="s">
        <v>38</v>
      </c>
      <c r="B43" s="20" t="s">
        <v>39</v>
      </c>
      <c r="C43" s="21" t="s">
        <v>167</v>
      </c>
      <c r="D43" s="21" t="s">
        <v>37</v>
      </c>
      <c r="E43" s="21" t="s">
        <v>204</v>
      </c>
      <c r="F43" s="21" t="s">
        <v>166</v>
      </c>
      <c r="G43" s="31">
        <v>12.67</v>
      </c>
      <c r="H43" s="31">
        <v>21.44</v>
      </c>
      <c r="I43" s="31">
        <v>17.88</v>
      </c>
      <c r="J43" s="31">
        <v>18.28</v>
      </c>
      <c r="K43" s="31">
        <v>21.06</v>
      </c>
      <c r="L43" s="31">
        <v>20</v>
      </c>
      <c r="M43" s="31">
        <v>14.02</v>
      </c>
      <c r="N43" s="31">
        <v>13.37</v>
      </c>
      <c r="O43" s="31">
        <v>15.46</v>
      </c>
      <c r="P43" s="31">
        <v>19.14</v>
      </c>
      <c r="Q43" s="31">
        <v>17.55</v>
      </c>
      <c r="R43" s="31">
        <v>21.56</v>
      </c>
      <c r="S43" s="31">
        <v>212.43</v>
      </c>
    </row>
    <row r="44" spans="1:19">
      <c r="A44" s="20" t="s">
        <v>38</v>
      </c>
      <c r="B44" s="20" t="s">
        <v>39</v>
      </c>
      <c r="C44" s="21" t="s">
        <v>167</v>
      </c>
      <c r="D44" s="21" t="s">
        <v>37</v>
      </c>
      <c r="E44" s="21" t="s">
        <v>205</v>
      </c>
      <c r="F44" s="21" t="s">
        <v>37</v>
      </c>
      <c r="G44" s="31">
        <v>16724.400000000001</v>
      </c>
      <c r="H44" s="31">
        <v>28300.799999999999</v>
      </c>
      <c r="I44" s="31">
        <v>23601.599999999999</v>
      </c>
      <c r="J44" s="31">
        <v>24129.599999999999</v>
      </c>
      <c r="K44" s="31">
        <v>27799.200000000001</v>
      </c>
      <c r="L44" s="31">
        <v>26400</v>
      </c>
      <c r="M44" s="31">
        <v>18506.400000000001</v>
      </c>
      <c r="N44" s="31">
        <v>17648.400000000001</v>
      </c>
      <c r="O44" s="31">
        <v>20407.2</v>
      </c>
      <c r="P44" s="31">
        <v>25264.799999999999</v>
      </c>
      <c r="Q44" s="31">
        <v>23166</v>
      </c>
      <c r="R44" s="31">
        <v>28459.200000000001</v>
      </c>
      <c r="S44" s="31">
        <v>280407.59999999998</v>
      </c>
    </row>
    <row r="45" spans="1:19">
      <c r="A45" s="22" t="s">
        <v>38</v>
      </c>
      <c r="B45" s="22" t="s">
        <v>39</v>
      </c>
      <c r="C45" s="22" t="s">
        <v>167</v>
      </c>
      <c r="D45" s="22" t="s">
        <v>37</v>
      </c>
      <c r="E45" s="22" t="s">
        <v>206</v>
      </c>
      <c r="F45" s="22" t="s">
        <v>175</v>
      </c>
      <c r="G45" s="32">
        <v>74423580</v>
      </c>
      <c r="H45" s="32">
        <v>125938560</v>
      </c>
      <c r="I45" s="32">
        <v>105027120</v>
      </c>
      <c r="J45" s="32">
        <v>107376720</v>
      </c>
      <c r="K45" s="32">
        <v>123706440</v>
      </c>
      <c r="L45" s="32">
        <v>117480000</v>
      </c>
      <c r="M45" s="32">
        <v>82353480</v>
      </c>
      <c r="N45" s="32">
        <v>78535380</v>
      </c>
      <c r="O45" s="32">
        <v>90812040</v>
      </c>
      <c r="P45" s="32">
        <v>112428360</v>
      </c>
      <c r="Q45" s="32">
        <v>103088700</v>
      </c>
      <c r="R45" s="32">
        <v>126643440</v>
      </c>
      <c r="S45" s="32">
        <v>1247813820</v>
      </c>
    </row>
    <row r="46" spans="1:19">
      <c r="A46" s="20" t="s">
        <v>38</v>
      </c>
      <c r="B46" s="20" t="s">
        <v>39</v>
      </c>
      <c r="C46" s="21" t="s">
        <v>168</v>
      </c>
      <c r="D46" s="21" t="s">
        <v>37</v>
      </c>
      <c r="E46" s="21" t="s">
        <v>204</v>
      </c>
      <c r="F46" s="21" t="s">
        <v>166</v>
      </c>
      <c r="G46" s="31">
        <v>17.989999999999998</v>
      </c>
      <c r="H46" s="31">
        <v>18.100000000000001</v>
      </c>
      <c r="I46" s="31">
        <v>15.91</v>
      </c>
      <c r="J46" s="31">
        <v>14.67</v>
      </c>
      <c r="K46" s="31">
        <v>14.81</v>
      </c>
      <c r="L46" s="31">
        <v>10.9</v>
      </c>
      <c r="M46" s="31">
        <v>16.96</v>
      </c>
      <c r="N46" s="31">
        <v>17.89</v>
      </c>
      <c r="O46" s="31">
        <v>14.05</v>
      </c>
      <c r="P46" s="31">
        <v>19.18</v>
      </c>
      <c r="Q46" s="31">
        <v>11.04</v>
      </c>
      <c r="R46" s="31">
        <v>17.98</v>
      </c>
      <c r="S46" s="31">
        <v>189.48</v>
      </c>
    </row>
    <row r="47" spans="1:19">
      <c r="A47" s="20" t="s">
        <v>38</v>
      </c>
      <c r="B47" s="20" t="s">
        <v>39</v>
      </c>
      <c r="C47" s="21" t="s">
        <v>168</v>
      </c>
      <c r="D47" s="21" t="s">
        <v>37</v>
      </c>
      <c r="E47" s="21" t="s">
        <v>205</v>
      </c>
      <c r="F47" s="21" t="s">
        <v>37</v>
      </c>
      <c r="G47" s="31">
        <v>22847.3</v>
      </c>
      <c r="H47" s="31">
        <v>22987</v>
      </c>
      <c r="I47" s="31">
        <v>20205.7</v>
      </c>
      <c r="J47" s="31">
        <v>18630.900000000001</v>
      </c>
      <c r="K47" s="31">
        <v>18808.7</v>
      </c>
      <c r="L47" s="31">
        <v>13843</v>
      </c>
      <c r="M47" s="31">
        <v>21539.200000000001</v>
      </c>
      <c r="N47" s="31">
        <v>22720.3</v>
      </c>
      <c r="O47" s="31">
        <v>17843.5</v>
      </c>
      <c r="P47" s="31">
        <v>24358.6</v>
      </c>
      <c r="Q47" s="31">
        <v>14020.8</v>
      </c>
      <c r="R47" s="31">
        <v>22834.6</v>
      </c>
      <c r="S47" s="31">
        <v>240639.6</v>
      </c>
    </row>
    <row r="48" spans="1:19">
      <c r="A48" s="22" t="s">
        <v>38</v>
      </c>
      <c r="B48" s="22" t="s">
        <v>39</v>
      </c>
      <c r="C48" s="22" t="s">
        <v>168</v>
      </c>
      <c r="D48" s="22" t="s">
        <v>37</v>
      </c>
      <c r="E48" s="22" t="s">
        <v>206</v>
      </c>
      <c r="F48" s="22" t="s">
        <v>175</v>
      </c>
      <c r="G48" s="32">
        <v>101670485</v>
      </c>
      <c r="H48" s="32">
        <v>102292150</v>
      </c>
      <c r="I48" s="32">
        <v>89915365</v>
      </c>
      <c r="J48" s="32">
        <v>82907505</v>
      </c>
      <c r="K48" s="32">
        <v>83698715</v>
      </c>
      <c r="L48" s="32">
        <v>61601350</v>
      </c>
      <c r="M48" s="32">
        <v>95849440</v>
      </c>
      <c r="N48" s="32">
        <v>101105335</v>
      </c>
      <c r="O48" s="32">
        <v>79403575</v>
      </c>
      <c r="P48" s="32">
        <v>108395770</v>
      </c>
      <c r="Q48" s="32">
        <v>62392560</v>
      </c>
      <c r="R48" s="32">
        <v>101613970</v>
      </c>
      <c r="S48" s="32">
        <v>1070846220</v>
      </c>
    </row>
    <row r="49" spans="1:19">
      <c r="A49" s="20" t="s">
        <v>38</v>
      </c>
      <c r="B49" s="20" t="s">
        <v>39</v>
      </c>
      <c r="C49" s="21" t="s">
        <v>169</v>
      </c>
      <c r="D49" s="21" t="s">
        <v>37</v>
      </c>
      <c r="E49" s="21" t="s">
        <v>204</v>
      </c>
      <c r="F49" s="21" t="s">
        <v>166</v>
      </c>
      <c r="G49" s="31">
        <v>22.73</v>
      </c>
      <c r="H49" s="31">
        <v>23.74</v>
      </c>
      <c r="I49" s="31">
        <v>22.85</v>
      </c>
      <c r="J49" s="31">
        <v>18.55</v>
      </c>
      <c r="K49" s="31">
        <v>18.96</v>
      </c>
      <c r="L49" s="31">
        <v>20.47</v>
      </c>
      <c r="M49" s="31">
        <v>25.54</v>
      </c>
      <c r="N49" s="31">
        <v>16.07</v>
      </c>
      <c r="O49" s="31">
        <v>17.62</v>
      </c>
      <c r="P49" s="31">
        <v>23.8</v>
      </c>
      <c r="Q49" s="31">
        <v>15.8</v>
      </c>
      <c r="R49" s="31">
        <v>16.23</v>
      </c>
      <c r="S49" s="31">
        <v>242.36</v>
      </c>
    </row>
    <row r="50" spans="1:19">
      <c r="A50" s="20" t="s">
        <v>38</v>
      </c>
      <c r="B50" s="20" t="s">
        <v>39</v>
      </c>
      <c r="C50" s="21" t="s">
        <v>169</v>
      </c>
      <c r="D50" s="21" t="s">
        <v>37</v>
      </c>
      <c r="E50" s="21" t="s">
        <v>205</v>
      </c>
      <c r="F50" s="21" t="s">
        <v>37</v>
      </c>
      <c r="G50" s="31">
        <v>31594.7</v>
      </c>
      <c r="H50" s="31">
        <v>32998.6</v>
      </c>
      <c r="I50" s="31">
        <v>31761.5</v>
      </c>
      <c r="J50" s="31">
        <v>25784.5</v>
      </c>
      <c r="K50" s="31">
        <v>26354.400000000001</v>
      </c>
      <c r="L50" s="31">
        <v>28453.3</v>
      </c>
      <c r="M50" s="31">
        <v>35500.6</v>
      </c>
      <c r="N50" s="31">
        <v>22337.3</v>
      </c>
      <c r="O50" s="31">
        <v>24491.8</v>
      </c>
      <c r="P50" s="31">
        <v>33082</v>
      </c>
      <c r="Q50" s="31">
        <v>21962</v>
      </c>
      <c r="R50" s="31">
        <v>22559.7</v>
      </c>
      <c r="S50" s="31">
        <v>336880.4</v>
      </c>
    </row>
    <row r="51" spans="1:19">
      <c r="A51" s="22" t="s">
        <v>38</v>
      </c>
      <c r="B51" s="22" t="s">
        <v>39</v>
      </c>
      <c r="C51" s="22" t="s">
        <v>169</v>
      </c>
      <c r="D51" s="22" t="s">
        <v>37</v>
      </c>
      <c r="E51" s="22" t="s">
        <v>206</v>
      </c>
      <c r="F51" s="22" t="s">
        <v>175</v>
      </c>
      <c r="G51" s="32">
        <v>140596415</v>
      </c>
      <c r="H51" s="32">
        <v>146843770</v>
      </c>
      <c r="I51" s="32">
        <v>141338675</v>
      </c>
      <c r="J51" s="32">
        <v>114741025</v>
      </c>
      <c r="K51" s="32">
        <v>117277080</v>
      </c>
      <c r="L51" s="32">
        <v>126617185</v>
      </c>
      <c r="M51" s="32">
        <v>157977670</v>
      </c>
      <c r="N51" s="32">
        <v>99400985</v>
      </c>
      <c r="O51" s="32">
        <v>108988510</v>
      </c>
      <c r="P51" s="32">
        <v>147214900</v>
      </c>
      <c r="Q51" s="32">
        <v>97730900</v>
      </c>
      <c r="R51" s="32">
        <v>100390665</v>
      </c>
      <c r="S51" s="32">
        <v>1499117780</v>
      </c>
    </row>
    <row r="52" spans="1:19">
      <c r="A52" s="20" t="s">
        <v>38</v>
      </c>
      <c r="B52" s="20" t="s">
        <v>39</v>
      </c>
      <c r="C52" s="21" t="s">
        <v>170</v>
      </c>
      <c r="D52" s="21" t="s">
        <v>37</v>
      </c>
      <c r="E52" s="21" t="s">
        <v>204</v>
      </c>
      <c r="F52" s="21" t="s">
        <v>166</v>
      </c>
      <c r="G52" s="31">
        <v>13.16</v>
      </c>
      <c r="H52" s="31">
        <v>10.15</v>
      </c>
      <c r="I52" s="31">
        <v>11.08</v>
      </c>
      <c r="J52" s="31">
        <v>13.87</v>
      </c>
      <c r="K52" s="31">
        <v>14.4</v>
      </c>
      <c r="L52" s="31">
        <v>11.31</v>
      </c>
      <c r="M52" s="31">
        <v>14.48</v>
      </c>
      <c r="N52" s="31">
        <v>13.7</v>
      </c>
      <c r="O52" s="31">
        <v>9.52</v>
      </c>
      <c r="P52" s="31">
        <v>13.14</v>
      </c>
      <c r="Q52" s="31">
        <v>9.1300000000000008</v>
      </c>
      <c r="R52" s="31">
        <v>10.3</v>
      </c>
      <c r="S52" s="31">
        <v>144.24</v>
      </c>
    </row>
    <row r="53" spans="1:19">
      <c r="A53" s="20" t="s">
        <v>38</v>
      </c>
      <c r="B53" s="20" t="s">
        <v>39</v>
      </c>
      <c r="C53" s="21" t="s">
        <v>170</v>
      </c>
      <c r="D53" s="21" t="s">
        <v>37</v>
      </c>
      <c r="E53" s="21" t="s">
        <v>205</v>
      </c>
      <c r="F53" s="21" t="s">
        <v>37</v>
      </c>
      <c r="G53" s="31">
        <v>15528.8</v>
      </c>
      <c r="H53" s="31">
        <v>11977</v>
      </c>
      <c r="I53" s="31">
        <v>13074.4</v>
      </c>
      <c r="J53" s="31">
        <v>16366.6</v>
      </c>
      <c r="K53" s="31">
        <v>16992</v>
      </c>
      <c r="L53" s="31">
        <v>13345.8</v>
      </c>
      <c r="M53" s="31">
        <v>17086.400000000001</v>
      </c>
      <c r="N53" s="31">
        <v>16166</v>
      </c>
      <c r="O53" s="31">
        <v>11233.6</v>
      </c>
      <c r="P53" s="31">
        <v>15505.2</v>
      </c>
      <c r="Q53" s="31">
        <v>10773.4</v>
      </c>
      <c r="R53" s="31">
        <v>12154</v>
      </c>
      <c r="S53" s="31">
        <v>170203.2</v>
      </c>
    </row>
    <row r="54" spans="1:19">
      <c r="A54" s="22" t="s">
        <v>38</v>
      </c>
      <c r="B54" s="22" t="s">
        <v>39</v>
      </c>
      <c r="C54" s="22" t="s">
        <v>170</v>
      </c>
      <c r="D54" s="22" t="s">
        <v>37</v>
      </c>
      <c r="E54" s="22" t="s">
        <v>206</v>
      </c>
      <c r="F54" s="22" t="s">
        <v>175</v>
      </c>
      <c r="G54" s="32">
        <v>69103160</v>
      </c>
      <c r="H54" s="32">
        <v>53297650</v>
      </c>
      <c r="I54" s="32">
        <v>58181080</v>
      </c>
      <c r="J54" s="32">
        <v>72831370</v>
      </c>
      <c r="K54" s="32">
        <v>75614400</v>
      </c>
      <c r="L54" s="32">
        <v>59388810</v>
      </c>
      <c r="M54" s="32">
        <v>76034480</v>
      </c>
      <c r="N54" s="32">
        <v>71938700</v>
      </c>
      <c r="O54" s="32">
        <v>49989520</v>
      </c>
      <c r="P54" s="32">
        <v>68998140</v>
      </c>
      <c r="Q54" s="32">
        <v>47941630</v>
      </c>
      <c r="R54" s="32">
        <v>54085300</v>
      </c>
      <c r="S54" s="32">
        <v>757404240</v>
      </c>
    </row>
  </sheetData>
  <mergeCells count="15">
    <mergeCell ref="P5:S5"/>
    <mergeCell ref="A7:S7"/>
    <mergeCell ref="A5:C5"/>
    <mergeCell ref="D5:F5"/>
    <mergeCell ref="G5:I5"/>
    <mergeCell ref="J5:L5"/>
    <mergeCell ref="M5:O5"/>
    <mergeCell ref="A1:S1"/>
    <mergeCell ref="A2:S2"/>
    <mergeCell ref="A4:C4"/>
    <mergeCell ref="D4:F4"/>
    <mergeCell ref="G4:I4"/>
    <mergeCell ref="J4:L4"/>
    <mergeCell ref="M4:O4"/>
    <mergeCell ref="P4:S4"/>
  </mergeCells>
  <conditionalFormatting sqref="S10:S54">
    <cfRule type="dataBar" priority="1">
      <dataBar>
        <cfvo type="min"/>
        <cfvo type="max"/>
        <color rgb="FFA02B93"/>
      </dataBar>
    </cfRule>
    <cfRule type="dataBar" priority="2">
      <dataBar>
        <cfvo type="min"/>
        <cfvo type="max"/>
        <color rgb="FFA02B93"/>
      </dataBar>
      <extLst>
        <ext xmlns:x14="http://schemas.microsoft.com/office/spreadsheetml/2009/9/main" uri="{B025F937-C7B1-47D3-B67F-A62EFF666E3E}">
          <x14:id>{55A74A3F-6AFA-3C89-6848-3917534EA35A}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5A74A3F-6AFA-3C89-6848-3917534EA35A}">
            <x14:dataBar>
              <x14:cfvo type="min"/>
              <x14:cfvo type="max"/>
              <x14:negativeFillColor auto="1"/>
              <x14:axisColor auto="1"/>
            </x14:dataBar>
          </x14:cfRule>
          <xm:sqref>S10:S54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19"/>
  <sheetViews>
    <sheetView workbookViewId="0">
      <selection activeCell="Q21" sqref="Q21"/>
    </sheetView>
  </sheetViews>
  <sheetFormatPr baseColWidth="10" defaultColWidth="8.83203125" defaultRowHeight="14"/>
  <cols>
    <col min="1" max="1" width="5.1640625" customWidth="1"/>
    <col min="2" max="2" width="30" customWidth="1"/>
    <col min="3" max="3" width="24" customWidth="1"/>
    <col min="4" max="4" width="4.6640625" customWidth="1"/>
    <col min="5" max="16" width="8.83203125" customWidth="1"/>
    <col min="17" max="17" width="9.83203125" customWidth="1"/>
  </cols>
  <sheetData>
    <row r="1" spans="1:17" ht="30">
      <c r="A1" s="1" t="s">
        <v>27</v>
      </c>
      <c r="B1" s="1" t="s">
        <v>28</v>
      </c>
      <c r="C1" s="1" t="s">
        <v>207</v>
      </c>
      <c r="D1" s="1" t="s">
        <v>151</v>
      </c>
      <c r="E1" s="1" t="s">
        <v>152</v>
      </c>
      <c r="F1" s="1" t="s">
        <v>153</v>
      </c>
      <c r="G1" s="1" t="s">
        <v>154</v>
      </c>
      <c r="H1" s="1" t="s">
        <v>155</v>
      </c>
      <c r="I1" s="1" t="s">
        <v>156</v>
      </c>
      <c r="J1" s="1" t="s">
        <v>157</v>
      </c>
      <c r="K1" s="1" t="s">
        <v>158</v>
      </c>
      <c r="L1" s="1" t="s">
        <v>159</v>
      </c>
      <c r="M1" s="1" t="s">
        <v>160</v>
      </c>
      <c r="N1" s="1" t="s">
        <v>161</v>
      </c>
      <c r="O1" s="1" t="s">
        <v>162</v>
      </c>
      <c r="P1" s="1" t="s">
        <v>163</v>
      </c>
      <c r="Q1" s="1" t="s">
        <v>164</v>
      </c>
    </row>
    <row r="2" spans="1:17">
      <c r="A2" t="s">
        <v>31</v>
      </c>
      <c r="B2" t="s">
        <v>32</v>
      </c>
      <c r="C2" t="s">
        <v>208</v>
      </c>
      <c r="D2" t="s">
        <v>175</v>
      </c>
      <c r="E2" s="4">
        <v>15459000</v>
      </c>
      <c r="F2" s="4">
        <v>13310000</v>
      </c>
      <c r="G2" s="4">
        <v>12505000</v>
      </c>
      <c r="H2" s="4">
        <v>14540000</v>
      </c>
      <c r="I2" s="4">
        <v>14596000</v>
      </c>
      <c r="J2" s="4">
        <v>14147000</v>
      </c>
      <c r="K2" s="4">
        <v>14864000</v>
      </c>
      <c r="L2" s="4">
        <v>13826000</v>
      </c>
      <c r="M2" s="4">
        <v>12952000</v>
      </c>
      <c r="N2" s="4">
        <v>16240000</v>
      </c>
      <c r="O2" s="4">
        <v>12290000</v>
      </c>
      <c r="P2" s="4">
        <v>12958000</v>
      </c>
      <c r="Q2" s="4">
        <v>167687000</v>
      </c>
    </row>
    <row r="3" spans="1:17">
      <c r="A3" t="s">
        <v>31</v>
      </c>
      <c r="B3" t="s">
        <v>32</v>
      </c>
      <c r="C3" t="s">
        <v>209</v>
      </c>
      <c r="D3" t="s">
        <v>175</v>
      </c>
      <c r="E3" s="4">
        <v>6129000</v>
      </c>
      <c r="F3" s="4">
        <v>6722000</v>
      </c>
      <c r="G3" s="4">
        <v>7207000</v>
      </c>
      <c r="H3" s="4">
        <v>6738000</v>
      </c>
      <c r="I3" s="4">
        <v>5533000</v>
      </c>
      <c r="J3" s="4">
        <v>5968000</v>
      </c>
      <c r="K3" s="4">
        <v>6557000</v>
      </c>
      <c r="L3" s="4">
        <v>6476000</v>
      </c>
      <c r="M3" s="4">
        <v>6986000</v>
      </c>
      <c r="N3" s="4">
        <v>6522000</v>
      </c>
      <c r="O3" s="4">
        <v>7462000</v>
      </c>
      <c r="P3" s="4">
        <v>6749000</v>
      </c>
      <c r="Q3" s="4">
        <v>79049000</v>
      </c>
    </row>
    <row r="4" spans="1:17">
      <c r="A4" t="s">
        <v>31</v>
      </c>
      <c r="B4" t="s">
        <v>32</v>
      </c>
      <c r="C4" t="s">
        <v>210</v>
      </c>
      <c r="D4" t="s">
        <v>175</v>
      </c>
      <c r="E4" s="4">
        <v>8498000</v>
      </c>
      <c r="F4" s="4">
        <v>9006000</v>
      </c>
      <c r="G4" s="4">
        <v>7622000</v>
      </c>
      <c r="H4" s="4">
        <v>9242000</v>
      </c>
      <c r="I4" s="4">
        <v>8370000</v>
      </c>
      <c r="J4" s="4">
        <v>8568000</v>
      </c>
      <c r="K4" s="4">
        <v>7737000</v>
      </c>
      <c r="L4" s="4">
        <v>8357000</v>
      </c>
      <c r="M4" s="4">
        <v>9697000</v>
      </c>
      <c r="N4" s="4">
        <v>9406000</v>
      </c>
      <c r="O4" s="4">
        <v>8223000</v>
      </c>
      <c r="P4" s="4">
        <v>9865000</v>
      </c>
      <c r="Q4" s="4">
        <v>104591000</v>
      </c>
    </row>
    <row r="5" spans="1:17">
      <c r="A5" t="s">
        <v>31</v>
      </c>
      <c r="B5" t="s">
        <v>32</v>
      </c>
      <c r="C5" t="s">
        <v>211</v>
      </c>
      <c r="D5" t="s">
        <v>175</v>
      </c>
      <c r="E5" s="4">
        <v>44071000</v>
      </c>
      <c r="F5" s="4">
        <v>52068000</v>
      </c>
      <c r="G5" s="4">
        <v>51155000</v>
      </c>
      <c r="H5" s="4">
        <v>43594000</v>
      </c>
      <c r="I5" s="4">
        <v>50871000</v>
      </c>
      <c r="J5" s="4">
        <v>52049000</v>
      </c>
      <c r="K5" s="4">
        <v>47609000</v>
      </c>
      <c r="L5" s="4">
        <v>56141000</v>
      </c>
      <c r="M5" s="4">
        <v>42383000</v>
      </c>
      <c r="N5" s="4">
        <v>51569000</v>
      </c>
      <c r="O5" s="4">
        <v>52253000</v>
      </c>
      <c r="P5" s="4">
        <v>47695000</v>
      </c>
      <c r="Q5" s="4">
        <v>591458000</v>
      </c>
    </row>
    <row r="6" spans="1:17">
      <c r="A6" t="s">
        <v>31</v>
      </c>
      <c r="B6" t="s">
        <v>32</v>
      </c>
      <c r="C6" t="s">
        <v>212</v>
      </c>
      <c r="D6" t="s">
        <v>175</v>
      </c>
      <c r="E6" s="4">
        <v>4098000</v>
      </c>
      <c r="F6" s="4">
        <v>5257000</v>
      </c>
      <c r="G6" s="4">
        <v>5277000</v>
      </c>
      <c r="H6" s="4">
        <v>5207000</v>
      </c>
      <c r="I6" s="4">
        <v>5287000</v>
      </c>
      <c r="J6" s="4">
        <v>4862000</v>
      </c>
      <c r="K6" s="4">
        <v>5230000</v>
      </c>
      <c r="L6" s="4">
        <v>5380000</v>
      </c>
      <c r="M6" s="4">
        <v>4330000</v>
      </c>
      <c r="N6" s="4">
        <v>4945000</v>
      </c>
      <c r="O6" s="4">
        <v>5318000</v>
      </c>
      <c r="P6" s="4">
        <v>4404000</v>
      </c>
      <c r="Q6" s="4">
        <v>59595000</v>
      </c>
    </row>
    <row r="7" spans="1:17">
      <c r="A7" t="s">
        <v>31</v>
      </c>
      <c r="B7" t="s">
        <v>32</v>
      </c>
      <c r="C7" t="s">
        <v>213</v>
      </c>
      <c r="D7" t="s">
        <v>175</v>
      </c>
      <c r="E7" s="4">
        <v>3111000</v>
      </c>
      <c r="F7" s="4">
        <v>2815000</v>
      </c>
      <c r="G7" s="4">
        <v>3177000</v>
      </c>
      <c r="H7" s="4">
        <v>3226000</v>
      </c>
      <c r="I7" s="4">
        <v>3415000</v>
      </c>
      <c r="J7" s="4">
        <v>2822000</v>
      </c>
      <c r="K7" s="4">
        <v>2849000</v>
      </c>
      <c r="L7" s="4">
        <v>3707000</v>
      </c>
      <c r="M7" s="4">
        <v>3643000</v>
      </c>
      <c r="N7" s="4">
        <v>2862000</v>
      </c>
      <c r="O7" s="4">
        <v>2996000</v>
      </c>
      <c r="P7" s="4">
        <v>2996000</v>
      </c>
      <c r="Q7" s="4">
        <v>37619000</v>
      </c>
    </row>
    <row r="8" spans="1:17">
      <c r="A8" t="s">
        <v>35</v>
      </c>
      <c r="B8" t="s">
        <v>36</v>
      </c>
      <c r="C8" t="s">
        <v>208</v>
      </c>
      <c r="D8" t="s">
        <v>175</v>
      </c>
      <c r="E8" s="4">
        <v>14165000</v>
      </c>
      <c r="F8" s="4">
        <v>15237000</v>
      </c>
      <c r="G8" s="4">
        <v>15725000</v>
      </c>
      <c r="H8" s="4">
        <v>15379000</v>
      </c>
      <c r="I8" s="4">
        <v>13119000</v>
      </c>
      <c r="J8" s="4">
        <v>16977000</v>
      </c>
      <c r="K8" s="4">
        <v>13506000</v>
      </c>
      <c r="L8" s="4">
        <v>13582000</v>
      </c>
      <c r="M8" s="4">
        <v>16299000</v>
      </c>
      <c r="N8" s="4">
        <v>16760000</v>
      </c>
      <c r="O8" s="4">
        <v>17053000</v>
      </c>
      <c r="P8" s="4">
        <v>16623000</v>
      </c>
      <c r="Q8" s="4">
        <v>184425000</v>
      </c>
    </row>
    <row r="9" spans="1:17">
      <c r="A9" t="s">
        <v>35</v>
      </c>
      <c r="B9" t="s">
        <v>36</v>
      </c>
      <c r="C9" t="s">
        <v>209</v>
      </c>
      <c r="D9" t="s">
        <v>175</v>
      </c>
      <c r="E9" s="4">
        <v>7683000</v>
      </c>
      <c r="F9" s="4">
        <v>7264000</v>
      </c>
      <c r="G9" s="4">
        <v>7878000</v>
      </c>
      <c r="H9" s="4">
        <v>7601000</v>
      </c>
      <c r="I9" s="4">
        <v>7045000</v>
      </c>
      <c r="J9" s="4">
        <v>6064000</v>
      </c>
      <c r="K9" s="4">
        <v>6233000</v>
      </c>
      <c r="L9" s="4">
        <v>7190000</v>
      </c>
      <c r="M9" s="4">
        <v>7830000</v>
      </c>
      <c r="N9" s="4">
        <v>6135000</v>
      </c>
      <c r="O9" s="4">
        <v>6117000</v>
      </c>
      <c r="P9" s="4">
        <v>8063000</v>
      </c>
      <c r="Q9" s="4">
        <v>85103000</v>
      </c>
    </row>
    <row r="10" spans="1:17">
      <c r="A10" t="s">
        <v>35</v>
      </c>
      <c r="B10" t="s">
        <v>36</v>
      </c>
      <c r="C10" t="s">
        <v>210</v>
      </c>
      <c r="D10" t="s">
        <v>175</v>
      </c>
      <c r="E10" s="4">
        <v>8441000</v>
      </c>
      <c r="F10" s="4">
        <v>9389000</v>
      </c>
      <c r="G10" s="4">
        <v>10408000</v>
      </c>
      <c r="H10" s="4">
        <v>8389000</v>
      </c>
      <c r="I10" s="4">
        <v>8472000</v>
      </c>
      <c r="J10" s="4">
        <v>10564000</v>
      </c>
      <c r="K10" s="4">
        <v>10540000</v>
      </c>
      <c r="L10" s="4">
        <v>9393000</v>
      </c>
      <c r="M10" s="4">
        <v>10447000</v>
      </c>
      <c r="N10" s="4">
        <v>10370000</v>
      </c>
      <c r="O10" s="4">
        <v>10391000</v>
      </c>
      <c r="P10" s="4">
        <v>10992000</v>
      </c>
      <c r="Q10" s="4">
        <v>117796000</v>
      </c>
    </row>
    <row r="11" spans="1:17">
      <c r="A11" t="s">
        <v>35</v>
      </c>
      <c r="B11" t="s">
        <v>36</v>
      </c>
      <c r="C11" t="s">
        <v>211</v>
      </c>
      <c r="D11" t="s">
        <v>175</v>
      </c>
      <c r="E11" s="4">
        <v>46401000</v>
      </c>
      <c r="F11" s="4">
        <v>53435000</v>
      </c>
      <c r="G11" s="4">
        <v>61706000</v>
      </c>
      <c r="H11" s="4">
        <v>47465000</v>
      </c>
      <c r="I11" s="4">
        <v>51886000</v>
      </c>
      <c r="J11" s="4">
        <v>47977000</v>
      </c>
      <c r="K11" s="4">
        <v>57969000</v>
      </c>
      <c r="L11" s="4">
        <v>48532000</v>
      </c>
      <c r="M11" s="4">
        <v>55908000</v>
      </c>
      <c r="N11" s="4">
        <v>57871000</v>
      </c>
      <c r="O11" s="4">
        <v>48110000</v>
      </c>
      <c r="P11" s="4">
        <v>60561000</v>
      </c>
      <c r="Q11" s="4">
        <v>637821000</v>
      </c>
    </row>
    <row r="12" spans="1:17">
      <c r="A12" t="s">
        <v>35</v>
      </c>
      <c r="B12" t="s">
        <v>36</v>
      </c>
      <c r="C12" t="s">
        <v>212</v>
      </c>
      <c r="D12" t="s">
        <v>175</v>
      </c>
      <c r="E12" s="4">
        <v>4425000</v>
      </c>
      <c r="F12" s="4">
        <v>5120000</v>
      </c>
      <c r="G12" s="4">
        <v>4811000</v>
      </c>
      <c r="H12" s="4">
        <v>5460000</v>
      </c>
      <c r="I12" s="4">
        <v>5690000</v>
      </c>
      <c r="J12" s="4">
        <v>4904000</v>
      </c>
      <c r="K12" s="4">
        <v>4395000</v>
      </c>
      <c r="L12" s="4">
        <v>5218000</v>
      </c>
      <c r="M12" s="4">
        <v>5111000</v>
      </c>
      <c r="N12" s="4">
        <v>5614000</v>
      </c>
      <c r="O12" s="4">
        <v>5658000</v>
      </c>
      <c r="P12" s="4">
        <v>4373000</v>
      </c>
      <c r="Q12" s="4">
        <v>60779000</v>
      </c>
    </row>
    <row r="13" spans="1:17">
      <c r="A13" t="s">
        <v>35</v>
      </c>
      <c r="B13" t="s">
        <v>36</v>
      </c>
      <c r="C13" t="s">
        <v>213</v>
      </c>
      <c r="D13" t="s">
        <v>175</v>
      </c>
      <c r="E13" s="4">
        <v>3354000</v>
      </c>
      <c r="F13" s="4">
        <v>4022000</v>
      </c>
      <c r="G13" s="4">
        <v>3974000</v>
      </c>
      <c r="H13" s="4">
        <v>3440000</v>
      </c>
      <c r="I13" s="4">
        <v>3518000</v>
      </c>
      <c r="J13" s="4">
        <v>3182000</v>
      </c>
      <c r="K13" s="4">
        <v>3795000</v>
      </c>
      <c r="L13" s="4">
        <v>3610000</v>
      </c>
      <c r="M13" s="4">
        <v>3260000</v>
      </c>
      <c r="N13" s="4">
        <v>3474000</v>
      </c>
      <c r="O13" s="4">
        <v>3279000</v>
      </c>
      <c r="P13" s="4">
        <v>3852000</v>
      </c>
      <c r="Q13" s="4">
        <v>42760000</v>
      </c>
    </row>
    <row r="14" spans="1:17">
      <c r="A14" t="s">
        <v>38</v>
      </c>
      <c r="B14" t="s">
        <v>39</v>
      </c>
      <c r="C14" t="s">
        <v>208</v>
      </c>
      <c r="D14" t="s">
        <v>175</v>
      </c>
      <c r="E14" s="4">
        <v>11499000</v>
      </c>
      <c r="F14" s="4">
        <v>14182000</v>
      </c>
      <c r="G14" s="4">
        <v>12543000</v>
      </c>
      <c r="H14" s="4">
        <v>13123000</v>
      </c>
      <c r="I14" s="4">
        <v>13554000</v>
      </c>
      <c r="J14" s="4">
        <v>10725000</v>
      </c>
      <c r="K14" s="4">
        <v>12207000</v>
      </c>
      <c r="L14" s="4">
        <v>13386000</v>
      </c>
      <c r="M14" s="4">
        <v>13285000</v>
      </c>
      <c r="N14" s="4">
        <v>13864000</v>
      </c>
      <c r="O14" s="4">
        <v>12349000</v>
      </c>
      <c r="P14" s="4">
        <v>11394000</v>
      </c>
      <c r="Q14" s="4">
        <v>152111000</v>
      </c>
    </row>
    <row r="15" spans="1:17">
      <c r="A15" t="s">
        <v>38</v>
      </c>
      <c r="B15" t="s">
        <v>39</v>
      </c>
      <c r="C15" t="s">
        <v>209</v>
      </c>
      <c r="D15" t="s">
        <v>175</v>
      </c>
      <c r="E15" s="4">
        <v>5653000</v>
      </c>
      <c r="F15" s="4">
        <v>5750000</v>
      </c>
      <c r="G15" s="4">
        <v>5664000</v>
      </c>
      <c r="H15" s="4">
        <v>4999000</v>
      </c>
      <c r="I15" s="4">
        <v>6107000</v>
      </c>
      <c r="J15" s="4">
        <v>4982000</v>
      </c>
      <c r="K15" s="4">
        <v>5204000</v>
      </c>
      <c r="L15" s="4">
        <v>5889000</v>
      </c>
      <c r="M15" s="4">
        <v>5718000</v>
      </c>
      <c r="N15" s="4">
        <v>5521000</v>
      </c>
      <c r="O15" s="4">
        <v>5094000</v>
      </c>
      <c r="P15" s="4">
        <v>6626000</v>
      </c>
      <c r="Q15" s="4">
        <v>67207000</v>
      </c>
    </row>
    <row r="16" spans="1:17">
      <c r="A16" t="s">
        <v>38</v>
      </c>
      <c r="B16" t="s">
        <v>39</v>
      </c>
      <c r="C16" t="s">
        <v>210</v>
      </c>
      <c r="D16" t="s">
        <v>175</v>
      </c>
      <c r="E16" s="4">
        <v>7168000</v>
      </c>
      <c r="F16" s="4">
        <v>7135000</v>
      </c>
      <c r="G16" s="4">
        <v>6780000</v>
      </c>
      <c r="H16" s="4">
        <v>8964000</v>
      </c>
      <c r="I16" s="4">
        <v>8437000</v>
      </c>
      <c r="J16" s="4">
        <v>7448000</v>
      </c>
      <c r="K16" s="4">
        <v>7468000</v>
      </c>
      <c r="L16" s="4">
        <v>8359000</v>
      </c>
      <c r="M16" s="4">
        <v>7477000</v>
      </c>
      <c r="N16" s="4">
        <v>7700000</v>
      </c>
      <c r="O16" s="4">
        <v>8338000</v>
      </c>
      <c r="P16" s="4">
        <v>7642000</v>
      </c>
      <c r="Q16" s="4">
        <v>92916000</v>
      </c>
    </row>
    <row r="17" spans="1:17">
      <c r="A17" t="s">
        <v>38</v>
      </c>
      <c r="B17" t="s">
        <v>39</v>
      </c>
      <c r="C17" t="s">
        <v>211</v>
      </c>
      <c r="D17" t="s">
        <v>175</v>
      </c>
      <c r="E17" s="4">
        <v>45937000</v>
      </c>
      <c r="F17" s="4">
        <v>45483000</v>
      </c>
      <c r="G17" s="4">
        <v>48051000</v>
      </c>
      <c r="H17" s="4">
        <v>38921000</v>
      </c>
      <c r="I17" s="4">
        <v>47515000</v>
      </c>
      <c r="J17" s="4">
        <v>49392000</v>
      </c>
      <c r="K17" s="4">
        <v>38350000</v>
      </c>
      <c r="L17" s="4">
        <v>48084000</v>
      </c>
      <c r="M17" s="4">
        <v>47278000</v>
      </c>
      <c r="N17" s="4">
        <v>43925000</v>
      </c>
      <c r="O17" s="4">
        <v>41337000</v>
      </c>
      <c r="P17" s="4">
        <v>46336000</v>
      </c>
      <c r="Q17" s="4">
        <v>540609000</v>
      </c>
    </row>
    <row r="18" spans="1:17">
      <c r="A18" t="s">
        <v>38</v>
      </c>
      <c r="B18" t="s">
        <v>39</v>
      </c>
      <c r="C18" t="s">
        <v>212</v>
      </c>
      <c r="D18" t="s">
        <v>175</v>
      </c>
      <c r="E18" s="4">
        <v>4005000</v>
      </c>
      <c r="F18" s="4">
        <v>3641000</v>
      </c>
      <c r="G18" s="4">
        <v>3617000</v>
      </c>
      <c r="H18" s="4">
        <v>4139000</v>
      </c>
      <c r="I18" s="4">
        <v>4339000</v>
      </c>
      <c r="J18" s="4">
        <v>4175000</v>
      </c>
      <c r="K18" s="4">
        <v>3837000</v>
      </c>
      <c r="L18" s="4">
        <v>3652000</v>
      </c>
      <c r="M18" s="4">
        <v>3686000</v>
      </c>
      <c r="N18" s="4">
        <v>4009000</v>
      </c>
      <c r="O18" s="4">
        <v>4759000</v>
      </c>
      <c r="P18" s="4">
        <v>4655000</v>
      </c>
      <c r="Q18" s="4">
        <v>48514000</v>
      </c>
    </row>
    <row r="19" spans="1:17">
      <c r="A19" t="s">
        <v>38</v>
      </c>
      <c r="B19" t="s">
        <v>39</v>
      </c>
      <c r="C19" t="s">
        <v>213</v>
      </c>
      <c r="D19" t="s">
        <v>175</v>
      </c>
      <c r="E19" s="4">
        <v>2956000</v>
      </c>
      <c r="F19" s="4">
        <v>3084000</v>
      </c>
      <c r="G19" s="4">
        <v>2711000</v>
      </c>
      <c r="H19" s="4">
        <v>2529000</v>
      </c>
      <c r="I19" s="4">
        <v>2501000</v>
      </c>
      <c r="J19" s="4">
        <v>2567000</v>
      </c>
      <c r="K19" s="4">
        <v>2562000</v>
      </c>
      <c r="L19" s="4">
        <v>3180000</v>
      </c>
      <c r="M19" s="4">
        <v>2525000</v>
      </c>
      <c r="N19" s="4">
        <v>2545000</v>
      </c>
      <c r="O19" s="4">
        <v>3020000</v>
      </c>
      <c r="P19" s="4">
        <v>3337000</v>
      </c>
      <c r="Q19" s="4">
        <v>33517000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7"/>
  <sheetViews>
    <sheetView tabSelected="1" workbookViewId="0">
      <selection activeCell="C2" sqref="C2"/>
    </sheetView>
  </sheetViews>
  <sheetFormatPr baseColWidth="10" defaultColWidth="8.83203125" defaultRowHeight="14"/>
  <cols>
    <col min="1" max="1" width="26" customWidth="1"/>
    <col min="2" max="2" width="4.6640625" customWidth="1"/>
    <col min="3" max="3" width="30.83203125" customWidth="1"/>
    <col min="4" max="4" width="33.5" customWidth="1"/>
    <col min="5" max="5" width="37.6640625" customWidth="1"/>
    <col min="6" max="14" width="11.1640625" customWidth="1"/>
    <col min="15" max="15" width="12.1640625" customWidth="1"/>
  </cols>
  <sheetData>
    <row r="1" spans="1:15" ht="30">
      <c r="A1" s="1" t="s">
        <v>203</v>
      </c>
      <c r="B1" s="1" t="s">
        <v>151</v>
      </c>
      <c r="C1" s="1" t="s">
        <v>152</v>
      </c>
      <c r="D1" s="1" t="s">
        <v>153</v>
      </c>
      <c r="E1" s="1" t="s">
        <v>154</v>
      </c>
      <c r="F1" s="1" t="s">
        <v>155</v>
      </c>
      <c r="G1" s="1" t="s">
        <v>156</v>
      </c>
      <c r="H1" s="1" t="s">
        <v>157</v>
      </c>
      <c r="I1" s="1" t="s">
        <v>158</v>
      </c>
      <c r="J1" s="1" t="s">
        <v>159</v>
      </c>
      <c r="K1" s="1" t="s">
        <v>160</v>
      </c>
      <c r="L1" s="1" t="s">
        <v>161</v>
      </c>
      <c r="M1" s="1" t="s">
        <v>162</v>
      </c>
      <c r="N1" s="1" t="s">
        <v>163</v>
      </c>
      <c r="O1" s="1" t="s">
        <v>164</v>
      </c>
    </row>
    <row r="2" spans="1:15">
      <c r="A2" t="s">
        <v>214</v>
      </c>
      <c r="B2" t="s">
        <v>175</v>
      </c>
      <c r="C2" s="4">
        <f>SUMIF(Exportations!$E$2:$E$46,"Chiffre d'affaires MGA",Exportations!$G$2:$G$46)</f>
        <v>1231654200</v>
      </c>
      <c r="D2" s="4">
        <f>SUMIF(Exportations!$E$2:$E$46,"Chiffre d'affaires MGA",Exportations!$H$2:$H$46)</f>
        <v>1241735655</v>
      </c>
      <c r="E2" s="4">
        <f>SUMIF(Exportations!$E$2:$E$46,"Chiffre d'affaires MGA",Exportations!$I$2:$I$46)</f>
        <v>1232355075</v>
      </c>
      <c r="F2" s="4">
        <f>SUMIF(Exportations!$E$2:$E$46,"Chiffre d'affaires MGA",Exportations!$J$2:$J$46)</f>
        <v>1098155410</v>
      </c>
      <c r="G2" s="4">
        <f>SUMIF(Exportations!$E$2:$E$46,"Chiffre d'affaires MGA",Exportations!$K$2:$K$46)</f>
        <v>1222025970</v>
      </c>
      <c r="H2" s="4">
        <f>SUMIF(Exportations!$E$2:$E$46,"Chiffre d'affaires MGA",Exportations!$L$2:$L$46)</f>
        <v>1228057480</v>
      </c>
      <c r="I2" s="4">
        <f>SUMIF(Exportations!$E$2:$E$46,"Chiffre d'affaires MGA",Exportations!$M$2:$M$46)</f>
        <v>1140252640</v>
      </c>
      <c r="J2" s="4">
        <f>SUMIF(Exportations!$E$2:$E$46,"Chiffre d'affaires MGA",Exportations!$N$2:$N$46)</f>
        <v>1275120150</v>
      </c>
      <c r="K2" s="4">
        <f>SUMIF(Exportations!$E$2:$E$46,"Chiffre d'affaires MGA",Exportations!$O$2:$O$46)</f>
        <v>1164413865</v>
      </c>
      <c r="L2" s="4">
        <f>SUMIF(Exportations!$E$2:$E$46,"Chiffre d'affaires MGA",Exportations!$P$2:$P$46)</f>
        <v>1182499070</v>
      </c>
      <c r="M2" s="4">
        <f>SUMIF(Exportations!$E$2:$E$46,"Chiffre d'affaires MGA",Exportations!$Q$2:$Q$46)</f>
        <v>1119988090</v>
      </c>
      <c r="N2" s="4">
        <f>SUMIF(Exportations!$E$2:$E$46,"Chiffre d'affaires MGA",Exportations!$R$2:$R$46)</f>
        <v>1274120995</v>
      </c>
      <c r="O2" s="4">
        <f>SUM(C2:N2)</f>
        <v>14410378600</v>
      </c>
    </row>
    <row r="3" spans="1:15">
      <c r="A3" t="s">
        <v>215</v>
      </c>
      <c r="B3" t="s">
        <v>175</v>
      </c>
      <c r="C3" s="4">
        <f>SUM(Charges!$E$2:$E$14)</f>
        <v>476904000</v>
      </c>
      <c r="D3" s="4">
        <f>SUM(Charges!$F$2:$F$14)</f>
        <v>489973000</v>
      </c>
      <c r="E3" s="4">
        <f>SUM(Charges!$G$2:$G$14)</f>
        <v>507129000</v>
      </c>
      <c r="F3" s="4">
        <f>SUM(Charges!$H$2:$H$14)</f>
        <v>464813000</v>
      </c>
      <c r="G3" s="4">
        <f>SUM(Charges!$I$2:$I$14)</f>
        <v>503107000</v>
      </c>
      <c r="H3" s="4">
        <f>SUM(Charges!$J$2:$J$14)</f>
        <v>470120000</v>
      </c>
      <c r="I3" s="4">
        <f>SUM(Charges!$K$2:$K$14)</f>
        <v>477795000</v>
      </c>
      <c r="J3" s="4">
        <f>SUM(Charges!$L$2:$L$14)</f>
        <v>480523000</v>
      </c>
      <c r="K3" s="4">
        <f>SUM(Charges!$M$2:$M$14)</f>
        <v>453477000</v>
      </c>
      <c r="L3" s="4">
        <f>SUM(Charges!$N$2:$N$14)</f>
        <v>467386000</v>
      </c>
      <c r="M3" s="4">
        <f>SUM(Charges!$O$2:$O$14)</f>
        <v>492033000</v>
      </c>
      <c r="N3" s="4">
        <f>SUM(Charges!$P$2:$P$14)</f>
        <v>486451000</v>
      </c>
      <c r="O3" s="4">
        <f>SUM(C3:N3)</f>
        <v>5769711000</v>
      </c>
    </row>
    <row r="4" spans="1:15">
      <c r="A4" t="s">
        <v>216</v>
      </c>
      <c r="B4" t="s">
        <v>175</v>
      </c>
      <c r="C4" s="4">
        <f>SUM('Frais Export'!$E$2:$E$19)</f>
        <v>243053000</v>
      </c>
      <c r="D4" s="4">
        <f>SUM('Frais Export'!$F$2:$F$19)</f>
        <v>262920000</v>
      </c>
      <c r="E4" s="4">
        <f>SUM('Frais Export'!$G$2:$G$19)</f>
        <v>270811000</v>
      </c>
      <c r="F4" s="4">
        <f>SUM('Frais Export'!$H$2:$H$19)</f>
        <v>242956000</v>
      </c>
      <c r="G4" s="4">
        <f>SUM('Frais Export'!$I$2:$I$19)</f>
        <v>260255000</v>
      </c>
      <c r="H4" s="4">
        <f>SUM('Frais Export'!$J$2:$J$19)</f>
        <v>257373000</v>
      </c>
      <c r="I4" s="4">
        <f>SUM('Frais Export'!$K$2:$K$19)</f>
        <v>250912000</v>
      </c>
      <c r="J4" s="4">
        <f>SUM('Frais Export'!$L$2:$L$19)</f>
        <v>263962000</v>
      </c>
      <c r="K4" s="4">
        <f>SUM('Frais Export'!$M$2:$M$19)</f>
        <v>258815000</v>
      </c>
      <c r="L4" s="4">
        <f>SUM('Frais Export'!$N$2:$N$19)</f>
        <v>269332000</v>
      </c>
      <c r="M4" s="4">
        <f>SUM('Frais Export'!$O$2:$O$19)</f>
        <v>254047000</v>
      </c>
      <c r="N4" s="4">
        <f>SUM('Frais Export'!$P$2:$P$19)</f>
        <v>269121000</v>
      </c>
      <c r="O4" s="4">
        <f>SUM(C4:N4)</f>
        <v>3103557000</v>
      </c>
    </row>
    <row r="5" spans="1:15">
      <c r="A5" t="s">
        <v>217</v>
      </c>
      <c r="B5" t="s">
        <v>175</v>
      </c>
      <c r="C5" s="4">
        <f>SUM(Employes!$I$2:$I$61)</f>
        <v>311533000</v>
      </c>
      <c r="D5" s="4">
        <f>SUM(Employes!$I$2:$I$61)</f>
        <v>311533000</v>
      </c>
      <c r="E5" s="4">
        <f>SUM(Employes!$I$2:$I$61)</f>
        <v>311533000</v>
      </c>
      <c r="F5" s="4">
        <f>SUM(Employes!$I$2:$I$61)</f>
        <v>311533000</v>
      </c>
      <c r="G5" s="4">
        <f>SUM(Employes!$I$2:$I$61)</f>
        <v>311533000</v>
      </c>
      <c r="H5" s="4">
        <f>SUM(Employes!$I$2:$I$61)</f>
        <v>311533000</v>
      </c>
      <c r="I5" s="4">
        <f>SUM(Employes!$I$2:$I$61)</f>
        <v>311533000</v>
      </c>
      <c r="J5" s="4">
        <f>SUM(Employes!$I$2:$I$61)</f>
        <v>311533000</v>
      </c>
      <c r="K5" s="4">
        <f>SUM(Employes!$I$2:$I$61)</f>
        <v>311533000</v>
      </c>
      <c r="L5" s="4">
        <f>SUM(Employes!$I$2:$I$61)</f>
        <v>311533000</v>
      </c>
      <c r="M5" s="4">
        <f>SUM(Employes!$I$2:$I$61)</f>
        <v>311533000</v>
      </c>
      <c r="N5" s="4">
        <f>SUM(Employes!$I$2:$I$61)</f>
        <v>311533000</v>
      </c>
      <c r="O5" s="4">
        <f>SUM(C5:N5)</f>
        <v>3738396000</v>
      </c>
    </row>
    <row r="6" spans="1:15">
      <c r="A6" t="s">
        <v>218</v>
      </c>
      <c r="B6" t="s">
        <v>175</v>
      </c>
      <c r="C6" s="4">
        <f t="shared" ref="C6:N6" si="0">C2-C3-C4-C5</f>
        <v>200164200</v>
      </c>
      <c r="D6" s="4">
        <f t="shared" si="0"/>
        <v>177309655</v>
      </c>
      <c r="E6" s="4">
        <f t="shared" si="0"/>
        <v>142882075</v>
      </c>
      <c r="F6" s="4">
        <f t="shared" si="0"/>
        <v>78853410</v>
      </c>
      <c r="G6" s="4">
        <f t="shared" si="0"/>
        <v>147130970</v>
      </c>
      <c r="H6" s="4">
        <f t="shared" si="0"/>
        <v>189031480</v>
      </c>
      <c r="I6" s="4">
        <f t="shared" si="0"/>
        <v>100012640</v>
      </c>
      <c r="J6" s="4">
        <f t="shared" si="0"/>
        <v>219102150</v>
      </c>
      <c r="K6" s="4">
        <f t="shared" si="0"/>
        <v>140588865</v>
      </c>
      <c r="L6" s="4">
        <f t="shared" si="0"/>
        <v>134248070</v>
      </c>
      <c r="M6" s="4">
        <f t="shared" si="0"/>
        <v>62375090</v>
      </c>
      <c r="N6" s="4">
        <f t="shared" si="0"/>
        <v>207015995</v>
      </c>
      <c r="O6" s="4">
        <f>SUM(C6:N6)</f>
        <v>1798714600</v>
      </c>
    </row>
    <row r="7" spans="1:15">
      <c r="A7" t="s">
        <v>219</v>
      </c>
      <c r="B7" t="s">
        <v>9</v>
      </c>
      <c r="C7" s="6">
        <f t="shared" ref="C7:O7" si="1">IFERROR(C6/C2,0)</f>
        <v>0.16251655700114528</v>
      </c>
      <c r="D7" s="6">
        <f t="shared" si="1"/>
        <v>0.14279178848254945</v>
      </c>
      <c r="E7" s="6">
        <f t="shared" si="1"/>
        <v>0.11594229447223237</v>
      </c>
      <c r="F7" s="6">
        <f t="shared" si="1"/>
        <v>7.180532853724228E-2</v>
      </c>
      <c r="G7" s="6">
        <f t="shared" si="1"/>
        <v>0.1203992170477359</v>
      </c>
      <c r="H7" s="6">
        <f t="shared" si="1"/>
        <v>0.15392722496995825</v>
      </c>
      <c r="I7" s="6">
        <f t="shared" si="1"/>
        <v>8.7710947987807333E-2</v>
      </c>
      <c r="J7" s="6">
        <f t="shared" si="1"/>
        <v>0.17182863120781205</v>
      </c>
      <c r="K7" s="6">
        <f t="shared" si="1"/>
        <v>0.12073788300348004</v>
      </c>
      <c r="L7" s="6">
        <f t="shared" si="1"/>
        <v>0.11352911254298069</v>
      </c>
      <c r="M7" s="6">
        <f t="shared" si="1"/>
        <v>5.5692636874379621E-2</v>
      </c>
      <c r="N7" s="6">
        <f t="shared" si="1"/>
        <v>0.16247750081223644</v>
      </c>
      <c r="O7" s="6">
        <f t="shared" si="1"/>
        <v>0.12482077327239688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Donnees SOMIDA</vt:lpstr>
      <vt:lpstr>Employes</vt:lpstr>
      <vt:lpstr>Production</vt:lpstr>
      <vt:lpstr>Charges</vt:lpstr>
      <vt:lpstr>Exportations</vt:lpstr>
      <vt:lpstr>Frais Export</vt:lpstr>
      <vt:lpstr>Synthese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Mac</cp:lastModifiedBy>
  <dcterms:modified xsi:type="dcterms:W3CDTF">2026-09-25T18:45:53Z</dcterms:modified>
</cp:coreProperties>
</file>