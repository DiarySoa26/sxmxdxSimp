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1c032c7da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2f69a77fbebb4bde"/>
    <x:sheet xmlns:r="http://schemas.openxmlformats.org/officeDocument/2006/relationships" name="Employes" sheetId="2" r:id="R28b164e46b7d4a0b"/>
    <x:sheet xmlns:r="http://schemas.openxmlformats.org/officeDocument/2006/relationships" name="Production" sheetId="3" r:id="R27108008c2ae4763"/>
    <x:sheet xmlns:r="http://schemas.openxmlformats.org/officeDocument/2006/relationships" name="Charges" sheetId="4" r:id="Rd9b0db5740fc40ad"/>
    <x:sheet xmlns:r="http://schemas.openxmlformats.org/officeDocument/2006/relationships" name="Exportations" sheetId="5" r:id="R1f6052fbdbec4b7f"/>
    <x:sheet xmlns:r="http://schemas.openxmlformats.org/officeDocument/2006/relationships" name="Frais Export" sheetId="6" r:id="R2ac7cdb8ff2c4066"/>
    <x:sheet xmlns:r="http://schemas.openxmlformats.org/officeDocument/2006/relationships" name="Synthese" sheetId="7" r:id="R806ba0ffc29d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2243603de4982" /><Relationship Type="http://schemas.openxmlformats.org/officeDocument/2006/relationships/theme" Target="/xl/theme/theme1.xml" Id="R88792caa9d864c3c" /><Relationship Type="http://schemas.openxmlformats.org/officeDocument/2006/relationships/sharedStrings" Target="/xl/sharedStrings.xml" Id="Rd65fd4165f0a40cb" /><Relationship Type="http://schemas.openxmlformats.org/officeDocument/2006/relationships/worksheet" Target="/xl/worksheets/sheet1.xml" Id="R2f69a77fbebb4bde" /><Relationship Type="http://schemas.openxmlformats.org/officeDocument/2006/relationships/worksheet" Target="/xl/worksheets/sheet2.xml" Id="R28b164e46b7d4a0b" /><Relationship Type="http://schemas.openxmlformats.org/officeDocument/2006/relationships/worksheet" Target="/xl/worksheets/sheet3.xml" Id="R27108008c2ae4763" /><Relationship Type="http://schemas.openxmlformats.org/officeDocument/2006/relationships/worksheet" Target="/xl/worksheets/sheet4.xml" Id="Rd9b0db5740fc40ad" /><Relationship Type="http://schemas.openxmlformats.org/officeDocument/2006/relationships/worksheet" Target="/xl/worksheets/sheet5.xml" Id="R1f6052fbdbec4b7f" /><Relationship Type="http://schemas.openxmlformats.org/officeDocument/2006/relationships/worksheet" Target="/xl/worksheets/sheet6.xml" Id="R2ac7cdb8ff2c4066" /><Relationship Type="http://schemas.openxmlformats.org/officeDocument/2006/relationships/worksheet" Target="/xl/worksheets/sheet7.xml" Id="R806ba0ffc29d4b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2020</x:v>
      </x:c>
      <x:c r="C3" t="str">
        <x:v>année</x:v>
      </x:c>
      <x:c r="D3" t="str">
        <x:v>Exercice budgétaire</x:v>
      </x:c>
    </x:row>
    <x:row r="4">
      <x:c r="A4" t="str">
        <x:v>Inflation annuelle</x:v>
      </x:c>
      <x:c r="B4" s="14" t="n">
        <x:v>0.067</x:v>
      </x:c>
      <x:c r="C4" t="str">
        <x:v>%</x:v>
      </x:c>
      <x:c r="D4" t="str">
        <x:v>Hypothèse budgétaire</x:v>
      </x:c>
    </x:row>
    <x:row r="5">
      <x:c r="A5" t="str">
        <x:v>Taux USD/MGA</x:v>
      </x:c>
      <x:c r="B5" s="12" t="n">
        <x:v>3780</x:v>
      </x:c>
      <x:c r="C5" t="str">
        <x:v>MGA/USD</x:v>
      </x:c>
      <x:c r="D5" t="str">
        <x:v>Hypothèse de change</x:v>
      </x:c>
    </x:row>
    <x:row r="6">
      <x:c r="A6" t="str">
        <x:v>Taux JPY/MGA</x:v>
      </x:c>
      <x:c r="B6" s="12" t="n">
        <x:v>35.4</x:v>
      </x:c>
      <x:c r="C6" t="str">
        <x:v>MGA/JPY</x:v>
      </x:c>
      <x:c r="D6" t="str">
        <x:v>Hypothèse de change</x:v>
      </x:c>
    </x:row>
    <x:row r="7">
      <x:c r="A7" t="str">
        <x:v>Augmentation salariale</x:v>
      </x:c>
      <x:c r="B7" s="14" t="n">
        <x:v>0.07500000000000001</x:v>
      </x:c>
      <x:c r="C7" t="str">
        <x:v>%</x:v>
      </x:c>
      <x:c r="D7" t="str">
        <x:v>Hypothèse RH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Relation export issue de la correction utilisateur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Relation export issue de la correction utilisateur</x:v>
      </x:c>
    </x:row>
    <x:row r="16">
      <x:c r="A16" t="str">
        <x:v>Chine</x:v>
      </x:c>
      <x:c r="B16" t="str">
        <x:v>REPRESENTANT CHINE - A VALIDER</x:v>
      </x:c>
      <x:c r="C16" t="str">
        <x:v>USD</x:v>
      </x:c>
      <x:c r="D16" t="str">
        <x:v>Nom exact à confirmer depuis Données SOMIDA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 simulé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AMBOASARY</x:v>
      </x:c>
      <x:c r="D2" t="str">
        <x:v>Direction</x:v>
      </x:c>
      <x:c r="E2" t="str">
        <x:v>Directeur Général</x:v>
      </x:c>
      <x:c r="F2" s="16" t="n">
        <x:v>9136800</x:v>
      </x:c>
      <x:c r="G2" s="16" t="n">
        <x:v>1096416</x:v>
      </x:c>
      <x:c r="H2" s="16" t="n">
        <x:v>1644624</x:v>
      </x:c>
      <x:c r="I2" s="16" t="n">
        <x:f>SUM(F2:H2)</x:f>
        <x:v>11877840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AMBOASARY</x:v>
      </x:c>
      <x:c r="D3" t="str">
        <x:v>Direction</x:v>
      </x:c>
      <x:c r="E3" t="str">
        <x:v>DAF</x:v>
      </x:c>
      <x:c r="F3" s="16" t="n">
        <x:v>6551424</x:v>
      </x:c>
      <x:c r="G3" s="16" t="n">
        <x:v>655142</x:v>
      </x:c>
      <x:c r="H3" s="16" t="n">
        <x:v>1178986</x:v>
      </x:c>
      <x:c r="I3" s="16" t="n">
        <x:f>SUM(F3:H3)</x:f>
        <x:v>8385552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3810384</x:v>
      </x:c>
      <x:c r="G4" s="16" t="n">
        <x:v>190858</x:v>
      </x:c>
      <x:c r="H4" s="16" t="n">
        <x:v>685598</x:v>
      </x:c>
      <x:c r="I4" s="16" t="n">
        <x:f>SUM(F4:H4)</x:f>
        <x:v>4686840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AMPANDRANDAVA</x:v>
      </x:c>
      <x:c r="D5" t="str">
        <x:v>Finance</x:v>
      </x:c>
      <x:c r="E5" t="str">
        <x:v>Comptable</x:v>
      </x:c>
      <x:c r="F5" s="16" t="n">
        <x:v>2301120</x:v>
      </x:c>
      <x:c r="G5" s="16" t="n">
        <x:v>115056</x:v>
      </x:c>
      <x:c r="H5" s="16" t="n">
        <x:v>414202</x:v>
      </x:c>
      <x:c r="I5" s="16" t="n">
        <x:f>SUM(F5:H5)</x:f>
        <x:v>2830378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FORT DAUPHIN</x:v>
      </x:c>
      <x:c r="D6" t="str">
        <x:v>Finance</x:v>
      </x:c>
      <x:c r="E6" t="str">
        <x:v>Assistant comptable</x:v>
      </x:c>
      <x:c r="F6" s="16" t="n">
        <x:v>1719072</x:v>
      </x:c>
      <x:c r="G6" s="16" t="n">
        <x:v>85954</x:v>
      </x:c>
      <x:c r="H6" s="16" t="n">
        <x:v>309298</x:v>
      </x:c>
      <x:c r="I6" s="16" t="n">
        <x:f>SUM(F6:H6)</x:f>
        <x:v>2114324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3241872</x:v>
      </x:c>
      <x:c r="G7" s="16" t="n">
        <x:v>162432</x:v>
      </x:c>
      <x:c r="H7" s="16" t="n">
        <x:v>583402</x:v>
      </x:c>
      <x:c r="I7" s="16" t="n">
        <x:f>SUM(F7:H7)</x:f>
        <x:v>3987706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16" t="n">
        <x:v>3580272</x:v>
      </x:c>
      <x:c r="G8" s="16" t="n">
        <x:v>286286</x:v>
      </x:c>
      <x:c r="H8" s="16" t="n">
        <x:v>644314</x:v>
      </x:c>
      <x:c r="I8" s="16" t="n">
        <x:f>SUM(F8:H8)</x:f>
        <x:v>4510872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AMBOASARY</x:v>
      </x:c>
      <x:c r="D9" t="str">
        <x:v>Commercial</x:v>
      </x:c>
      <x:c r="E9" t="str">
        <x:v>Agent export</x:v>
      </x:c>
      <x:c r="F9" s="16" t="n">
        <x:v>2010096</x:v>
      </x:c>
      <x:c r="G9" s="16" t="n">
        <x:v>240941</x:v>
      </x:c>
      <x:c r="H9" s="16" t="n">
        <x:v>362088</x:v>
      </x:c>
      <x:c r="I9" s="16" t="n">
        <x:f>SUM(F9:H9)</x:f>
        <x:v>2613125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AMPANDRANDAVA</x:v>
      </x:c>
      <x:c r="D10" t="str">
        <x:v>Production</x:v>
      </x:c>
      <x:c r="E10" t="str">
        <x:v>Responsable production</x:v>
      </x:c>
      <x:c r="F10" s="16" t="n">
        <x:v>3675024</x:v>
      </x:c>
      <x:c r="G10" s="16" t="n">
        <x:v>184090</x:v>
      </x:c>
      <x:c r="H10" s="16" t="n">
        <x:v>661234</x:v>
      </x:c>
      <x:c r="I10" s="16" t="n">
        <x:f>SUM(F10:H10)</x:f>
        <x:v>4520348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16" t="n">
        <x:v>2334960</x:v>
      </x:c>
      <x:c r="G11" s="16" t="n">
        <x:v>186797</x:v>
      </x:c>
      <x:c r="H11" s="16" t="n">
        <x:v>420293</x:v>
      </x:c>
      <x:c r="I11" s="16" t="n">
        <x:f>SUM(F11:H11)</x:f>
        <x:v>2942050</x:v>
      </x:c>
      <x:c r="J11" t="str">
        <x:v>Actif</x:v>
      </x:c>
    </x:row>
    <x:row r="12">
      <x:c r="A12" t="str">
        <x:v>EMP-011</x:v>
      </x:c>
      <x:c r="B12" t="str">
        <x:v>RABARY Lalaina</x:v>
      </x:c>
      <x:c r="C12" t="str">
        <x:v>AMPANDRANDAVA</x:v>
      </x:c>
      <x:c r="D12" t="str">
        <x:v>Production</x:v>
      </x:c>
      <x:c r="E12" t="str">
        <x:v>Contrôleur qualité</x:v>
      </x:c>
      <x:c r="F12" s="16" t="n">
        <x:v>1915344</x:v>
      </x:c>
      <x:c r="G12" s="16" t="n">
        <x:v>96106</x:v>
      </x:c>
      <x:c r="H12" s="16" t="n">
        <x:v>344491</x:v>
      </x:c>
      <x:c r="I12" s="16" t="n">
        <x:f>SUM(F12:H12)</x:f>
        <x:v>2355941</x:v>
      </x:c>
      <x:c r="J12" t="str">
        <x:v>Actif</x:v>
      </x:c>
    </x:row>
    <x:row r="13">
      <x:c r="A13" t="str">
        <x:v>EMP-012</x:v>
      </x:c>
      <x:c r="B13" t="str">
        <x:v>RAKOTOMALALA Tahina</x:v>
      </x:c>
      <x:c r="C13" t="str">
        <x:v>FORT DAUPHIN</x:v>
      </x:c>
      <x:c r="D13" t="str">
        <x:v>Production</x:v>
      </x:c>
      <x:c r="E13" t="str">
        <x:v>Opérateur traitement</x:v>
      </x:c>
      <x:c r="F13" s="16" t="n">
        <x:v>1238544</x:v>
      </x:c>
      <x:c r="G13" s="16" t="n">
        <x:v>123854</x:v>
      </x:c>
      <x:c r="H13" s="16" t="n">
        <x:v>222667</x:v>
      </x:c>
      <x:c r="I13" s="16" t="n">
        <x:f>SUM(F13:H13)</x:f>
        <x:v>1585065</x:v>
      </x:c>
      <x:c r="J13" t="str">
        <x:v>Actif</x:v>
      </x:c>
    </x:row>
    <x:row r="14">
      <x:c r="A14" t="str">
        <x:v>EMP-013</x:v>
      </x:c>
      <x:c r="B14" t="str">
        <x:v>ANDRIAMANANA Soa</x:v>
      </x:c>
      <x:c r="C14" t="str">
        <x:v>FORT DAUPHIN</x:v>
      </x:c>
      <x:c r="D14" t="str">
        <x:v>Production</x:v>
      </x:c>
      <x:c r="E14" t="str">
        <x:v>Coupeuse / trieuse</x:v>
      </x:c>
      <x:c r="F14" s="16" t="n">
        <x:v>954288</x:v>
      </x:c>
      <x:c r="G14" s="16" t="n">
        <x:v>95429</x:v>
      </x:c>
      <x:c r="H14" s="16" t="n">
        <x:v>171907</x:v>
      </x:c>
      <x:c r="I14" s="16" t="n">
        <x:f>SUM(F14:H14)</x:f>
        <x:v>1221624</x:v>
      </x:c>
      <x:c r="J14" t="str">
        <x:v>Actif</x:v>
      </x:c>
    </x:row>
    <x:row r="15">
      <x:c r="A15" t="str">
        <x:v>EMP-014</x:v>
      </x:c>
      <x:c r="B15" t="str">
        <x:v>RAZAFINDRAKOTO Nomena</x:v>
      </x:c>
      <x:c r="C15" t="str">
        <x:v>TRANOMARO</x:v>
      </x:c>
      <x:c r="D15" t="str">
        <x:v>Logistique</x:v>
      </x:c>
      <x:c r="E15" t="str">
        <x:v>Responsable logistique</x:v>
      </x:c>
      <x:c r="F15" s="16" t="n">
        <x:v>3099744</x:v>
      </x:c>
      <x:c r="G15" s="16" t="n">
        <x:v>247709</x:v>
      </x:c>
      <x:c r="H15" s="16" t="n">
        <x:v>557683</x:v>
      </x:c>
      <x:c r="I15" s="16" t="n">
        <x:f>SUM(F15:H15)</x:f>
        <x:v>3905136</x:v>
      </x:c>
      <x:c r="J15" t="str">
        <x:v>Actif</x:v>
      </x:c>
    </x:row>
    <x:row r="16">
      <x:c r="A16" t="str">
        <x:v>EMP-015</x:v>
      </x:c>
      <x:c r="B16" t="str">
        <x:v>RANDRIAMBOLOLONA Finaritra</x:v>
      </x:c>
      <x:c r="C16" t="str">
        <x:v>AMPANDRANDAVA</x:v>
      </x:c>
      <x:c r="D16" t="str">
        <x:v>Logistique</x:v>
      </x:c>
      <x:c r="E16" t="str">
        <x:v>Magasinier</x:v>
      </x:c>
      <x:c r="F16" s="16" t="n">
        <x:v>1164096</x:v>
      </x:c>
      <x:c r="G16" s="16" t="n">
        <x:v>139421</x:v>
      </x:c>
      <x:c r="H16" s="16" t="n">
        <x:v>209808</x:v>
      </x:c>
      <x:c r="I16" s="16" t="n">
        <x:f>SUM(F16:H16)</x:f>
        <x:v>1513325</x:v>
      </x:c>
      <x:c r="J16" t="str">
        <x:v>Actif</x:v>
      </x:c>
    </x:row>
    <x:row r="17">
      <x:c r="A17" t="str">
        <x:v>EMP-016</x:v>
      </x:c>
      <x:c r="B17" t="str">
        <x:v>RASOLO Harena</x:v>
      </x:c>
      <x:c r="C17" t="str">
        <x:v>AMPANDRANDAVA</x:v>
      </x:c>
      <x:c r="D17" t="str">
        <x:v>Maintenance</x:v>
      </x:c>
      <x:c r="E17" t="str">
        <x:v>Technicien maintenance</x:v>
      </x:c>
      <x:c r="F17" s="16" t="n">
        <x:v>1746144</x:v>
      </x:c>
      <x:c r="G17" s="16" t="n">
        <x:v>209808</x:v>
      </x:c>
      <x:c r="H17" s="16" t="n">
        <x:v>314035</x:v>
      </x:c>
      <x:c r="I17" s="16" t="n">
        <x:f>SUM(F17:H17)</x:f>
        <x:v>2269987</x:v>
      </x:c>
      <x:c r="J17" t="str">
        <x:v>Actif</x:v>
      </x:c>
    </x:row>
    <x:row r="18">
      <x:c r="A18" t="str">
        <x:v>EMP-017</x:v>
      </x:c>
      <x:c r="B18" t="str">
        <x:v>RATSIMBAZAFY Faniry</x:v>
      </x:c>
      <x:c r="C18" t="str">
        <x:v>AMPANDRANDAVA</x:v>
      </x:c>
      <x:c r="D18" t="str">
        <x:v>Sécurité</x:v>
      </x:c>
      <x:c r="E18" t="str">
        <x:v>Agent de sécurité</x:v>
      </x:c>
      <x:c r="F18" s="16" t="n">
        <x:v>906912</x:v>
      </x:c>
      <x:c r="G18" s="16" t="n">
        <x:v>108965</x:v>
      </x:c>
      <x:c r="H18" s="16" t="n">
        <x:v>163109</x:v>
      </x:c>
      <x:c r="I18" s="16" t="n">
        <x:f>SUM(F18:H18)</x:f>
        <x:v>1178986</x:v>
      </x:c>
      <x:c r="J18" t="str">
        <x:v>Actif</x:v>
      </x:c>
    </x:row>
    <x:row r="19">
      <x:c r="A19" t="str">
        <x:v>EMP-018</x:v>
      </x:c>
      <x:c r="B19" t="str">
        <x:v>RAKOTONDRABE Tsiory</x:v>
      </x:c>
      <x:c r="C19" t="str">
        <x:v>TRANOMARO</x:v>
      </x:c>
      <x:c r="D19" t="str">
        <x:v>Administration</x:v>
      </x:c>
      <x:c r="E19" t="str">
        <x:v>Assistant administratif</x:v>
      </x:c>
      <x:c r="F19" s="16" t="n">
        <x:v>1394208</x:v>
      </x:c>
      <x:c r="G19" s="16" t="n">
        <x:v>139421</x:v>
      </x:c>
      <x:c r="H19" s="16" t="n">
        <x:v>251093</x:v>
      </x:c>
      <x:c r="I19" s="16" t="n">
        <x:f>SUM(F19:H19)</x:f>
        <x:v>1784722</x:v>
      </x:c>
      <x:c r="J19" t="str">
        <x:v>Actif</x:v>
      </x:c>
    </x:row>
    <x:row r="20">
      <x:c r="A20" t="str">
        <x:v>EMP-019</x:v>
      </x:c>
      <x:c r="B20" t="str">
        <x:v>ANDRIANIRINA Mamy</x:v>
      </x:c>
      <x:c r="C20" t="str">
        <x:v>FORT DAUPHIN</x:v>
      </x:c>
      <x:c r="D20" t="str">
        <x:v>Direction</x:v>
      </x:c>
      <x:c r="E20" t="str">
        <x:v>Directeur Général</x:v>
      </x:c>
      <x:c r="F20" s="16" t="n">
        <x:v>9542880</x:v>
      </x:c>
      <x:c r="G20" s="16" t="n">
        <x:v>954288</x:v>
      </x:c>
      <x:c r="H20" s="16" t="n">
        <x:v>1717718</x:v>
      </x:c>
      <x:c r="I20" s="16" t="n">
        <x:f>SUM(F20:H20)</x:f>
        <x:v>12214886</x:v>
      </x:c>
      <x:c r="J20" t="str">
        <x:v>Actif</x:v>
      </x:c>
    </x:row>
    <x:row r="21">
      <x:c r="A21" t="str">
        <x:v>EMP-020</x:v>
      </x:c>
      <x:c r="B21" t="str">
        <x:v>RABENJA Felana</x:v>
      </x:c>
      <x:c r="C21" t="str">
        <x:v>FORT DAUPHIN</x:v>
      </x:c>
      <x:c r="D21" t="str">
        <x:v>Direction</x:v>
      </x:c>
      <x:c r="E21" t="str">
        <x:v>DAF</x:v>
      </x:c>
      <x:c r="F21" s="16" t="n">
        <x:v>6551424</x:v>
      </x:c>
      <x:c r="G21" s="16" t="n">
        <x:v>655142</x:v>
      </x:c>
      <x:c r="H21" s="16" t="n">
        <x:v>1178986</x:v>
      </x:c>
      <x:c r="I21" s="16" t="n">
        <x:f>SUM(F21:H21)</x:f>
        <x:v>8385552</x:v>
      </x:c>
      <x:c r="J21" t="str">
        <x:v>Actif</x:v>
      </x:c>
    </x:row>
    <x:row r="22">
      <x:c r="A22" t="str">
        <x:v>EMP-021</x:v>
      </x:c>
      <x:c r="B22" t="str">
        <x:v>RAJAONARIVELO Faly</x:v>
      </x:c>
      <x:c r="C22" t="str">
        <x:v>FORT DAUPHIN</x:v>
      </x:c>
      <x:c r="D22" t="str">
        <x:v>Finance</x:v>
      </x:c>
      <x:c r="E22" t="str">
        <x:v>Chef comptable</x:v>
      </x:c>
      <x:c r="F22" s="16" t="n">
        <x:v>3634416</x:v>
      </x:c>
      <x:c r="G22" s="16" t="n">
        <x:v>363442</x:v>
      </x:c>
      <x:c r="H22" s="16" t="n">
        <x:v>654466</x:v>
      </x:c>
      <x:c r="I22" s="16" t="n">
        <x:f>SUM(F22:H22)</x:f>
        <x:v>4652324</x:v>
      </x:c>
      <x:c r="J22" t="str">
        <x:v>Actif</x:v>
      </x:c>
    </x:row>
    <x:row r="23">
      <x:c r="A23" t="str">
        <x:v>EMP-022</x:v>
      </x:c>
      <x:c r="B23" t="str">
        <x:v>RANORO Haja</x:v>
      </x:c>
      <x:c r="C23" t="str">
        <x:v>AMPANDRANDAVA</x:v>
      </x:c>
      <x:c r="D23" t="str">
        <x:v>Finance</x:v>
      </x:c>
      <x:c r="E23" t="str">
        <x:v>Comptable</x:v>
      </x:c>
      <x:c r="F23" s="16" t="n">
        <x:v>2294352</x:v>
      </x:c>
      <x:c r="G23" s="16" t="n">
        <x:v>183413</x:v>
      </x:c>
      <x:c r="H23" s="16" t="n">
        <x:v>412848</x:v>
      </x:c>
      <x:c r="I23" s="16" t="n">
        <x:f>SUM(F23:H23)</x:f>
        <x:v>2890613</x:v>
      </x:c>
      <x:c r="J23" t="str">
        <x:v>Actif</x:v>
      </x:c>
    </x:row>
    <x:row r="24">
      <x:c r="A24" t="str">
        <x:v>EMP-023</x:v>
      </x:c>
      <x:c r="B24" t="str">
        <x:v>RAKOTOARISOA Tsanta</x:v>
      </x:c>
      <x:c r="C24" t="str">
        <x:v>AMPANDRANDAVA</x:v>
      </x:c>
      <x:c r="D24" t="str">
        <x:v>Finance</x:v>
      </x:c>
      <x:c r="E24" t="str">
        <x:v>Assistant comptable</x:v>
      </x:c>
      <x:c r="F24" s="16" t="n">
        <x:v>1536336</x:v>
      </x:c>
      <x:c r="G24" s="16" t="n">
        <x:v>153634</x:v>
      </x:c>
      <x:c r="H24" s="16" t="n">
        <x:v>276811</x:v>
      </x:c>
      <x:c r="I24" s="16" t="n">
        <x:f>SUM(F24:H24)</x:f>
        <x:v>1966781</x:v>
      </x:c>
      <x:c r="J24" t="str">
        <x:v>Actif</x:v>
      </x:c>
    </x:row>
    <x:row r="25">
      <x:c r="A25" t="str">
        <x:v>EMP-024</x:v>
      </x:c>
      <x:c r="B25" t="str">
        <x:v>RASOANIRINA Lova</x:v>
      </x:c>
      <x:c r="C25" t="str">
        <x:v>FORT DAUPHIN</x:v>
      </x:c>
      <x:c r="D25" t="str">
        <x:v>RH</x:v>
      </x:c>
      <x:c r="E25" t="str">
        <x:v>Responsable RH</x:v>
      </x:c>
      <x:c r="F25" s="16" t="n">
        <x:v>3390768</x:v>
      </x:c>
      <x:c r="G25" s="16" t="n">
        <x:v>169200</x:v>
      </x:c>
      <x:c r="H25" s="16" t="n">
        <x:v>610474</x:v>
      </x:c>
      <x:c r="I25" s="16" t="n">
        <x:f>SUM(F25:H25)</x:f>
        <x:v>4170442</x:v>
      </x:c>
      <x:c r="J25" t="str">
        <x:v>Actif</x:v>
      </x:c>
    </x:row>
    <x:row r="26">
      <x:c r="A26" t="str">
        <x:v>EMP-025</x:v>
      </x:c>
      <x:c r="B26" t="str">
        <x:v>ANDRIAMAHENINA Onja</x:v>
      </x:c>
      <x:c r="C26" t="str">
        <x:v>AMPANDRANDAVA</x:v>
      </x:c>
      <x:c r="D26" t="str">
        <x:v>Commercial</x:v>
      </x:c>
      <x:c r="E26" t="str">
        <x:v>Responsable commercial export</x:v>
      </x:c>
      <x:c r="F26" s="16" t="n">
        <x:v>3905136</x:v>
      </x:c>
      <x:c r="G26" s="16" t="n">
        <x:v>312682</x:v>
      </x:c>
      <x:c r="H26" s="16" t="n">
        <x:v>703195</x:v>
      </x:c>
      <x:c r="I26" s="16" t="n">
        <x:f>SUM(F26:H26)</x:f>
        <x:v>4921013</x:v>
      </x:c>
      <x:c r="J26" t="str">
        <x:v>Actif</x:v>
      </x:c>
    </x:row>
    <x:row r="27">
      <x:c r="A27" t="str">
        <x:v>EMP-026</x:v>
      </x:c>
      <x:c r="B27" t="str">
        <x:v>RAKOTOMANGA Fitia</x:v>
      </x:c>
      <x:c r="C27" t="str">
        <x:v>AMPANDRANDAVA</x:v>
      </x:c>
      <x:c r="D27" t="str">
        <x:v>Commercial</x:v>
      </x:c>
      <x:c r="E27" t="str">
        <x:v>Agent export</x:v>
      </x:c>
      <x:c r="F27" s="16" t="n">
        <x:v>2064240</x:v>
      </x:c>
      <x:c r="G27" s="16" t="n">
        <x:v>206424</x:v>
      </x:c>
      <x:c r="H27" s="16" t="n">
        <x:v>371563</x:v>
      </x:c>
      <x:c r="I27" s="16" t="n">
        <x:f>SUM(F27:H27)</x:f>
        <x:v>2642227</x:v>
      </x:c>
      <x:c r="J27" t="str">
        <x:v>Actif</x:v>
      </x:c>
    </x:row>
    <x:row r="28">
      <x:c r="A28" t="str">
        <x:v>EMP-027</x:v>
      </x:c>
      <x:c r="B28" t="str">
        <x:v>RAKOTOVAO Tovo</x:v>
      </x:c>
      <x:c r="C28" t="str">
        <x:v>AMPANDRANDAVA</x:v>
      </x:c>
      <x:c r="D28" t="str">
        <x:v>Production</x:v>
      </x:c>
      <x:c r="E28" t="str">
        <x:v>Responsable production</x:v>
      </x:c>
      <x:c r="F28" s="16" t="n">
        <x:v>3647952</x:v>
      </x:c>
      <x:c r="G28" s="16" t="n">
        <x:v>182736</x:v>
      </x:c>
      <x:c r="H28" s="16" t="n">
        <x:v>656496</x:v>
      </x:c>
      <x:c r="I28" s="16" t="n">
        <x:f>SUM(F28:H28)</x:f>
        <x:v>4487184</x:v>
      </x:c>
      <x:c r="J28" t="str">
        <x:v>Actif</x:v>
      </x:c>
    </x:row>
    <x:row r="29">
      <x:c r="A29" t="str">
        <x:v>EMP-028</x:v>
      </x:c>
      <x:c r="B29" t="str">
        <x:v>RANDRIANASOLO Mendrika</x:v>
      </x:c>
      <x:c r="C29" t="str">
        <x:v>FORT DAUPHIN</x:v>
      </x:c>
      <x:c r="D29" t="str">
        <x:v>Production</x:v>
      </x:c>
      <x:c r="E29" t="str">
        <x:v>Chef d'atelier</x:v>
      </x:c>
      <x:c r="F29" s="16" t="n">
        <x:v>2341728</x:v>
      </x:c>
      <x:c r="G29" s="16" t="n">
        <x:v>117086</x:v>
      </x:c>
      <x:c r="H29" s="16" t="n">
        <x:v>421646</x:v>
      </x:c>
      <x:c r="I29" s="16" t="n">
        <x:f>SUM(F29:H29)</x:f>
        <x:v>2880460</x:v>
      </x:c>
      <x:c r="J29" t="str">
        <x:v>Actif</x:v>
      </x:c>
    </x:row>
    <x:row r="30">
      <x:c r="A30" t="str">
        <x:v>EMP-029</x:v>
      </x:c>
      <x:c r="B30" t="str">
        <x:v>RAVELO Aro</x:v>
      </x:c>
      <x:c r="C30" t="str">
        <x:v>AMPANDRANDAVA</x:v>
      </x:c>
      <x:c r="D30" t="str">
        <x:v>Production</x:v>
      </x:c>
      <x:c r="E30" t="str">
        <x:v>Contrôleur qualité</x:v>
      </x:c>
      <x:c r="F30" s="16" t="n">
        <x:v>1793520</x:v>
      </x:c>
      <x:c r="G30" s="16" t="n">
        <x:v>143482</x:v>
      </x:c>
      <x:c r="H30" s="16" t="n">
        <x:v>322834</x:v>
      </x:c>
      <x:c r="I30" s="16" t="n">
        <x:f>SUM(F30:H30)</x:f>
        <x:v>2259836</x:v>
      </x:c>
      <x:c r="J30" t="str">
        <x:v>Actif</x:v>
      </x:c>
    </x:row>
    <x:row r="31">
      <x:c r="A31" t="str">
        <x:v>EMP-030</x:v>
      </x:c>
      <x:c r="B31" t="str">
        <x:v>RAZAFIMAHATRATRA Vola</x:v>
      </x:c>
      <x:c r="C31" t="str">
        <x:v>FORT DAUPHIN</x:v>
      </x:c>
      <x:c r="D31" t="str">
        <x:v>Production</x:v>
      </x:c>
      <x:c r="E31" t="str">
        <x:v>Opérateur traitement</x:v>
      </x:c>
      <x:c r="F31" s="16" t="n">
        <x:v>1299456</x:v>
      </x:c>
      <x:c r="G31" s="16" t="n">
        <x:v>104227</x:v>
      </x:c>
      <x:c r="H31" s="16" t="n">
        <x:v>234173</x:v>
      </x:c>
      <x:c r="I31" s="16" t="n">
        <x:f>SUM(F31:H31)</x:f>
        <x:v>1637856</x:v>
      </x:c>
      <x:c r="J31" t="str">
        <x:v>Actif</x:v>
      </x:c>
    </x:row>
    <x:row r="32">
      <x:c r="A32" t="str">
        <x:v>EMP-031</x:v>
      </x:c>
      <x:c r="B32" t="str">
        <x:v>RAKOTOVOLOLONA Rado</x:v>
      </x:c>
      <x:c r="C32" t="str">
        <x:v>FORT DAUPHIN</x:v>
      </x:c>
      <x:c r="D32" t="str">
        <x:v>Production</x:v>
      </x:c>
      <x:c r="E32" t="str">
        <x:v>Coupeuse / trieuse</x:v>
      </x:c>
      <x:c r="F32" s="16" t="n">
        <x:v>866304</x:v>
      </x:c>
      <x:c r="G32" s="16" t="n">
        <x:v>104227</x:v>
      </x:c>
      <x:c r="H32" s="16" t="n">
        <x:v>155664</x:v>
      </x:c>
      <x:c r="I32" s="16" t="n">
        <x:f>SUM(F32:H32)</x:f>
        <x:v>1126195</x:v>
      </x:c>
      <x:c r="J32" t="str">
        <x:v>Actif</x:v>
      </x:c>
    </x:row>
    <x:row r="33">
      <x:c r="A33" t="str">
        <x:v>EMP-032</x:v>
      </x:c>
      <x:c r="B33" t="str">
        <x:v>RABEMANANJARA Hery</x:v>
      </x:c>
      <x:c r="C33" t="str">
        <x:v>TRANOMARO</x:v>
      </x:c>
      <x:c r="D33" t="str">
        <x:v>Logistique</x:v>
      </x:c>
      <x:c r="E33" t="str">
        <x:v>Responsable logistique</x:v>
      </x:c>
      <x:c r="F33" s="16" t="n">
        <x:v>2734272</x:v>
      </x:c>
      <x:c r="G33" s="16" t="n">
        <x:v>218606</x:v>
      </x:c>
      <x:c r="H33" s="16" t="n">
        <x:v>492034</x:v>
      </x:c>
      <x:c r="I33" s="16" t="n">
        <x:f>SUM(F33:H33)</x:f>
        <x:v>3444912</x:v>
      </x:c>
      <x:c r="J33" t="str">
        <x:v>Actif</x:v>
      </x:c>
    </x:row>
    <x:row r="34">
      <x:c r="A34" t="str">
        <x:v>EMP-033</x:v>
      </x:c>
      <x:c r="B34" t="str">
        <x:v>RAKOTOZAFY Mialy</x:v>
      </x:c>
      <x:c r="C34" t="str">
        <x:v>FORT DAUPHIN</x:v>
      </x:c>
      <x:c r="D34" t="str">
        <x:v>Logistique</x:v>
      </x:c>
      <x:c r="E34" t="str">
        <x:v>Magasinier</x:v>
      </x:c>
      <x:c r="F34" s="16" t="n">
        <x:v>1143792</x:v>
      </x:c>
      <x:c r="G34" s="16" t="n">
        <x:v>114379</x:v>
      </x:c>
      <x:c r="H34" s="16" t="n">
        <x:v>205747</x:v>
      </x:c>
      <x:c r="I34" s="16" t="n">
        <x:f>SUM(F34:H34)</x:f>
        <x:v>1463918</x:v>
      </x:c>
      <x:c r="J34" t="str">
        <x:v>Actif</x:v>
      </x:c>
    </x:row>
    <x:row r="35">
      <x:c r="A35" t="str">
        <x:v>EMP-034</x:v>
      </x:c>
      <x:c r="B35" t="str">
        <x:v>RAZAFINDRAKOTOA Ando</x:v>
      </x:c>
      <x:c r="C35" t="str">
        <x:v>AMPANDRANDAVA</x:v>
      </x:c>
      <x:c r="D35" t="str">
        <x:v>Maintenance</x:v>
      </x:c>
      <x:c r="E35" t="str">
        <x:v>Technicien maintenance</x:v>
      </x:c>
      <x:c r="F35" s="16" t="n">
        <x:v>1773216</x:v>
      </x:c>
      <x:c r="G35" s="16" t="n">
        <x:v>142128</x:v>
      </x:c>
      <x:c r="H35" s="16" t="n">
        <x:v>319450</x:v>
      </x:c>
      <x:c r="I35" s="16" t="n">
        <x:f>SUM(F35:H35)</x:f>
        <x:v>2234794</x:v>
      </x:c>
      <x:c r="J35" t="str">
        <x:v>Actif</x:v>
      </x:c>
    </x:row>
    <x:row r="36">
      <x:c r="A36" t="str">
        <x:v>EMP-035</x:v>
      </x:c>
      <x:c r="B36" t="str">
        <x:v>RANAIVO Nantenaina</x:v>
      </x:c>
      <x:c r="C36" t="str">
        <x:v>FORT DAUPHIN</x:v>
      </x:c>
      <x:c r="D36" t="str">
        <x:v>Sécurité</x:v>
      </x:c>
      <x:c r="E36" t="str">
        <x:v>Agent de sécurité</x:v>
      </x:c>
      <x:c r="F36" s="16" t="n">
        <x:v>846000</x:v>
      </x:c>
      <x:c r="G36" s="16" t="n">
        <x:v>84600</x:v>
      </x:c>
      <x:c r="H36" s="16" t="n">
        <x:v>152280</x:v>
      </x:c>
      <x:c r="I36" s="16" t="n">
        <x:f>SUM(F36:H36)</x:f>
        <x:v>1082880</x:v>
      </x:c>
      <x:c r="J36" t="str">
        <x:v>Actif</x:v>
      </x:c>
    </x:row>
    <x:row r="37">
      <x:c r="A37" t="str">
        <x:v>EMP-036</x:v>
      </x:c>
      <x:c r="B37" t="str">
        <x:v>RABEHARISOA Nirina</x:v>
      </x:c>
      <x:c r="C37" t="str">
        <x:v>AMPANDRANDAVA</x:v>
      </x:c>
      <x:c r="D37" t="str">
        <x:v>Administration</x:v>
      </x:c>
      <x:c r="E37" t="str">
        <x:v>Assistant administratif</x:v>
      </x:c>
      <x:c r="F37" s="16" t="n">
        <x:v>1475424</x:v>
      </x:c>
      <x:c r="G37" s="16" t="n">
        <x:v>117763</x:v>
      </x:c>
      <x:c r="H37" s="16" t="n">
        <x:v>265306</x:v>
      </x:c>
      <x:c r="I37" s="16" t="n">
        <x:f>SUM(F37:H37)</x:f>
        <x:v>1858493</x:v>
      </x:c>
      <x:c r="J37" t="str">
        <x:v>Actif</x:v>
      </x:c>
    </x:row>
    <x:row r="38">
      <x:c r="A38" t="str">
        <x:v>EMP-037</x:v>
      </x:c>
      <x:c r="B38" t="str">
        <x:v>RAKOTOMIARANA Toky</x:v>
      </x:c>
      <x:c r="C38" t="str">
        <x:v>FORT DAUPHIN</x:v>
      </x:c>
      <x:c r="D38" t="str">
        <x:v>Direction</x:v>
      </x:c>
      <x:c r="E38" t="str">
        <x:v>Directeur Général</x:v>
      </x:c>
      <x:c r="F38" s="16" t="n">
        <x:v>8981136</x:v>
      </x:c>
      <x:c r="G38" s="16" t="n">
        <x:v>718762</x:v>
      </x:c>
      <x:c r="H38" s="16" t="n">
        <x:v>1616875</x:v>
      </x:c>
      <x:c r="I38" s="16" t="n">
        <x:f>SUM(F38:H38)</x:f>
        <x:v>11316773</x:v>
      </x:c>
      <x:c r="J38" t="str">
        <x:v>Actif</x:v>
      </x:c>
    </x:row>
    <x:row r="39">
      <x:c r="A39" t="str">
        <x:v>EMP-038</x:v>
      </x:c>
      <x:c r="B39" t="str">
        <x:v>ANDRIATSIMBA Tiana</x:v>
      </x:c>
      <x:c r="C39" t="str">
        <x:v>AMPANDRANDAVA</x:v>
      </x:c>
      <x:c r="D39" t="str">
        <x:v>Direction</x:v>
      </x:c>
      <x:c r="E39" t="str">
        <x:v>DAF</x:v>
      </x:c>
      <x:c r="F39" s="16" t="n">
        <x:v>6531120</x:v>
      </x:c>
      <x:c r="G39" s="16" t="n">
        <x:v>522490</x:v>
      </x:c>
      <x:c r="H39" s="16" t="n">
        <x:v>1175602</x:v>
      </x:c>
      <x:c r="I39" s="16" t="n">
        <x:f>SUM(F39:H39)</x:f>
        <x:v>8229212</x:v>
      </x:c>
      <x:c r="J39" t="str">
        <x:v>Actif</x:v>
      </x:c>
    </x:row>
    <x:row r="40">
      <x:c r="A40" t="str">
        <x:v>EMP-039</x:v>
      </x:c>
      <x:c r="B40" t="str">
        <x:v>RASOAMALALA Sitraka</x:v>
      </x:c>
      <x:c r="C40" t="str">
        <x:v>FORT DAUPHIN</x:v>
      </x:c>
      <x:c r="D40" t="str">
        <x:v>Finance</x:v>
      </x:c>
      <x:c r="E40" t="str">
        <x:v>Chef comptable</x:v>
      </x:c>
      <x:c r="F40" s="16" t="n">
        <x:v>3654720</x:v>
      </x:c>
      <x:c r="G40" s="16" t="n">
        <x:v>292378</x:v>
      </x:c>
      <x:c r="H40" s="16" t="n">
        <x:v>657850</x:v>
      </x:c>
      <x:c r="I40" s="16" t="n">
        <x:f>SUM(F40:H40)</x:f>
        <x:v>4604948</x:v>
      </x:c>
      <x:c r="J40" t="str">
        <x:v>Actif</x:v>
      </x:c>
    </x:row>
    <x:row r="41">
      <x:c r="A41" t="str">
        <x:v>EMP-040</x:v>
      </x:c>
      <x:c r="B41" t="str">
        <x:v>RAZAFINDRABE Aina</x:v>
      </x:c>
      <x:c r="C41" t="str">
        <x:v>FORT DAUPHIN</x:v>
      </x:c>
      <x:c r="D41" t="str">
        <x:v>Finance</x:v>
      </x:c>
      <x:c r="E41" t="str">
        <x:v>Comptable</x:v>
      </x:c>
      <x:c r="F41" s="16" t="n">
        <x:v>2565072</x:v>
      </x:c>
      <x:c r="G41" s="16" t="n">
        <x:v>256507</x:v>
      </x:c>
      <x:c r="H41" s="16" t="n">
        <x:v>461578</x:v>
      </x:c>
      <x:c r="I41" s="16" t="n">
        <x:f>SUM(F41:H41)</x:f>
        <x:v>3283157</x:v>
      </x:c>
      <x:c r="J41" t="str">
        <x:v>Actif</x:v>
      </x:c>
    </x:row>
    <x:row r="42">
      <x:c r="A42" t="str">
        <x:v>EMP-041</x:v>
      </x:c>
      <x:c r="B42" t="str">
        <x:v>RATSIMANDRESY Fanja</x:v>
      </x:c>
      <x:c r="C42" t="str">
        <x:v>AMBOASARY</x:v>
      </x:c>
      <x:c r="D42" t="str">
        <x:v>Finance</x:v>
      </x:c>
      <x:c r="E42" t="str">
        <x:v>Assistant comptable</x:v>
      </x:c>
      <x:c r="F42" s="16" t="n">
        <x:v>1583712</x:v>
      </x:c>
      <x:c r="G42" s="16" t="n">
        <x:v>158371</x:v>
      </x:c>
      <x:c r="H42" s="16" t="n">
        <x:v>284933</x:v>
      </x:c>
      <x:c r="I42" s="16" t="n">
        <x:f>SUM(F42:H42)</x:f>
        <x:v>2027016</x:v>
      </x:c>
      <x:c r="J42" t="str">
        <x:v>Actif</x:v>
      </x:c>
    </x:row>
    <x:row r="43">
      <x:c r="A43" t="str">
        <x:v>EMP-042</x:v>
      </x:c>
      <x:c r="B43" t="str">
        <x:v>RAKOTONIRINA Miora</x:v>
      </x:c>
      <x:c r="C43" t="str">
        <x:v>FORT DAUPHIN</x:v>
      </x:c>
      <x:c r="D43" t="str">
        <x:v>RH</x:v>
      </x:c>
      <x:c r="E43" t="str">
        <x:v>Responsable RH</x:v>
      </x:c>
      <x:c r="F43" s="16" t="n">
        <x:v>3438144</x:v>
      </x:c>
      <x:c r="G43" s="16" t="n">
        <x:v>274781</x:v>
      </x:c>
      <x:c r="H43" s="16" t="n">
        <x:v>618595</x:v>
      </x:c>
      <x:c r="I43" s="16" t="n">
        <x:f>SUM(F43:H43)</x:f>
        <x:v>4331520</x:v>
      </x:c>
      <x:c r="J43" t="str">
        <x:v>Actif</x:v>
      </x:c>
    </x:row>
    <x:row r="44">
      <x:c r="A44" t="str">
        <x:v>EMP-043</x:v>
      </x:c>
      <x:c r="B44" t="str">
        <x:v>RANDRIAMIHAMINA Hasina</x:v>
      </x:c>
      <x:c r="C44" t="str">
        <x:v>AMPANDRANDAVA</x:v>
      </x:c>
      <x:c r="D44" t="str">
        <x:v>Commercial</x:v>
      </x:c>
      <x:c r="E44" t="str">
        <x:v>Responsable commercial export</x:v>
      </x:c>
      <x:c r="F44" s="16" t="n">
        <x:v>3769776</x:v>
      </x:c>
      <x:c r="G44" s="16" t="n">
        <x:v>452102</x:v>
      </x:c>
      <x:c r="H44" s="16" t="n">
        <x:v>678830</x:v>
      </x:c>
      <x:c r="I44" s="16" t="n">
        <x:f>SUM(F44:H44)</x:f>
        <x:v>4900708</x:v>
      </x:c>
      <x:c r="J44" t="str">
        <x:v>Actif</x:v>
      </x:c>
    </x:row>
    <x:row r="45">
      <x:c r="A45" t="str">
        <x:v>EMP-044</x:v>
      </x:c>
      <x:c r="B45" t="str">
        <x:v>RABEZAFY Feno</x:v>
      </x:c>
      <x:c r="C45" t="str">
        <x:v>FORT DAUPHIN</x:v>
      </x:c>
      <x:c r="D45" t="str">
        <x:v>Commercial</x:v>
      </x:c>
      <x:c r="E45" t="str">
        <x:v>Agent export</x:v>
      </x:c>
      <x:c r="F45" s="16" t="n">
        <x:v>2071008</x:v>
      </x:c>
      <x:c r="G45" s="16" t="n">
        <x:v>207101</x:v>
      </x:c>
      <x:c r="H45" s="16" t="n">
        <x:v>372917</x:v>
      </x:c>
      <x:c r="I45" s="16" t="n">
        <x:f>SUM(F45:H45)</x:f>
        <x:v>2651026</x:v>
      </x:c>
      <x:c r="J45" t="str">
        <x:v>Actif</x:v>
      </x:c>
    </x:row>
    <x:row r="46">
      <x:c r="A46" t="str">
        <x:v>EMP-045</x:v>
      </x:c>
      <x:c r="B46" t="str">
        <x:v>RANOMENJANAHARY Kanto</x:v>
      </x:c>
      <x:c r="C46" t="str">
        <x:v>AMBOASARY</x:v>
      </x:c>
      <x:c r="D46" t="str">
        <x:v>Production</x:v>
      </x:c>
      <x:c r="E46" t="str">
        <x:v>Responsable production</x:v>
      </x:c>
      <x:c r="F46" s="16" t="n">
        <x:v>3844224</x:v>
      </x:c>
      <x:c r="G46" s="16" t="n">
        <x:v>307267</x:v>
      </x:c>
      <x:c r="H46" s="16" t="n">
        <x:v>691690</x:v>
      </x:c>
      <x:c r="I46" s="16" t="n">
        <x:f>SUM(F46:H46)</x:f>
        <x:v>4843181</x:v>
      </x:c>
      <x:c r="J46" t="str">
        <x:v>Actif</x:v>
      </x:c>
    </x:row>
    <x:row r="47">
      <x:c r="A47" t="str">
        <x:v>EMP-046</x:v>
      </x:c>
      <x:c r="B47" t="str">
        <x:v>RAKOTONIAINA Mamy</x:v>
      </x:c>
      <x:c r="C47" t="str">
        <x:v>FORT DAUPHIN</x:v>
      </x:c>
      <x:c r="D47" t="str">
        <x:v>Production</x:v>
      </x:c>
      <x:c r="E47" t="str">
        <x:v>Chef d'atelier</x:v>
      </x:c>
      <x:c r="F47" s="16" t="n">
        <x:v>2470320</x:v>
      </x:c>
      <x:c r="G47" s="16" t="n">
        <x:v>197626</x:v>
      </x:c>
      <x:c r="H47" s="16" t="n">
        <x:v>444658</x:v>
      </x:c>
      <x:c r="I47" s="16" t="n">
        <x:f>SUM(F47:H47)</x:f>
        <x:v>3112604</x:v>
      </x:c>
      <x:c r="J47" t="str">
        <x:v>Actif</x:v>
      </x:c>
    </x:row>
    <x:row r="48">
      <x:c r="A48" t="str">
        <x:v>EMP-047</x:v>
      </x:c>
      <x:c r="B48" t="str">
        <x:v>RASOARIMALALA Tafita</x:v>
      </x:c>
      <x:c r="C48" t="str">
        <x:v>AMPANDRANDAVA</x:v>
      </x:c>
      <x:c r="D48" t="str">
        <x:v>Production</x:v>
      </x:c>
      <x:c r="E48" t="str">
        <x:v>Contrôleur qualité</x:v>
      </x:c>
      <x:c r="F48" s="16" t="n">
        <x:v>1766448</x:v>
      </x:c>
      <x:c r="G48" s="16" t="n">
        <x:v>141451</x:v>
      </x:c>
      <x:c r="H48" s="16" t="n">
        <x:v>318096</x:v>
      </x:c>
      <x:c r="I48" s="16" t="n">
        <x:f>SUM(F48:H48)</x:f>
        <x:v>2225995</x:v>
      </x:c>
      <x:c r="J48" t="str">
        <x:v>Actif</x:v>
      </x:c>
    </x:row>
    <x:row r="49">
      <x:c r="A49" t="str">
        <x:v>EMP-048</x:v>
      </x:c>
      <x:c r="B49" t="str">
        <x:v>ANDRIANJAFY Rija</x:v>
      </x:c>
      <x:c r="C49" t="str">
        <x:v>AMPANDRANDAVA</x:v>
      </x:c>
      <x:c r="D49" t="str">
        <x:v>Production</x:v>
      </x:c>
      <x:c r="E49" t="str">
        <x:v>Opérateur traitement</x:v>
      </x:c>
      <x:c r="F49" s="16" t="n">
        <x:v>1231776</x:v>
      </x:c>
      <x:c r="G49" s="16" t="n">
        <x:v>98813</x:v>
      </x:c>
      <x:c r="H49" s="16" t="n">
        <x:v>221990</x:v>
      </x:c>
      <x:c r="I49" s="16" t="n">
        <x:f>SUM(F49:H49)</x:f>
        <x:v>1552579</x:v>
      </x:c>
      <x:c r="J49" t="str">
        <x:v>Actif</x:v>
      </x:c>
    </x:row>
    <x:row r="50">
      <x:c r="A50" t="str">
        <x:v>EMP-049</x:v>
      </x:c>
      <x:c r="B50" t="str">
        <x:v>RAKOTOMAHERY Vero</x:v>
      </x:c>
      <x:c r="C50" t="str">
        <x:v>FORT DAUPHIN</x:v>
      </x:c>
      <x:c r="D50" t="str">
        <x:v>Production</x:v>
      </x:c>
      <x:c r="E50" t="str">
        <x:v>Coupeuse / trieuse</x:v>
      </x:c>
      <x:c r="F50" s="16" t="n">
        <x:v>961056</x:v>
      </x:c>
      <x:c r="G50" s="16" t="n">
        <x:v>48053</x:v>
      </x:c>
      <x:c r="H50" s="16" t="n">
        <x:v>173261</x:v>
      </x:c>
      <x:c r="I50" s="16" t="n">
        <x:f>SUM(F50:H50)</x:f>
        <x:v>1182370</x:v>
      </x:c>
      <x:c r="J50" t="str">
        <x:v>Actif</x:v>
      </x:c>
    </x:row>
    <x:row r="51">
      <x:c r="A51" t="str">
        <x:v>EMP-050</x:v>
      </x:c>
      <x:c r="B51" t="str">
        <x:v>RAKOTONDRAJAO Lanto</x:v>
      </x:c>
      <x:c r="C51" t="str">
        <x:v>TRANOMARO</x:v>
      </x:c>
      <x:c r="D51" t="str">
        <x:v>Logistique</x:v>
      </x:c>
      <x:c r="E51" t="str">
        <x:v>Responsable logistique</x:v>
      </x:c>
      <x:c r="F51" s="16" t="n">
        <x:v>2829024</x:v>
      </x:c>
      <x:c r="G51" s="16" t="n">
        <x:v>141451</x:v>
      </x:c>
      <x:c r="H51" s="16" t="n">
        <x:v>508954</x:v>
      </x:c>
      <x:c r="I51" s="16" t="n">
        <x:f>SUM(F51:H51)</x:f>
        <x:v>3479429</x:v>
      </x:c>
      <x:c r="J51" t="str">
        <x:v>Actif</x:v>
      </x:c>
    </x:row>
    <x:row r="52">
      <x:c r="A52" t="str">
        <x:v>EMP-051</x:v>
      </x:c>
      <x:c r="B52" t="str">
        <x:v>RANDRIANANTENAINA Rindra</x:v>
      </x:c>
      <x:c r="C52" t="str">
        <x:v>TRANOMARO</x:v>
      </x:c>
      <x:c r="D52" t="str">
        <x:v>Logistique</x:v>
      </x:c>
      <x:c r="E52" t="str">
        <x:v>Magasinier</x:v>
      </x:c>
      <x:c r="F52" s="16" t="n">
        <x:v>1103184</x:v>
      </x:c>
      <x:c r="G52" s="16" t="n">
        <x:v>55498</x:v>
      </x:c>
      <x:c r="H52" s="16" t="n">
        <x:v>198302</x:v>
      </x:c>
      <x:c r="I52" s="16" t="n">
        <x:f>SUM(F52:H52)</x:f>
        <x:v>1356984</x:v>
      </x:c>
      <x:c r="J52" t="str">
        <x:v>Actif</x:v>
      </x:c>
    </x:row>
    <x:row r="53">
      <x:c r="A53" t="str">
        <x:v>EMP-052</x:v>
      </x:c>
      <x:c r="B53" t="str">
        <x:v>RAVAOARISOA Miary</x:v>
      </x:c>
      <x:c r="C53" t="str">
        <x:v>AMPANDRANDAVA</x:v>
      </x:c>
      <x:c r="D53" t="str">
        <x:v>Maintenance</x:v>
      </x:c>
      <x:c r="E53" t="str">
        <x:v>Technicien maintenance</x:v>
      </x:c>
      <x:c r="F53" s="16" t="n">
        <x:v>1692000</x:v>
      </x:c>
      <x:c r="G53" s="16" t="n">
        <x:v>169200</x:v>
      </x:c>
      <x:c r="H53" s="16" t="n">
        <x:v>304560</x:v>
      </x:c>
      <x:c r="I53" s="16" t="n">
        <x:f>SUM(F53:H53)</x:f>
        <x:v>2165760</x:v>
      </x:c>
      <x:c r="J53" t="str">
        <x:v>Actif</x:v>
      </x:c>
    </x:row>
    <x:row r="54">
      <x:c r="A54" t="str">
        <x:v>EMP-053</x:v>
      </x:c>
      <x:c r="B54" t="str">
        <x:v>RAZAFIMANANTSOA Solo</x:v>
      </x:c>
      <x:c r="C54" t="str">
        <x:v>AMPANDRANDAVA</x:v>
      </x:c>
      <x:c r="D54" t="str">
        <x:v>Sécurité</x:v>
      </x:c>
      <x:c r="E54" t="str">
        <x:v>Agent de sécurité</x:v>
      </x:c>
      <x:c r="F54" s="16" t="n">
        <x:v>832464</x:v>
      </x:c>
      <x:c r="G54" s="16" t="n">
        <x:v>83246</x:v>
      </x:c>
      <x:c r="H54" s="16" t="n">
        <x:v>149573</x:v>
      </x:c>
      <x:c r="I54" s="16" t="n">
        <x:f>SUM(F54:H54)</x:f>
        <x:v>1065283</x:v>
      </x:c>
      <x:c r="J54" t="str">
        <x:v>Actif</x:v>
      </x:c>
    </x:row>
    <x:row r="55">
      <x:c r="A55" t="str">
        <x:v>EMP-054</x:v>
      </x:c>
      <x:c r="B55" t="str">
        <x:v>RAKOTONANAHARY Noro</x:v>
      </x:c>
      <x:c r="C55" t="str">
        <x:v>AMPANDRANDAVA</x:v>
      </x:c>
      <x:c r="D55" t="str">
        <x:v>Administration</x:v>
      </x:c>
      <x:c r="E55" t="str">
        <x:v>Assistant administratif</x:v>
      </x:c>
      <x:c r="F55" s="16" t="n">
        <x:v>1306224</x:v>
      </x:c>
      <x:c r="G55" s="16" t="n">
        <x:v>64973</x:v>
      </x:c>
      <x:c r="H55" s="16" t="n">
        <x:v>234850</x:v>
      </x:c>
      <x:c r="I55" s="16" t="n">
        <x:f>SUM(F55:H55)</x:f>
        <x:v>1606047</x:v>
      </x:c>
      <x:c r="J55" t="str">
        <x:v>Actif</x:v>
      </x:c>
    </x:row>
    <x:row r="56">
      <x:c r="A56" t="str">
        <x:v>EMP-055</x:v>
      </x:c>
      <x:c r="B56" t="str">
        <x:v>RABEFENO Rina</x:v>
      </x:c>
      <x:c r="C56" t="str">
        <x:v>AMPANDRANDAVA</x:v>
      </x:c>
      <x:c r="D56" t="str">
        <x:v>Direction</x:v>
      </x:c>
      <x:c r="E56" t="str">
        <x:v>Directeur Général</x:v>
      </x:c>
      <x:c r="F56" s="16" t="n">
        <x:v>9136800</x:v>
      </x:c>
      <x:c r="G56" s="16" t="n">
        <x:v>1096416</x:v>
      </x:c>
      <x:c r="H56" s="16" t="n">
        <x:v>1644624</x:v>
      </x:c>
      <x:c r="I56" s="16" t="n">
        <x:f>SUM(F56:H56)</x:f>
        <x:v>11877840</x:v>
      </x:c>
      <x:c r="J56" t="str">
        <x:v>Actif</x:v>
      </x:c>
    </x:row>
    <x:row r="57">
      <x:c r="A57" t="str">
        <x:v>EMP-056</x:v>
      </x:c>
      <x:c r="B57" t="str">
        <x:v>RAKOTOMANANA Tina</x:v>
      </x:c>
      <x:c r="C57" t="str">
        <x:v>AMPANDRANDAVA</x:v>
      </x:c>
      <x:c r="D57" t="str">
        <x:v>Direction</x:v>
      </x:c>
      <x:c r="E57" t="str">
        <x:v>DAF</x:v>
      </x:c>
      <x:c r="F57" s="16" t="n">
        <x:v>6294240</x:v>
      </x:c>
      <x:c r="G57" s="16" t="n">
        <x:v>629424</x:v>
      </x:c>
      <x:c r="H57" s="16" t="n">
        <x:v>1132963</x:v>
      </x:c>
      <x:c r="I57" s="16" t="n">
        <x:f>SUM(F57:H57)</x:f>
        <x:v>8056627</x:v>
      </x:c>
      <x:c r="J57" t="str">
        <x:v>Actif</x:v>
      </x:c>
    </x:row>
    <x:row r="58">
      <x:c r="A58" t="str">
        <x:v>EMP-057</x:v>
      </x:c>
      <x:c r="B58" t="str">
        <x:v>RAKOTONANTENAINA Zo</x:v>
      </x:c>
      <x:c r="C58" t="str">
        <x:v>FORT DAUPHIN</x:v>
      </x:c>
      <x:c r="D58" t="str">
        <x:v>Finance</x:v>
      </x:c>
      <x:c r="E58" t="str">
        <x:v>Chef comptable</x:v>
      </x:c>
      <x:c r="F58" s="16" t="n">
        <x:v>3587040</x:v>
      </x:c>
      <x:c r="G58" s="16" t="n">
        <x:v>358704</x:v>
      </x:c>
      <x:c r="H58" s="16" t="n">
        <x:v>645667</x:v>
      </x:c>
      <x:c r="I58" s="16" t="n">
        <x:f>SUM(F58:H58)</x:f>
        <x:v>4591411</x:v>
      </x:c>
      <x:c r="J58" t="str">
        <x:v>Actif</x:v>
      </x:c>
    </x:row>
    <x:row r="59">
      <x:c r="A59" t="str">
        <x:v>EMP-058</x:v>
      </x:c>
      <x:c r="B59" t="str">
        <x:v>RANDRIATSARA Rado</x:v>
      </x:c>
      <x:c r="C59" t="str">
        <x:v>FORT DAUPHIN</x:v>
      </x:c>
      <x:c r="D59" t="str">
        <x:v>Finance</x:v>
      </x:c>
      <x:c r="E59" t="str">
        <x:v>Comptable</x:v>
      </x:c>
      <x:c r="F59" s="16" t="n">
        <x:v>2619216</x:v>
      </x:c>
      <x:c r="G59" s="16" t="n">
        <x:v>131299</x:v>
      </x:c>
      <x:c r="H59" s="16" t="n">
        <x:v>471730</x:v>
      </x:c>
      <x:c r="I59" s="16" t="n">
        <x:f>SUM(F59:H59)</x:f>
        <x:v>3222245</x:v>
      </x:c>
      <x:c r="J59" t="str">
        <x:v>Actif</x:v>
      </x:c>
    </x:row>
    <x:row r="60">
      <x:c r="A60" t="str">
        <x:v>EMP-059</x:v>
      </x:c>
      <x:c r="B60" t="str">
        <x:v>RASOLOFONIAINA Fetra</x:v>
      </x:c>
      <x:c r="C60" t="str">
        <x:v>AMPANDRANDAVA</x:v>
      </x:c>
      <x:c r="D60" t="str">
        <x:v>Finance</x:v>
      </x:c>
      <x:c r="E60" t="str">
        <x:v>Assistant comptable</x:v>
      </x:c>
      <x:c r="F60" s="16" t="n">
        <x:v>1658160</x:v>
      </x:c>
      <x:c r="G60" s="16" t="n">
        <x:v>198979</x:v>
      </x:c>
      <x:c r="H60" s="16" t="n">
        <x:v>298469</x:v>
      </x:c>
      <x:c r="I60" s="16" t="n">
        <x:f>SUM(F60:H60)</x:f>
        <x:v>2155608</x:v>
      </x:c>
      <x:c r="J60" t="str">
        <x:v>Actif</x:v>
      </x:c>
    </x:row>
    <x:row r="61">
      <x:c r="A61" t="str">
        <x:v>EMP-060</x:v>
      </x:c>
      <x:c r="B61" t="str">
        <x:v>RAKOTOVONINA Rova</x:v>
      </x:c>
      <x:c r="C61" t="str">
        <x:v>TRANOMARO</x:v>
      </x:c>
      <x:c r="D61" t="str">
        <x:v>RH</x:v>
      </x:c>
      <x:c r="E61" t="str">
        <x:v>Responsable RH</x:v>
      </x:c>
      <x:c r="F61" s="16" t="n">
        <x:v>3289248</x:v>
      </x:c>
      <x:c r="G61" s="16" t="n">
        <x:v>164462</x:v>
      </x:c>
      <x:c r="H61" s="16" t="n">
        <x:v>592200</x:v>
      </x:c>
      <x:c r="I61" s="16" t="n">
        <x:f>SUM(F61:H61)</x:f>
        <x:v>4045910</x:v>
      </x:c>
      <x:c r="J61" t="str">
        <x:v>Actif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69.67</x:v>
      </x:c>
      <x:c r="E2" s="18" t="n">
        <x:v>61.64</x:v>
      </x:c>
      <x:c r="F2" s="18" t="n">
        <x:v>60.69</x:v>
      </x:c>
      <x:c r="G2" s="18" t="n">
        <x:v>55.02</x:v>
      </x:c>
      <x:c r="H2" s="18" t="n">
        <x:v>55.77</x:v>
      </x:c>
      <x:c r="I2" s="18" t="n">
        <x:v>70.03</x:v>
      </x:c>
      <x:c r="J2" s="18" t="n">
        <x:v>59.52</x:v>
      </x:c>
      <x:c r="K2" s="18" t="n">
        <x:v>69.4</x:v>
      </x:c>
      <x:c r="L2" s="18" t="n">
        <x:v>71.32</x:v>
      </x:c>
      <x:c r="M2" s="18" t="n">
        <x:v>71.69</x:v>
      </x:c>
      <x:c r="N2" s="18" t="n">
        <x:v>62.16</x:v>
      </x:c>
      <x:c r="O2" s="18" t="n">
        <x:v>64.35</x:v>
      </x:c>
      <x:c r="P2" s="18" t="n">
        <x:f>SUM(D2:O2)</x:f>
        <x:v>771.26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54.23</x:v>
      </x:c>
      <x:c r="E3" s="18" t="n">
        <x:v>44.97</x:v>
      </x:c>
      <x:c r="F3" s="18" t="n">
        <x:v>46.17</x:v>
      </x:c>
      <x:c r="G3" s="18" t="n">
        <x:v>46.6</x:v>
      </x:c>
      <x:c r="H3" s="18" t="n">
        <x:v>52.26</x:v>
      </x:c>
      <x:c r="I3" s="18" t="n">
        <x:v>41.71</x:v>
      </x:c>
      <x:c r="J3" s="18" t="n">
        <x:v>53.47</x:v>
      </x:c>
      <x:c r="K3" s="18" t="n">
        <x:v>49.17</x:v>
      </x:c>
      <x:c r="L3" s="18" t="n">
        <x:v>47.95</x:v>
      </x:c>
      <x:c r="M3" s="18" t="n">
        <x:v>45.75</x:v>
      </x:c>
      <x:c r="N3" s="18" t="n">
        <x:v>46.28</x:v>
      </x:c>
      <x:c r="O3" s="18" t="n">
        <x:v>45.06</x:v>
      </x:c>
      <x:c r="P3" s="18" t="n">
        <x:f>SUM(D3:O3)</x:f>
        <x:v>573.6199999999999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44.55</x:v>
      </x:c>
      <x:c r="E4" s="18" t="n">
        <x:v>36.08</x:v>
      </x:c>
      <x:c r="F4" s="18" t="n">
        <x:v>43.92</x:v>
      </x:c>
      <x:c r="G4" s="18" t="n">
        <x:v>40.04</x:v>
      </x:c>
      <x:c r="H4" s="18" t="n">
        <x:v>44.23</x:v>
      </x:c>
      <x:c r="I4" s="18" t="n">
        <x:v>36.63</x:v>
      </x:c>
      <x:c r="J4" s="18" t="n">
        <x:v>44.47</x:v>
      </x:c>
      <x:c r="K4" s="18" t="n">
        <x:v>48.24</x:v>
      </x:c>
      <x:c r="L4" s="18" t="n">
        <x:v>39.89</x:v>
      </x:c>
      <x:c r="M4" s="18" t="n">
        <x:v>44.32</x:v>
      </x:c>
      <x:c r="N4" s="18" t="n">
        <x:v>36.53</x:v>
      </x:c>
      <x:c r="O4" s="18" t="n">
        <x:v>46.8</x:v>
      </x:c>
      <x:c r="P4" s="18" t="n">
        <x:f>SUM(D4:O4)</x:f>
        <x:v>505.7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54.34</x:v>
      </x:c>
      <x:c r="E5" s="18" t="n">
        <x:v>64.71</x:v>
      </x:c>
      <x:c r="F5" s="18" t="n">
        <x:v>53.63</x:v>
      </x:c>
      <x:c r="G5" s="18" t="n">
        <x:v>54.03</x:v>
      </x:c>
      <x:c r="H5" s="18" t="n">
        <x:v>50.33</x:v>
      </x:c>
      <x:c r="I5" s="18" t="n">
        <x:v>50.37</x:v>
      </x:c>
      <x:c r="J5" s="18" t="n">
        <x:v>58.35</x:v>
      </x:c>
      <x:c r="K5" s="18" t="n">
        <x:v>52.02</x:v>
      </x:c>
      <x:c r="L5" s="18" t="n">
        <x:v>48.55</x:v>
      </x:c>
      <x:c r="M5" s="18" t="n">
        <x:v>56.44</x:v>
      </x:c>
      <x:c r="N5" s="18" t="n">
        <x:v>56.08</x:v>
      </x:c>
      <x:c r="O5" s="18" t="n">
        <x:v>64.39</x:v>
      </x:c>
      <x:c r="P5" s="18" t="n">
        <x:f>SUM(D5:O5)</x:f>
        <x:v>663.24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33.77</x:v>
      </x:c>
      <x:c r="E6" s="18" t="n">
        <x:v>38.3</x:v>
      </x:c>
      <x:c r="F6" s="18" t="n">
        <x:v>42.44</x:v>
      </x:c>
      <x:c r="G6" s="18" t="n">
        <x:v>36.12</x:v>
      </x:c>
      <x:c r="H6" s="18" t="n">
        <x:v>41.6</x:v>
      </x:c>
      <x:c r="I6" s="18" t="n">
        <x:v>33.18</x:v>
      </x:c>
      <x:c r="J6" s="18" t="n">
        <x:v>39.1</x:v>
      </x:c>
      <x:c r="K6" s="18" t="n">
        <x:v>40.61</x:v>
      </x:c>
      <x:c r="L6" s="18" t="n">
        <x:v>34.18</x:v>
      </x:c>
      <x:c r="M6" s="18" t="n">
        <x:v>36.16</x:v>
      </x:c>
      <x:c r="N6" s="18" t="n">
        <x:v>37.39</x:v>
      </x:c>
      <x:c r="O6" s="18" t="n">
        <x:v>33.02</x:v>
      </x:c>
      <x:c r="P6" s="18" t="n">
        <x:f>SUM(D6:O6)</x:f>
        <x:v>445.87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66.35</x:v>
      </x:c>
      <x:c r="E7" s="18" t="n">
        <x:v>67.38</x:v>
      </x:c>
      <x:c r="F7" s="18" t="n">
        <x:v>58.03</x:v>
      </x:c>
      <x:c r="G7" s="18" t="n">
        <x:v>63.81</x:v>
      </x:c>
      <x:c r="H7" s="18" t="n">
        <x:v>69.52</x:v>
      </x:c>
      <x:c r="I7" s="18" t="n">
        <x:v>60.17</x:v>
      </x:c>
      <x:c r="J7" s="18" t="n">
        <x:v>63.34</x:v>
      </x:c>
      <x:c r="K7" s="18" t="n">
        <x:v>61.47</x:v>
      </x:c>
      <x:c r="L7" s="18" t="n">
        <x:v>55.06</x:v>
      </x:c>
      <x:c r="M7" s="18" t="n">
        <x:v>59.74</x:v>
      </x:c>
      <x:c r="N7" s="18" t="n">
        <x:v>54.53</x:v>
      </x:c>
      <x:c r="O7" s="18" t="n">
        <x:v>60.73</x:v>
      </x:c>
      <x:c r="P7" s="18" t="n">
        <x:f>SUM(D7:O7)</x:f>
        <x:v>740.1300000000001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43.45</x:v>
      </x:c>
      <x:c r="E8" s="18" t="n">
        <x:v>45.47</x:v>
      </x:c>
      <x:c r="F8" s="18" t="n">
        <x:v>52.79</x:v>
      </x:c>
      <x:c r="G8" s="18" t="n">
        <x:v>41.55</x:v>
      </x:c>
      <x:c r="H8" s="18" t="n">
        <x:v>55.33</x:v>
      </x:c>
      <x:c r="I8" s="18" t="n">
        <x:v>54.61</x:v>
      </x:c>
      <x:c r="J8" s="18" t="n">
        <x:v>51.27</x:v>
      </x:c>
      <x:c r="K8" s="18" t="n">
        <x:v>43.33</x:v>
      </x:c>
      <x:c r="L8" s="18" t="n">
        <x:v>43.54</x:v>
      </x:c>
      <x:c r="M8" s="18" t="n">
        <x:v>52.29</x:v>
      </x:c>
      <x:c r="N8" s="18" t="n">
        <x:v>50.23</x:v>
      </x:c>
      <x:c r="O8" s="18" t="n">
        <x:v>54.87</x:v>
      </x:c>
      <x:c r="P8" s="18" t="n">
        <x:f>SUM(D8:O8)</x:f>
        <x:v>588.73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37.27</x:v>
      </x:c>
      <x:c r="E9" s="18" t="n">
        <x:v>36.71</x:v>
      </x:c>
      <x:c r="F9" s="18" t="n">
        <x:v>45.53</x:v>
      </x:c>
      <x:c r="G9" s="18" t="n">
        <x:v>48.35</x:v>
      </x:c>
      <x:c r="H9" s="18" t="n">
        <x:v>38</x:v>
      </x:c>
      <x:c r="I9" s="18" t="n">
        <x:v>37.46</x:v>
      </x:c>
      <x:c r="J9" s="18" t="n">
        <x:v>45.82</x:v>
      </x:c>
      <x:c r="K9" s="18" t="n">
        <x:v>38.63</x:v>
      </x:c>
      <x:c r="L9" s="18" t="n">
        <x:v>40.66</x:v>
      </x:c>
      <x:c r="M9" s="18" t="n">
        <x:v>40.01</x:v>
      </x:c>
      <x:c r="N9" s="18" t="n">
        <x:v>45.1</x:v>
      </x:c>
      <x:c r="O9" s="18" t="n">
        <x:v>42.3</x:v>
      </x:c>
      <x:c r="P9" s="18" t="n">
        <x:f>SUM(D9:O9)</x:f>
        <x:v>495.8400000000001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50.89</x:v>
      </x:c>
      <x:c r="E10" s="18" t="n">
        <x:v>62.74</x:v>
      </x:c>
      <x:c r="F10" s="18" t="n">
        <x:v>51.34</x:v>
      </x:c>
      <x:c r="G10" s="18" t="n">
        <x:v>51.76</x:v>
      </x:c>
      <x:c r="H10" s="18" t="n">
        <x:v>57.12</x:v>
      </x:c>
      <x:c r="I10" s="18" t="n">
        <x:v>53.22</x:v>
      </x:c>
      <x:c r="J10" s="18" t="n">
        <x:v>64.58</x:v>
      </x:c>
      <x:c r="K10" s="18" t="n">
        <x:v>58.8</x:v>
      </x:c>
      <x:c r="L10" s="18" t="n">
        <x:v>57.59</x:v>
      </x:c>
      <x:c r="M10" s="18" t="n">
        <x:v>64.13</x:v>
      </x:c>
      <x:c r="N10" s="18" t="n">
        <x:v>55.39</x:v>
      </x:c>
      <x:c r="O10" s="18" t="n">
        <x:v>58.71</x:v>
      </x:c>
      <x:c r="P10" s="18" t="n">
        <x:f>SUM(D10:O10)</x:f>
        <x:v>686.27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38.9</x:v>
      </x:c>
      <x:c r="E11" s="18" t="n">
        <x:v>41.86</x:v>
      </x:c>
      <x:c r="F11" s="18" t="n">
        <x:v>38.56</x:v>
      </x:c>
      <x:c r="G11" s="18" t="n">
        <x:v>41.92</x:v>
      </x:c>
      <x:c r="H11" s="18" t="n">
        <x:v>32.08</x:v>
      </x:c>
      <x:c r="I11" s="18" t="n">
        <x:v>35.27</x:v>
      </x:c>
      <x:c r="J11" s="18" t="n">
        <x:v>41.5</x:v>
      </x:c>
      <x:c r="K11" s="18" t="n">
        <x:v>33.07</x:v>
      </x:c>
      <x:c r="L11" s="18" t="n">
        <x:v>39.28</x:v>
      </x:c>
      <x:c r="M11" s="18" t="n">
        <x:v>33.8</x:v>
      </x:c>
      <x:c r="N11" s="18" t="n">
        <x:v>37.13</x:v>
      </x:c>
      <x:c r="O11" s="18" t="n">
        <x:v>36.69</x:v>
      </x:c>
      <x:c r="P11" s="18" t="n">
        <x:f>SUM(D11:O11)</x:f>
        <x:v>450.06000000000006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151472750</x:v>
      </x:c>
      <x:c r="F2" s="16" t="n">
        <x:v>133364800</x:v>
      </x:c>
      <x:c r="G2" s="16" t="n">
        <x:v>157702850</x:v>
      </x:c>
      <x:c r="H2" s="16" t="n">
        <x:v>140886900</x:v>
      </x:c>
      <x:c r="I2" s="16" t="n">
        <x:v>133801800</x:v>
      </x:c>
      <x:c r="J2" s="16" t="n">
        <x:v>133478800</x:v>
      </x:c>
      <x:c r="K2" s="16" t="n">
        <x:v>135440550</x:v>
      </x:c>
      <x:c r="L2" s="16" t="n">
        <x:v>158228200</x:v>
      </x:c>
      <x:c r="M2" s="16" t="n">
        <x:v>133255550</x:v>
      </x:c>
      <x:c r="N2" s="16" t="n">
        <x:v>152821750</x:v>
      </x:c>
      <x:c r="O2" s="16" t="n">
        <x:v>141517700</x:v>
      </x:c>
      <x:c r="P2" s="16" t="n">
        <x:v>150795400</x:v>
      </x:c>
      <x:c r="Q2" s="16" t="n">
        <x:f>SUM(E2:P2)</x:f>
        <x:v>1722767050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50556150</x:v>
      </x:c>
      <x:c r="F3" s="16" t="n">
        <x:v>45903050</x:v>
      </x:c>
      <x:c r="G3" s="16" t="n">
        <x:v>52915000</x:v>
      </x:c>
      <x:c r="H3" s="16" t="n">
        <x:v>51590700</x:v>
      </x:c>
      <x:c r="I3" s="16" t="n">
        <x:v>51078650</x:v>
      </x:c>
      <x:c r="J3" s="16" t="n">
        <x:v>53447000</x:v>
      </x:c>
      <x:c r="K3" s="16" t="n">
        <x:v>50790800</x:v>
      </x:c>
      <x:c r="L3" s="16" t="n">
        <x:v>46260250</x:v>
      </x:c>
      <x:c r="M3" s="16" t="n">
        <x:v>44391600</x:v>
      </x:c>
      <x:c r="N3" s="16" t="n">
        <x:v>42791800</x:v>
      </x:c>
      <x:c r="O3" s="16" t="n">
        <x:v>49003850</x:v>
      </x:c>
      <x:c r="P3" s="16" t="n">
        <x:v>53988500</x:v>
      </x:c>
      <x:c r="Q3" s="16" t="n">
        <x:f>SUM(E3:P3)</x:f>
        <x:v>592717350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74481900</x:v>
      </x:c>
      <x:c r="F4" s="16" t="n">
        <x:v>84707700</x:v>
      </x:c>
      <x:c r="G4" s="16" t="n">
        <x:v>85406900</x:v>
      </x:c>
      <x:c r="H4" s="16" t="n">
        <x:v>80027050</x:v>
      </x:c>
      <x:c r="I4" s="16" t="n">
        <x:v>75769150</x:v>
      </x:c>
      <x:c r="J4" s="16" t="n">
        <x:v>87813250</x:v>
      </x:c>
      <x:c r="K4" s="16" t="n">
        <x:v>80342450</x:v>
      </x:c>
      <x:c r="L4" s="16" t="n">
        <x:v>86706500</x:v>
      </x:c>
      <x:c r="M4" s="16" t="n">
        <x:v>86521250</x:v>
      </x:c>
      <x:c r="N4" s="16" t="n">
        <x:v>79925400</x:v>
      </x:c>
      <x:c r="O4" s="16" t="n">
        <x:v>84414150</x:v>
      </x:c>
      <x:c r="P4" s="16" t="n">
        <x:v>77049750</x:v>
      </x:c>
      <x:c r="Q4" s="16" t="n">
        <x:f>SUM(E4:P4)</x:f>
        <x:v>983165450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34478350</x:v>
      </x:c>
      <x:c r="F5" s="16" t="n">
        <x:v>29484200</x:v>
      </x:c>
      <x:c r="G5" s="16" t="n">
        <x:v>32233500</x:v>
      </x:c>
      <x:c r="H5" s="16" t="n">
        <x:v>29995300</x:v>
      </x:c>
      <x:c r="I5" s="16" t="n">
        <x:v>36334650</x:v>
      </x:c>
      <x:c r="J5" s="16" t="n">
        <x:v>34484050</x:v>
      </x:c>
      <x:c r="K5" s="16" t="n">
        <x:v>30998500</x:v>
      </x:c>
      <x:c r="L5" s="16" t="n">
        <x:v>34953350</x:v>
      </x:c>
      <x:c r="M5" s="16" t="n">
        <x:v>35064500</x:v>
      </x:c>
      <x:c r="N5" s="16" t="n">
        <x:v>29656150</x:v>
      </x:c>
      <x:c r="O5" s="16" t="n">
        <x:v>35946100</x:v>
      </x:c>
      <x:c r="P5" s="16" t="n">
        <x:v>31068800</x:v>
      </x:c>
      <x:c r="Q5" s="16" t="n">
        <x:f>SUM(E5:P5)</x:f>
        <x:v>394697450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25914100</x:v>
      </x:c>
      <x:c r="F6" s="16" t="n">
        <x:v>23999850</x:v>
      </x:c>
      <x:c r="G6" s="16" t="n">
        <x:v>22468450</x:v>
      </x:c>
      <x:c r="H6" s="16" t="n">
        <x:v>24311450</x:v>
      </x:c>
      <x:c r="I6" s="16" t="n">
        <x:v>23085000</x:v>
      </x:c>
      <x:c r="J6" s="16" t="n">
        <x:v>25958750</x:v>
      </x:c>
      <x:c r="K6" s="16" t="n">
        <x:v>22509300</x:v>
      </x:c>
      <x:c r="L6" s="16" t="n">
        <x:v>22380100</x:v>
      </x:c>
      <x:c r="M6" s="16" t="n">
        <x:v>24932750</x:v>
      </x:c>
      <x:c r="N6" s="16" t="n">
        <x:v>25241500</x:v>
      </x:c>
      <x:c r="O6" s="16" t="n">
        <x:v>21725550</x:v>
      </x:c>
      <x:c r="P6" s="16" t="n">
        <x:v>21599200</x:v>
      </x:c>
      <x:c r="Q6" s="16" t="n">
        <x:f>SUM(E6:P6)</x:f>
        <x:v>284126000</x:v>
      </x:c>
    </x:row>
    <x:row r="7">
      <x:c r="A7" t="str">
        <x:v>ADMINISTRATION</x:v>
      </x:c>
      <x:c r="B7" t="str">
        <x:v>Salaires administratifs</x:v>
      </x:c>
      <x:c r="C7" t="str">
        <x:v>FORT DAUPHIN</x:v>
      </x:c>
      <x:c r="D7" t="str">
        <x:v>MGA</x:v>
      </x:c>
      <x:c r="E7" s="16" t="n">
        <x:v>72812750</x:v>
      </x:c>
      <x:c r="F7" s="16" t="n">
        <x:v>71496050</x:v>
      </x:c>
      <x:c r="G7" s="16" t="n">
        <x:v>63004000</x:v>
      </x:c>
      <x:c r="H7" s="16" t="n">
        <x:v>62258250</x:v>
      </x:c>
      <x:c r="I7" s="16" t="n">
        <x:v>73455900</x:v>
      </x:c>
      <x:c r="J7" s="16" t="n">
        <x:v>70744600</x:v>
      </x:c>
      <x:c r="K7" s="16" t="n">
        <x:v>68723950</x:v>
      </x:c>
      <x:c r="L7" s="16" t="n">
        <x:v>62707600</x:v>
      </x:c>
      <x:c r="M7" s="16" t="n">
        <x:v>65883450</x:v>
      </x:c>
      <x:c r="N7" s="16" t="n">
        <x:v>63294700</x:v>
      </x:c>
      <x:c r="O7" s="16" t="n">
        <x:v>66937000</x:v>
      </x:c>
      <x:c r="P7" s="16" t="n">
        <x:v>61526750</x:v>
      </x:c>
      <x:c r="Q7" s="16" t="n">
        <x:f>SUM(E7:P7)</x:f>
        <x:v>802845000</x:v>
      </x:c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7810900</x:v>
      </x:c>
      <x:c r="F8" s="16" t="n">
        <x:v>7767200</x:v>
      </x:c>
      <x:c r="G8" s="16" t="n">
        <x:v>7352050</x:v>
      </x:c>
      <x:c r="H8" s="16" t="n">
        <x:v>7259900</x:v>
      </x:c>
      <x:c r="I8" s="16" t="n">
        <x:v>7510700</x:v>
      </x:c>
      <x:c r="J8" s="16" t="n">
        <x:v>7221900</x:v>
      </x:c>
      <x:c r="K8" s="16" t="n">
        <x:v>7979050</x:v>
      </x:c>
      <x:c r="L8" s="16" t="n">
        <x:v>8356200</x:v>
      </x:c>
      <x:c r="M8" s="16" t="n">
        <x:v>8263100</x:v>
      </x:c>
      <x:c r="N8" s="16" t="n">
        <x:v>8188050</x:v>
      </x:c>
      <x:c r="O8" s="16" t="n">
        <x:v>7144950</x:v>
      </x:c>
      <x:c r="P8" s="16" t="n">
        <x:v>7055650</x:v>
      </x:c>
      <x:c r="Q8" s="16" t="n">
        <x:f>SUM(E8:P8)</x:f>
        <x:v>91909650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12104900</x:v>
      </x:c>
      <x:c r="F9" s="16" t="n">
        <x:v>12497250</x:v>
      </x:c>
      <x:c r="G9" s="16" t="n">
        <x:v>14418150</x:v>
      </x:c>
      <x:c r="H9" s="16" t="n">
        <x:v>14563500</x:v>
      </x:c>
      <x:c r="I9" s="16" t="n">
        <x:v>11704000</x:v>
      </x:c>
      <x:c r="J9" s="16" t="n">
        <x:v>13686650</x:v>
      </x:c>
      <x:c r="K9" s="16" t="n">
        <x:v>12560900</x:v>
      </x:c>
      <x:c r="L9" s="16" t="n">
        <x:v>14729750</x:v>
      </x:c>
      <x:c r="M9" s="16" t="n">
        <x:v>11680250</x:v>
      </x:c>
      <x:c r="N9" s="16" t="n">
        <x:v>11900650</x:v>
      </x:c>
      <x:c r="O9" s="16" t="n">
        <x:v>14250950</x:v>
      </x:c>
      <x:c r="P9" s="16" t="n">
        <x:v>14387750</x:v>
      </x:c>
      <x:c r="Q9" s="16" t="n">
        <x:f>SUM(E9:P9)</x:f>
        <x:v>158484700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17436300</x:v>
      </x:c>
      <x:c r="F10" s="16" t="n">
        <x:v>15676900</x:v>
      </x:c>
      <x:c r="G10" s="16" t="n">
        <x:v>14688900</x:v>
      </x:c>
      <x:c r="H10" s="16" t="n">
        <x:v>16870100</x:v>
      </x:c>
      <x:c r="I10" s="16" t="n">
        <x:v>16249750</x:v>
      </x:c>
      <x:c r="J10" s="16" t="n">
        <x:v>16394150</x:v>
      </x:c>
      <x:c r="K10" s="16" t="n">
        <x:v>16201300</x:v>
      </x:c>
      <x:c r="L10" s="16" t="n">
        <x:v>15962850</x:v>
      </x:c>
      <x:c r="M10" s="16" t="n">
        <x:v>14752550</x:v>
      </x:c>
      <x:c r="N10" s="16" t="n">
        <x:v>16980300</x:v>
      </x:c>
      <x:c r="O10" s="16" t="n">
        <x:v>16345700</x:v>
      </x:c>
      <x:c r="P10" s="16" t="n">
        <x:v>16537600</x:v>
      </x:c>
      <x:c r="Q10" s="16" t="n">
        <x:f>SUM(E10:P10)</x:f>
        <x:v>194096400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34922950</x:v>
      </x:c>
      <x:c r="F11" s="16" t="n">
        <x:v>36634850</x:v>
      </x:c>
      <x:c r="G11" s="16" t="n">
        <x:v>37783400</x:v>
      </x:c>
      <x:c r="H11" s="16" t="n">
        <x:v>39395550</x:v>
      </x:c>
      <x:c r="I11" s="16" t="n">
        <x:v>35612650</x:v>
      </x:c>
      <x:c r="J11" s="16" t="n">
        <x:v>41985250</x:v>
      </x:c>
      <x:c r="K11" s="16" t="n">
        <x:v>35991700</x:v>
      </x:c>
      <x:c r="L11" s="16" t="n">
        <x:v>37187750</x:v>
      </x:c>
      <x:c r="M11" s="16" t="n">
        <x:v>42791800</x:v>
      </x:c>
      <x:c r="N11" s="16" t="n">
        <x:v>38787550</x:v>
      </x:c>
      <x:c r="O11" s="16" t="n">
        <x:v>34770000</x:v>
      </x:c>
      <x:c r="P11" s="16" t="n">
        <x:v>37826150</x:v>
      </x:c>
      <x:c r="Q11" s="16" t="n">
        <x:f>SUM(E11:P11)</x:f>
        <x:v>453689600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20389850</x:v>
      </x:c>
      <x:c r="F12" s="16" t="n">
        <x:v>19849300</x:v>
      </x:c>
      <x:c r="G12" s="16" t="n">
        <x:v>23506800</x:v>
      </x:c>
      <x:c r="H12" s="16" t="n">
        <x:v>22995700</x:v>
      </x:c>
      <x:c r="I12" s="16" t="n">
        <x:v>23918150</x:v>
      </x:c>
      <x:c r="J12" s="16" t="n">
        <x:v>24753200</x:v>
      </x:c>
      <x:c r="K12" s="16" t="n">
        <x:v>23214200</x:v>
      </x:c>
      <x:c r="L12" s="16" t="n">
        <x:v>22012450</x:v>
      </x:c>
      <x:c r="M12" s="16" t="n">
        <x:v>23332000</x:v>
      </x:c>
      <x:c r="N12" s="16" t="n">
        <x:v>22333550</x:v>
      </x:c>
      <x:c r="O12" s="16" t="n">
        <x:v>22440900</x:v>
      </x:c>
      <x:c r="P12" s="16" t="n">
        <x:v>24413100</x:v>
      </x:c>
      <x:c r="Q12" s="16" t="n">
        <x:f>SUM(E12:P12)</x:f>
        <x:v>273159200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27781800</x:v>
      </x:c>
      <x:c r="F13" s="16" t="n">
        <x:v>25652850</x:v>
      </x:c>
      <x:c r="G13" s="16" t="n">
        <x:v>24094850</x:v>
      </x:c>
      <x:c r="H13" s="16" t="n">
        <x:v>24390300</x:v>
      </x:c>
      <x:c r="I13" s="16" t="n">
        <x:v>29785350</x:v>
      </x:c>
      <x:c r="J13" s="16" t="n">
        <x:v>28526600</x:v>
      </x:c>
      <x:c r="K13" s="16" t="n">
        <x:v>24306700</x:v>
      </x:c>
      <x:c r="L13" s="16" t="n">
        <x:v>30082700</x:v>
      </x:c>
      <x:c r="M13" s="16" t="n">
        <x:v>29878450</x:v>
      </x:c>
      <x:c r="N13" s="16" t="n">
        <x:v>24509050</x:v>
      </x:c>
      <x:c r="O13" s="16" t="n">
        <x:v>25808650</x:v>
      </x:c>
      <x:c r="P13" s="16" t="n">
        <x:v>30208100</x:v>
      </x:c>
      <x:c r="Q13" s="16" t="n">
        <x:f>SUM(E13:P13)</x:f>
        <x:v>325025400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11100750</x:v>
      </x:c>
      <x:c r="F14" s="16" t="n">
        <x:v>9916100</x:v>
      </x:c>
      <x:c r="G14" s="16" t="n">
        <x:v>10770150</x:v>
      </x:c>
      <x:c r="H14" s="16" t="n">
        <x:v>12032700</x:v>
      </x:c>
      <x:c r="I14" s="16" t="n">
        <x:v>11794250</x:v>
      </x:c>
      <x:c r="J14" s="16" t="n">
        <x:v>10170700</x:v>
      </x:c>
      <x:c r="K14" s="16" t="n">
        <x:v>10488000</x:v>
      </x:c>
      <x:c r="L14" s="16" t="n">
        <x:v>10914550</x:v>
      </x:c>
      <x:c r="M14" s="16" t="n">
        <x:v>12365200</x:v>
      </x:c>
      <x:c r="N14" s="16" t="n">
        <x:v>10939250</x:v>
      </x:c>
      <x:c r="O14" s="16" t="n">
        <x:v>11305950</x:v>
      </x:c>
      <x:c r="P14" s="16" t="n">
        <x:v>12540000</x:v>
      </x:c>
      <x:c r="Q14" s="16" t="n">
        <x:f>SUM(E14:P14)</x:f>
        <x:v>134337600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14859900</x:v>
      </x:c>
      <x:c r="F15" s="16" t="n">
        <x:v>15377650</x:v>
      </x:c>
      <x:c r="G15" s="16" t="n">
        <x:v>14083750</x:v>
      </x:c>
      <x:c r="H15" s="16" t="n">
        <x:v>15555300</x:v>
      </x:c>
      <x:c r="I15" s="16" t="n">
        <x:v>14947300</x:v>
      </x:c>
      <x:c r="J15" s="16" t="n">
        <x:v>15544850</x:v>
      </x:c>
      <x:c r="K15" s="16" t="n">
        <x:v>15340600</x:v>
      </x:c>
      <x:c r="L15" s="16" t="n">
        <x:v>14252850</x:v>
      </x:c>
      <x:c r="M15" s="16" t="n">
        <x:v>15452700</x:v>
      </x:c>
      <x:c r="N15" s="16" t="n">
        <x:v>14270900</x:v>
      </x:c>
      <x:c r="O15" s="16" t="n">
        <x:v>14357350</x:v>
      </x:c>
      <x:c r="P15" s="16" t="n">
        <x:v>14107500</x:v>
      </x:c>
      <x:c r="Q15" s="16" t="n">
        <x:f>SUM(E15:P15)</x:f>
        <x:v>178150650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3160.98</x:v>
      </x:c>
      <x:c r="B5" s="47"/>
      <x:c r="C5" s="47"/>
      <x:c r="D5" s="94" t="n">
        <x:f>SUMIF($E$10:$E$54,"Chiffre d'affaires MGA",$S$10:$S$54)</x:f>
        <x:v>19024357328</x:v>
      </x:c>
      <x:c r="E5" s="47"/>
      <x:c r="F5" s="47"/>
      <x:c r="G5" s="94" t="n">
        <x:f>SUMIFS($S$10:$S$54,$A$10:$A$54,"Japon",$E$10:$E$54,"Chiffre d'affaires MGA")</x:f>
        <x:v>5885836491</x:v>
      </x:c>
      <x:c r="H5" s="48"/>
      <x:c r="I5" s="48"/>
      <x:c r="J5" s="94" t="n">
        <x:f>SUMIFS($S$10:$S$54,$A$10:$A$54,"Russie",$E$10:$E$54,"Chiffre d'affaires MGA")</x:f>
        <x:v>6497377284</x:v>
      </x:c>
      <x:c r="K5" s="48"/>
      <x:c r="L5" s="48"/>
      <x:c r="M5" s="94" t="n">
        <x:f>SUMIFS($S$10:$S$54,$A$10:$A$54,"Chine",$E$10:$E$54,"Chiffre d'affaires MGA")</x:f>
        <x:v>6641143553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22.41</x:v>
      </x:c>
      <x:c r="H10" s="111" t="n">
        <x:v>28.3</x:v>
      </x:c>
      <x:c r="I10" s="111" t="n">
        <x:v>24.78</x:v>
      </x:c>
      <x:c r="J10" s="111" t="n">
        <x:v>21.55</x:v>
      </x:c>
      <x:c r="K10" s="111" t="n">
        <x:v>18.77</x:v>
      </x:c>
      <x:c r="L10" s="111" t="n">
        <x:v>25.31</x:v>
      </x:c>
      <x:c r="M10" s="111" t="n">
        <x:v>22.15</x:v>
      </x:c>
      <x:c r="N10" s="111" t="n">
        <x:v>24.34</x:v>
      </x:c>
      <x:c r="O10" s="111" t="n">
        <x:v>21.74</x:v>
      </x:c>
      <x:c r="P10" s="111" t="n">
        <x:v>18.72</x:v>
      </x:c>
      <x:c r="Q10" s="111" t="n">
        <x:v>16.84</x:v>
      </x:c>
      <x:c r="R10" s="111" t="n">
        <x:v>23.34</x:v>
      </x:c>
      <x:c r="S10" s="111" t="n">
        <x:v>268.25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4249496.25</x:v>
      </x:c>
      <x:c r="H11" s="112" t="n">
        <x:v>5366387.5</x:v>
      </x:c>
      <x:c r="I11" s="112" t="n">
        <x:v>4698907.5</x:v>
      </x:c>
      <x:c r="J11" s="112" t="n">
        <x:v>4086418.75</x:v>
      </x:c>
      <x:c r="K11" s="112" t="n">
        <x:v>3559261.25</x:v>
      </x:c>
      <x:c r="L11" s="112" t="n">
        <x:v>4799408.75</x:v>
      </x:c>
      <x:c r="M11" s="112" t="n">
        <x:v>4200193.75</x:v>
      </x:c>
      <x:c r="N11" s="112" t="n">
        <x:v>4615472.5</x:v>
      </x:c>
      <x:c r="O11" s="112" t="n">
        <x:v>4122447.5</x:v>
      </x:c>
      <x:c r="P11" s="112" t="n">
        <x:v>3549780</x:v>
      </x:c>
      <x:c r="Q11" s="112" t="n">
        <x:v>3193285</x:v>
      </x:c>
      <x:c r="R11" s="112" t="n">
        <x:v>4425847.5</x:v>
      </x:c>
      <x:c r="S11" s="112" t="n">
        <x:v>50866906.25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v>132584283</x:v>
      </x:c>
      <x:c r="H12" s="113" t="n">
        <x:v>167431290</x:v>
      </x:c>
      <x:c r="I12" s="113" t="n">
        <x:v>146605914</x:v>
      </x:c>
      <x:c r="J12" s="113" t="n">
        <x:v>127496265</x:v>
      </x:c>
      <x:c r="K12" s="113" t="n">
        <x:v>111048951</x:v>
      </x:c>
      <x:c r="L12" s="113" t="n">
        <x:v>149741553</x:v>
      </x:c>
      <x:c r="M12" s="113" t="n">
        <x:v>131046045</x:v>
      </x:c>
      <x:c r="N12" s="113" t="n">
        <x:v>144002742</x:v>
      </x:c>
      <x:c r="O12" s="113" t="n">
        <x:v>128620362</x:v>
      </x:c>
      <x:c r="P12" s="113" t="n">
        <x:v>110753136</x:v>
      </x:c>
      <x:c r="Q12" s="113" t="n">
        <x:v>99630492</x:v>
      </x:c>
      <x:c r="R12" s="113" t="n">
        <x:v>138086442</x:v>
      </x:c>
      <x:c r="S12" s="113" t="n">
        <x:v>1587047475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13.27</x:v>
      </x:c>
      <x:c r="H13" s="112" t="n">
        <x:v>15.75</x:v>
      </x:c>
      <x:c r="I13" s="112" t="n">
        <x:v>14.4</x:v>
      </x:c>
      <x:c r="J13" s="112" t="n">
        <x:v>18.43</x:v>
      </x:c>
      <x:c r="K13" s="112" t="n">
        <x:v>19.53</x:v>
      </x:c>
      <x:c r="L13" s="112" t="n">
        <x:v>21.47</x:v>
      </x:c>
      <x:c r="M13" s="112" t="n">
        <x:v>17.97</x:v>
      </x:c>
      <x:c r="N13" s="112" t="n">
        <x:v>15.96</x:v>
      </x:c>
      <x:c r="O13" s="112" t="n">
        <x:v>20.4</x:v>
      </x:c>
      <x:c r="P13" s="112" t="n">
        <x:v>15.48</x:v>
      </x:c>
      <x:c r="Q13" s="112" t="n">
        <x:v>15.39</x:v>
      </x:c>
      <x:c r="R13" s="112" t="n">
        <x:v>22.27</x:v>
      </x:c>
      <x:c r="S13" s="112" t="n">
        <x:v>210.32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2325899.25</x:v>
      </x:c>
      <x:c r="H14" s="112" t="n">
        <x:v>2760581.25</x:v>
      </x:c>
      <x:c r="I14" s="112" t="n">
        <x:v>2523960</x:v>
      </x:c>
      <x:c r="J14" s="112" t="n">
        <x:v>3230318.25</x:v>
      </x:c>
      <x:c r="K14" s="112" t="n">
        <x:v>3423120.75</x:v>
      </x:c>
      <x:c r="L14" s="112" t="n">
        <x:v>3763154.25</x:v>
      </x:c>
      <x:c r="M14" s="112" t="n">
        <x:v>3149691.75</x:v>
      </x:c>
      <x:c r="N14" s="112" t="n">
        <x:v>2797389</x:v>
      </x:c>
      <x:c r="O14" s="112" t="n">
        <x:v>3575610</x:v>
      </x:c>
      <x:c r="P14" s="112" t="n">
        <x:v>2713257</x:v>
      </x:c>
      <x:c r="Q14" s="112" t="n">
        <x:v>2697482.25</x:v>
      </x:c>
      <x:c r="R14" s="112" t="n">
        <x:v>3903374.25</x:v>
      </x:c>
      <x:c r="S14" s="112" t="n">
        <x:v>36863838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v>72568057</x:v>
      </x:c>
      <x:c r="H15" s="113" t="n">
        <x:v>86130135</x:v>
      </x:c>
      <x:c r="I15" s="113" t="n">
        <x:v>78747552</x:v>
      </x:c>
      <x:c r="J15" s="113" t="n">
        <x:v>100785929</x:v>
      </x:c>
      <x:c r="K15" s="113" t="n">
        <x:v>106801367</x:v>
      </x:c>
      <x:c r="L15" s="113" t="n">
        <x:v>117410413</x:v>
      </x:c>
      <x:c r="M15" s="113" t="n">
        <x:v>98270383</x:v>
      </x:c>
      <x:c r="N15" s="113" t="n">
        <x:v>87278537</x:v>
      </x:c>
      <x:c r="O15" s="113" t="n">
        <x:v>111559032</x:v>
      </x:c>
      <x:c r="P15" s="113" t="n">
        <x:v>84653618</x:v>
      </x:c>
      <x:c r="Q15" s="113" t="n">
        <x:v>84161446</x:v>
      </x:c>
      <x:c r="R15" s="113" t="n">
        <x:v>121785277</x:v>
      </x:c>
      <x:c r="S15" s="113" t="n">
        <x:v>1150151746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12.09</x:v>
      </x:c>
      <x:c r="H16" s="112" t="n">
        <x:v>13.7</x:v>
      </x:c>
      <x:c r="I16" s="112" t="n">
        <x:v>16.46</x:v>
      </x:c>
      <x:c r="J16" s="112" t="n">
        <x:v>16.65</x:v>
      </x:c>
      <x:c r="K16" s="112" t="n">
        <x:v>14.16</x:v>
      </x:c>
      <x:c r="L16" s="112" t="n">
        <x:v>13.79</x:v>
      </x:c>
      <x:c r="M16" s="112" t="n">
        <x:v>19.3</x:v>
      </x:c>
      <x:c r="N16" s="112" t="n">
        <x:v>12.74</x:v>
      </x:c>
      <x:c r="O16" s="112" t="n">
        <x:v>13.86</x:v>
      </x:c>
      <x:c r="P16" s="112" t="n">
        <x:v>15.49</x:v>
      </x:c>
      <x:c r="Q16" s="112" t="n">
        <x:v>17.11</x:v>
      </x:c>
      <x:c r="R16" s="112" t="n">
        <x:v>14.13</x:v>
      </x:c>
      <x:c r="S16" s="112" t="n">
        <x:v>179.48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2044721.25</x:v>
      </x:c>
      <x:c r="H17" s="112" t="n">
        <x:v>2317012.5</x:v>
      </x:c>
      <x:c r="I17" s="112" t="n">
        <x:v>2783797.5</x:v>
      </x:c>
      <x:c r="J17" s="112" t="n">
        <x:v>2815931.25</x:v>
      </x:c>
      <x:c r="K17" s="112" t="n">
        <x:v>2394810</x:v>
      </x:c>
      <x:c r="L17" s="112" t="n">
        <x:v>2332233.75</x:v>
      </x:c>
      <x:c r="M17" s="112" t="n">
        <x:v>3264112.5</x:v>
      </x:c>
      <x:c r="N17" s="112" t="n">
        <x:v>2154652.5</x:v>
      </x:c>
      <x:c r="O17" s="112" t="n">
        <x:v>2344072.5</x:v>
      </x:c>
      <x:c r="P17" s="112" t="n">
        <x:v>2619746.25</x:v>
      </x:c>
      <x:c r="Q17" s="112" t="n">
        <x:v>2893728.75</x:v>
      </x:c>
      <x:c r="R17" s="112" t="n">
        <x:v>2389736.25</x:v>
      </x:c>
      <x:c r="S17" s="112" t="n">
        <x:v>30354555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v>63795303</x:v>
      </x:c>
      <x:c r="H18" s="113" t="n">
        <x:v>72290790</x:v>
      </x:c>
      <x:c r="I18" s="113" t="n">
        <x:v>86854482</x:v>
      </x:c>
      <x:c r="J18" s="113" t="n">
        <x:v>87857055</x:v>
      </x:c>
      <x:c r="K18" s="113" t="n">
        <x:v>74718072</x:v>
      </x:c>
      <x:c r="L18" s="113" t="n">
        <x:v>72765693</x:v>
      </x:c>
      <x:c r="M18" s="113" t="n">
        <x:v>101840310</x:v>
      </x:c>
      <x:c r="N18" s="113" t="n">
        <x:v>67225158</x:v>
      </x:c>
      <x:c r="O18" s="113" t="n">
        <x:v>73135062</x:v>
      </x:c>
      <x:c r="P18" s="113" t="n">
        <x:v>81736083</x:v>
      </x:c>
      <x:c r="Q18" s="113" t="n">
        <x:v>90284337</x:v>
      </x:c>
      <x:c r="R18" s="113" t="n">
        <x:v>74559771</x:v>
      </x:c>
      <x:c r="S18" s="113" t="n">
        <x:v>947062116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22.11</x:v>
      </x:c>
      <x:c r="H19" s="112" t="n">
        <x:v>25.16</x:v>
      </x:c>
      <x:c r="I19" s="112" t="n">
        <x:v>15.73</x:v>
      </x:c>
      <x:c r="J19" s="112" t="n">
        <x:v>24.26</x:v>
      </x:c>
      <x:c r="K19" s="112" t="n">
        <x:v>16.84</x:v>
      </x:c>
      <x:c r="L19" s="112" t="n">
        <x:v>24.37</x:v>
      </x:c>
      <x:c r="M19" s="112" t="n">
        <x:v>16.42</x:v>
      </x:c>
      <x:c r="N19" s="112" t="n">
        <x:v>23.72</x:v>
      </x:c>
      <x:c r="O19" s="112" t="n">
        <x:v>25.45</x:v>
      </x:c>
      <x:c r="P19" s="112" t="n">
        <x:v>25.9</x:v>
      </x:c>
      <x:c r="Q19" s="112" t="n">
        <x:v>26.21</x:v>
      </x:c>
      <x:c r="R19" s="112" t="n">
        <x:v>19.78</x:v>
      </x:c>
      <x:c r="S19" s="112" t="n">
        <x:v>265.95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4033969.5</x:v>
      </x:c>
      <x:c r="H20" s="112" t="n">
        <x:v>4590442</x:v>
      </x:c>
      <x:c r="I20" s="112" t="n">
        <x:v>2869938.5</x:v>
      </x:c>
      <x:c r="J20" s="112" t="n">
        <x:v>4426237</x:v>
      </x:c>
      <x:c r="K20" s="112" t="n">
        <x:v>3072458</x:v>
      </x:c>
      <x:c r="L20" s="112" t="n">
        <x:v>4446306.5</x:v>
      </x:c>
      <x:c r="M20" s="112" t="n">
        <x:v>2995829</x:v>
      </x:c>
      <x:c r="N20" s="112" t="n">
        <x:v>4327714</x:v>
      </x:c>
      <x:c r="O20" s="112" t="n">
        <x:v>4643352.5</x:v>
      </x:c>
      <x:c r="P20" s="112" t="n">
        <x:v>4725455</x:v>
      </x:c>
      <x:c r="Q20" s="112" t="n">
        <x:v>4782014.5</x:v>
      </x:c>
      <x:c r="R20" s="112" t="n">
        <x:v>3608861</x:v>
      </x:c>
      <x:c r="S20" s="112" t="n">
        <x:v>48522577.5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v>125859848</x:v>
      </x:c>
      <x:c r="H21" s="113" t="n">
        <x:v>143221790</x:v>
      </x:c>
      <x:c r="I21" s="113" t="n">
        <x:v>89542081</x:v>
      </x:c>
      <x:c r="J21" s="113" t="n">
        <x:v>138098594</x:v>
      </x:c>
      <x:c r="K21" s="113" t="n">
        <x:v>95860690</x:v>
      </x:c>
      <x:c r="L21" s="113" t="n">
        <x:v>138724763</x:v>
      </x:c>
      <x:c r="M21" s="113" t="n">
        <x:v>93469865</x:v>
      </x:c>
      <x:c r="N21" s="113" t="n">
        <x:v>135024677</x:v>
      </x:c>
      <x:c r="O21" s="113" t="n">
        <x:v>144872598</x:v>
      </x:c>
      <x:c r="P21" s="113" t="n">
        <x:v>147434196</x:v>
      </x:c>
      <x:c r="Q21" s="113" t="n">
        <x:v>149198852</x:v>
      </x:c>
      <x:c r="R21" s="113" t="n">
        <x:v>112596463</x:v>
      </x:c>
      <x:c r="S21" s="113" t="n">
        <x:v>1513904417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10.39</x:v>
      </x:c>
      <x:c r="H22" s="112" t="n">
        <x:v>15</x:v>
      </x:c>
      <x:c r="I22" s="112" t="n">
        <x:v>14.81</x:v>
      </x:c>
      <x:c r="J22" s="112" t="n">
        <x:v>9.93</x:v>
      </x:c>
      <x:c r="K22" s="112" t="n">
        <x:v>9.78</x:v>
      </x:c>
      <x:c r="L22" s="112" t="n">
        <x:v>9.74</x:v>
      </x:c>
      <x:c r="M22" s="112" t="n">
        <x:v>11.15</x:v>
      </x:c>
      <x:c r="N22" s="112" t="n">
        <x:v>9.78</x:v>
      </x:c>
      <x:c r="O22" s="112" t="n">
        <x:v>12.8</x:v>
      </x:c>
      <x:c r="P22" s="112" t="n">
        <x:v>9.7</x:v>
      </x:c>
      <x:c r="Q22" s="112" t="n">
        <x:v>10.41</x:v>
      </x:c>
      <x:c r="R22" s="112" t="n">
        <x:v>15.24</x:v>
      </x:c>
      <x:c r="S22" s="112" t="n">
        <x:v>138.73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1650711.25</x:v>
      </x:c>
      <x:c r="H23" s="112" t="n">
        <x:v>2383125</x:v>
      </x:c>
      <x:c r="I23" s="112" t="n">
        <x:v>2352938.75</x:v>
      </x:c>
      <x:c r="J23" s="112" t="n">
        <x:v>1577628.75</x:v>
      </x:c>
      <x:c r="K23" s="112" t="n">
        <x:v>1553797.5</x:v>
      </x:c>
      <x:c r="L23" s="112" t="n">
        <x:v>1547442.5</x:v>
      </x:c>
      <x:c r="M23" s="112" t="n">
        <x:v>1771456.25</x:v>
      </x:c>
      <x:c r="N23" s="112" t="n">
        <x:v>1553797.5</x:v>
      </x:c>
      <x:c r="O23" s="112" t="n">
        <x:v>2033600</x:v>
      </x:c>
      <x:c r="P23" s="112" t="n">
        <x:v>1541087.5</x:v>
      </x:c>
      <x:c r="Q23" s="112" t="n">
        <x:v>1653888.75</x:v>
      </x:c>
      <x:c r="R23" s="112" t="n">
        <x:v>2421255</x:v>
      </x:c>
      <x:c r="S23" s="112" t="n">
        <x:v>22040728.75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v>51502191</x:v>
      </x:c>
      <x:c r="H24" s="113" t="n">
        <x:v>74353500</x:v>
      </x:c>
      <x:c r="I24" s="113" t="n">
        <x:v>73411689</x:v>
      </x:c>
      <x:c r="J24" s="113" t="n">
        <x:v>49222017</x:v>
      </x:c>
      <x:c r="K24" s="113" t="n">
        <x:v>48478482</x:v>
      </x:c>
      <x:c r="L24" s="113" t="n">
        <x:v>48280206</x:v>
      </x:c>
      <x:c r="M24" s="113" t="n">
        <x:v>55269435</x:v>
      </x:c>
      <x:c r="N24" s="113" t="n">
        <x:v>48478482</x:v>
      </x:c>
      <x:c r="O24" s="113" t="n">
        <x:v>63448320</x:v>
      </x:c>
      <x:c r="P24" s="113" t="n">
        <x:v>48081930</x:v>
      </x:c>
      <x:c r="Q24" s="113" t="n">
        <x:v>51601329</x:v>
      </x:c>
      <x:c r="R24" s="113" t="n">
        <x:v>75543156</x:v>
      </x:c>
      <x:c r="S24" s="113" t="n">
        <x:v>687670737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18.72</x:v>
      </x:c>
      <x:c r="H25" s="114" t="n">
        <x:v>21.9</x:v>
      </x:c>
      <x:c r="I25" s="114" t="n">
        <x:v>17.02</x:v>
      </x:c>
      <x:c r="J25" s="114" t="n">
        <x:v>19.51</x:v>
      </x:c>
      <x:c r="K25" s="114" t="n">
        <x:v>22.61</x:v>
      </x:c>
      <x:c r="L25" s="114" t="n">
        <x:v>20.86</x:v>
      </x:c>
      <x:c r="M25" s="114" t="n">
        <x:v>16.7</x:v>
      </x:c>
      <x:c r="N25" s="114" t="n">
        <x:v>21</x:v>
      </x:c>
      <x:c r="O25" s="114" t="n">
        <x:v>26.63</x:v>
      </x:c>
      <x:c r="P25" s="114" t="n">
        <x:v>19.13</x:v>
      </x:c>
      <x:c r="Q25" s="114" t="n">
        <x:v>21.95</x:v>
      </x:c>
      <x:c r="R25" s="114" t="n">
        <x:v>17.73</x:v>
      </x:c>
      <x:c r="S25" s="114" t="n">
        <x:v>243.76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27822.6</x:v>
      </x:c>
      <x:c r="H26" s="115" t="n">
        <x:v>32548.87</x:v>
      </x:c>
      <x:c r="I26" s="115" t="n">
        <x:v>25295.97</x:v>
      </x:c>
      <x:c r="J26" s="115" t="n">
        <x:v>28996.74</x:v>
      </x:c>
      <x:c r="K26" s="115" t="n">
        <x:v>33604.11</x:v>
      </x:c>
      <x:c r="L26" s="115" t="n">
        <x:v>31003.17</x:v>
      </x:c>
      <x:c r="M26" s="115" t="n">
        <x:v>24820.37</x:v>
      </x:c>
      <x:c r="N26" s="115" t="n">
        <x:v>31211.25</x:v>
      </x:c>
      <x:c r="O26" s="115" t="n">
        <x:v>39578.84</x:v>
      </x:c>
      <x:c r="P26" s="115" t="n">
        <x:v>28431.96</x:v>
      </x:c>
      <x:c r="Q26" s="115" t="n">
        <x:v>32623.19</x:v>
      </x:c>
      <x:c r="R26" s="115" t="n">
        <x:v>26351.21</x:v>
      </x:c>
      <x:c r="S26" s="115" t="n">
        <x:v>362288.27999999997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v>126871056</x:v>
      </x:c>
      <x:c r="H27" s="116" t="n">
        <x:v>148422847</x:v>
      </x:c>
      <x:c r="I27" s="116" t="n">
        <x:v>115349623</x:v>
      </x:c>
      <x:c r="J27" s="116" t="n">
        <x:v>132225134</x:v>
      </x:c>
      <x:c r="K27" s="116" t="n">
        <x:v>153234742</x:v>
      </x:c>
      <x:c r="L27" s="116" t="n">
        <x:v>141374455</x:v>
      </x:c>
      <x:c r="M27" s="116" t="n">
        <x:v>113180887</x:v>
      </x:c>
      <x:c r="N27" s="116" t="n">
        <x:v>142323300</x:v>
      </x:c>
      <x:c r="O27" s="116" t="n">
        <x:v>180479510</x:v>
      </x:c>
      <x:c r="P27" s="116" t="n">
        <x:v>129649738</x:v>
      </x:c>
      <x:c r="Q27" s="116" t="n">
        <x:v>148761746</x:v>
      </x:c>
      <x:c r="R27" s="116" t="n">
        <x:v>120161518</x:v>
      </x:c>
      <x:c r="S27" s="116" t="n">
        <x:v>1652034556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21.75</x:v>
      </x:c>
      <x:c r="H28" s="115" t="n">
        <x:v>13.94</x:v>
      </x:c>
      <x:c r="I28" s="115" t="n">
        <x:v>20.56</x:v>
      </x:c>
      <x:c r="J28" s="115" t="n">
        <x:v>19.93</x:v>
      </x:c>
      <x:c r="K28" s="115" t="n">
        <x:v>16.28</x:v>
      </x:c>
      <x:c r="L28" s="115" t="n">
        <x:v>16.99</x:v>
      </x:c>
      <x:c r="M28" s="115" t="n">
        <x:v>18.56</x:v>
      </x:c>
      <x:c r="N28" s="115" t="n">
        <x:v>15.39</x:v>
      </x:c>
      <x:c r="O28" s="115" t="n">
        <x:v>13.87</x:v>
      </x:c>
      <x:c r="P28" s="115" t="n">
        <x:v>21.09</x:v>
      </x:c>
      <x:c r="Q28" s="115" t="n">
        <x:v>18.53</x:v>
      </x:c>
      <x:c r="R28" s="115" t="n">
        <x:v>16.59</x:v>
      </x:c>
      <x:c r="S28" s="115" t="n">
        <x:v>213.48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29427.75</x:v>
      </x:c>
      <x:c r="H29" s="115" t="n">
        <x:v>18860.82</x:v>
      </x:c>
      <x:c r="I29" s="115" t="n">
        <x:v>27817.68</x:v>
      </x:c>
      <x:c r="J29" s="115" t="n">
        <x:v>26965.29</x:v>
      </x:c>
      <x:c r="K29" s="115" t="n">
        <x:v>22026.84</x:v>
      </x:c>
      <x:c r="L29" s="115" t="n">
        <x:v>22987.47</x:v>
      </x:c>
      <x:c r="M29" s="115" t="n">
        <x:v>25111.68</x:v>
      </x:c>
      <x:c r="N29" s="115" t="n">
        <x:v>20822.67</x:v>
      </x:c>
      <x:c r="O29" s="115" t="n">
        <x:v>18766.11</x:v>
      </x:c>
      <x:c r="P29" s="115" t="n">
        <x:v>28534.77</x:v>
      </x:c>
      <x:c r="Q29" s="115" t="n">
        <x:v>25071.09</x:v>
      </x:c>
      <x:c r="R29" s="115" t="n">
        <x:v>22446.27</x:v>
      </x:c>
      <x:c r="S29" s="115" t="n">
        <x:v>288838.44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v>134190540</x:v>
      </x:c>
      <x:c r="H30" s="116" t="n">
        <x:v>86005339</x:v>
      </x:c>
      <x:c r="I30" s="116" t="n">
        <x:v>126848621</x:v>
      </x:c>
      <x:c r="J30" s="116" t="n">
        <x:v>122961722</x:v>
      </x:c>
      <x:c r="K30" s="116" t="n">
        <x:v>100442390</x:v>
      </x:c>
      <x:c r="L30" s="116" t="n">
        <x:v>104822863</x:v>
      </x:c>
      <x:c r="M30" s="116" t="n">
        <x:v>114509261</x:v>
      </x:c>
      <x:c r="N30" s="116" t="n">
        <x:v>94951375</x:v>
      </x:c>
      <x:c r="O30" s="116" t="n">
        <x:v>85573462</x:v>
      </x:c>
      <x:c r="P30" s="116" t="n">
        <x:v>130118551</x:v>
      </x:c>
      <x:c r="Q30" s="116" t="n">
        <x:v>114324170</x:v>
      </x:c>
      <x:c r="R30" s="116" t="n">
        <x:v>102354991</x:v>
      </x:c>
      <x:c r="S30" s="116" t="n">
        <x:v>1317103285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13.52</x:v>
      </x:c>
      <x:c r="H31" s="115" t="n">
        <x:v>13.11</x:v>
      </x:c>
      <x:c r="I31" s="115" t="n">
        <x:v>11.66</x:v>
      </x:c>
      <x:c r="J31" s="115" t="n">
        <x:v>12.68</x:v>
      </x:c>
      <x:c r="K31" s="115" t="n">
        <x:v>17.3</x:v>
      </x:c>
      <x:c r="L31" s="115" t="n">
        <x:v>14.67</x:v>
      </x:c>
      <x:c r="M31" s="115" t="n">
        <x:v>17.18</x:v>
      </x:c>
      <x:c r="N31" s="115" t="n">
        <x:v>14.15</x:v>
      </x:c>
      <x:c r="O31" s="115" t="n">
        <x:v>16.43</x:v>
      </x:c>
      <x:c r="P31" s="115" t="n">
        <x:v>14.91</x:v>
      </x:c>
      <x:c r="Q31" s="115" t="n">
        <x:v>15.86</x:v>
      </x:c>
      <x:c r="R31" s="115" t="n">
        <x:v>18.4</x:v>
      </x:c>
      <x:c r="S31" s="115" t="n">
        <x:v>179.87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17599.66</x:v>
      </x:c>
      <x:c r="H32" s="115" t="n">
        <x:v>17065.94</x:v>
      </x:c>
      <x:c r="I32" s="115" t="n">
        <x:v>15178.41</x:v>
      </x:c>
      <x:c r="J32" s="115" t="n">
        <x:v>16506.19</x:v>
      </x:c>
      <x:c r="K32" s="115" t="n">
        <x:v>22520.28</x:v>
      </x:c>
      <x:c r="L32" s="115" t="n">
        <x:v>19096.67</x:v>
      </x:c>
      <x:c r="M32" s="115" t="n">
        <x:v>22364.06</x:v>
      </x:c>
      <x:c r="N32" s="115" t="n">
        <x:v>18419.76</x:v>
      </x:c>
      <x:c r="O32" s="115" t="n">
        <x:v>21387.75</x:v>
      </x:c>
      <x:c r="P32" s="115" t="n">
        <x:v>19409.09</x:v>
      </x:c>
      <x:c r="Q32" s="115" t="n">
        <x:v>20645.76</x:v>
      </x:c>
      <x:c r="R32" s="115" t="n">
        <x:v>23952.2</x:v>
      </x:c>
      <x:c r="S32" s="115" t="n">
        <x:v>234145.77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v>80254450</x:v>
      </x:c>
      <x:c r="H33" s="116" t="n">
        <x:v>77820686</x:v>
      </x:c>
      <x:c r="I33" s="116" t="n">
        <x:v>69213550</x:v>
      </x:c>
      <x:c r="J33" s="116" t="n">
        <x:v>75268226</x:v>
      </x:c>
      <x:c r="K33" s="116" t="n">
        <x:v>102692477</x:v>
      </x:c>
      <x:c r="L33" s="116" t="n">
        <x:v>87080815</x:v>
      </x:c>
      <x:c r="M33" s="116" t="n">
        <x:v>101980114</x:v>
      </x:c>
      <x:c r="N33" s="116" t="n">
        <x:v>83994106</x:v>
      </x:c>
      <x:c r="O33" s="116" t="n">
        <x:v>97528140</x:v>
      </x:c>
      <x:c r="P33" s="116" t="n">
        <x:v>88505450</x:v>
      </x:c>
      <x:c r="Q33" s="116" t="n">
        <x:v>94144666</x:v>
      </x:c>
      <x:c r="R33" s="116" t="n">
        <x:v>109222032</x:v>
      </x:c>
      <x:c r="S33" s="116" t="n">
        <x:v>1067704712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15.1</x:v>
      </x:c>
      <x:c r="H34" s="115" t="n">
        <x:v>20.65</x:v>
      </x:c>
      <x:c r="I34" s="115" t="n">
        <x:v>15.32</x:v>
      </x:c>
      <x:c r="J34" s="115" t="n">
        <x:v>21.31</x:v>
      </x:c>
      <x:c r="K34" s="115" t="n">
        <x:v>26.16</x:v>
      </x:c>
      <x:c r="L34" s="115" t="n">
        <x:v>15.64</x:v>
      </x:c>
      <x:c r="M34" s="115" t="n">
        <x:v>16.34</x:v>
      </x:c>
      <x:c r="N34" s="115" t="n">
        <x:v>16.99</x:v>
      </x:c>
      <x:c r="O34" s="115" t="n">
        <x:v>23.81</x:v>
      </x:c>
      <x:c r="P34" s="115" t="n">
        <x:v>26.48</x:v>
      </x:c>
      <x:c r="Q34" s="115" t="n">
        <x:v>25.7</x:v>
      </x:c>
      <x:c r="R34" s="115" t="n">
        <x:v>25.24</x:v>
      </x:c>
      <x:c r="S34" s="115" t="n">
        <x:v>248.73999999999998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21513.72</x:v>
      </x:c>
      <x:c r="H35" s="115" t="n">
        <x:v>29421.09</x:v>
      </x:c>
      <x:c r="I35" s="115" t="n">
        <x:v>21827.17</x:v>
      </x:c>
      <x:c r="J35" s="115" t="n">
        <x:v>30361.42</x:v>
      </x:c>
      <x:c r="K35" s="115" t="n">
        <x:v>37271.46</x:v>
      </x:c>
      <x:c r="L35" s="115" t="n">
        <x:v>22283.09</x:v>
      </x:c>
      <x:c r="M35" s="115" t="n">
        <x:v>23280.41</x:v>
      </x:c>
      <x:c r="N35" s="115" t="n">
        <x:v>24206.5</x:v>
      </x:c>
      <x:c r="O35" s="115" t="n">
        <x:v>33923.3</x:v>
      </x:c>
      <x:c r="P35" s="115" t="n">
        <x:v>37727.38</x:v>
      </x:c>
      <x:c r="Q35" s="115" t="n">
        <x:v>36616.07</x:v>
      </x:c>
      <x:c r="R35" s="115" t="n">
        <x:v>35960.69</x:v>
      </x:c>
      <x:c r="S35" s="115" t="n">
        <x:v>354392.3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v>98102563</x:v>
      </x:c>
      <x:c r="H36" s="116" t="n">
        <x:v>134160170</x:v>
      </x:c>
      <x:c r="I36" s="116" t="n">
        <x:v>99531895</x:v>
      </x:c>
      <x:c r="J36" s="116" t="n">
        <x:v>138448075</x:v>
      </x:c>
      <x:c r="K36" s="116" t="n">
        <x:v>169957858</x:v>
      </x:c>
      <x:c r="L36" s="116" t="n">
        <x:v>101610890</x:v>
      </x:c>
      <x:c r="M36" s="116" t="n">
        <x:v>106158670</x:v>
      </x:c>
      <x:c r="N36" s="116" t="n">
        <x:v>110381640</x:v>
      </x:c>
      <x:c r="O36" s="116" t="n">
        <x:v>154690248</x:v>
      </x:c>
      <x:c r="P36" s="116" t="n">
        <x:v>172036853</x:v>
      </x:c>
      <x:c r="Q36" s="116" t="n">
        <x:v>166969279</x:v>
      </x:c>
      <x:c r="R36" s="116" t="n">
        <x:v>163980746</x:v>
      </x:c>
      <x:c r="S36" s="116" t="n">
        <x:v>1616028887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11.55</x:v>
      </x:c>
      <x:c r="H37" s="115" t="n">
        <x:v>14.98</x:v>
      </x:c>
      <x:c r="I37" s="115" t="n">
        <x:v>15.59</x:v>
      </x:c>
      <x:c r="J37" s="115" t="n">
        <x:v>9.82</x:v>
      </x:c>
      <x:c r="K37" s="115" t="n">
        <x:v>10.63</x:v>
      </x:c>
      <x:c r="L37" s="115" t="n">
        <x:v>11.38</x:v>
      </x:c>
      <x:c r="M37" s="115" t="n">
        <x:v>9.51</x:v>
      </x:c>
      <x:c r="N37" s="115" t="n">
        <x:v>14.9</x:v>
      </x:c>
      <x:c r="O37" s="115" t="n">
        <x:v>14.16</x:v>
      </x:c>
      <x:c r="P37" s="115" t="n">
        <x:v>11.97</x:v>
      </x:c>
      <x:c r="Q37" s="115" t="n">
        <x:v>14.24</x:v>
      </x:c>
      <x:c r="R37" s="115" t="n">
        <x:v>14.39</x:v>
      </x:c>
      <x:c r="S37" s="115" t="n">
        <x:v>153.12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13969.73</x:v>
      </x:c>
      <x:c r="H38" s="115" t="n">
        <x:v>18118.31</x:v>
      </x:c>
      <x:c r="I38" s="115" t="n">
        <x:v>18856.1</x:v>
      </x:c>
      <x:c r="J38" s="115" t="n">
        <x:v>11877.29</x:v>
      </x:c>
      <x:c r="K38" s="115" t="n">
        <x:v>12856.99</x:v>
      </x:c>
      <x:c r="L38" s="115" t="n">
        <x:v>13764.11</x:v>
      </x:c>
      <x:c r="M38" s="115" t="n">
        <x:v>11502.34</x:v>
      </x:c>
      <x:c r="N38" s="115" t="n">
        <x:v>18021.55</x:v>
      </x:c>
      <x:c r="O38" s="115" t="n">
        <x:v>17126.52</x:v>
      </x:c>
      <x:c r="P38" s="115" t="n">
        <x:v>14477.72</x:v>
      </x:c>
      <x:c r="Q38" s="115" t="n">
        <x:v>17223.28</x:v>
      </x:c>
      <x:c r="R38" s="115" t="n">
        <x:v>17404.71</x:v>
      </x:c>
      <x:c r="S38" s="115" t="n">
        <x:v>185198.65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v>63701969</x:v>
      </x:c>
      <x:c r="H39" s="116" t="n">
        <x:v>82619494</x:v>
      </x:c>
      <x:c r="I39" s="116" t="n">
        <x:v>85983816</x:v>
      </x:c>
      <x:c r="J39" s="116" t="n">
        <x:v>54160442</x:v>
      </x:c>
      <x:c r="K39" s="116" t="n">
        <x:v>58627874</x:v>
      </x:c>
      <x:c r="L39" s="116" t="n">
        <x:v>62764342</x:v>
      </x:c>
      <x:c r="M39" s="116" t="n">
        <x:v>52450670</x:v>
      </x:c>
      <x:c r="N39" s="116" t="n">
        <x:v>82178268</x:v>
      </x:c>
      <x:c r="O39" s="116" t="n">
        <x:v>78096931</x:v>
      </x:c>
      <x:c r="P39" s="116" t="n">
        <x:v>66018403</x:v>
      </x:c>
      <x:c r="Q39" s="116" t="n">
        <x:v>78538157</x:v>
      </x:c>
      <x:c r="R39" s="116" t="n">
        <x:v>79365478</x:v>
      </x:c>
      <x:c r="S39" s="116" t="n">
        <x:v>844505844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26.9</x:v>
      </x:c>
      <x:c r="H40" s="117" t="n">
        <x:v>16.43</x:v>
      </x:c>
      <x:c r="I40" s="117" t="n">
        <x:v>17.52</x:v>
      </x:c>
      <x:c r="J40" s="117" t="n">
        <x:v>23.77</x:v>
      </x:c>
      <x:c r="K40" s="117" t="n">
        <x:v>17.88</x:v>
      </x:c>
      <x:c r="L40" s="117" t="n">
        <x:v>26.92</x:v>
      </x:c>
      <x:c r="M40" s="117" t="n">
        <x:v>27.03</x:v>
      </x:c>
      <x:c r="N40" s="117" t="n">
        <x:v>21.05</x:v>
      </x:c>
      <x:c r="O40" s="117" t="n">
        <x:v>21.77</x:v>
      </x:c>
      <x:c r="P40" s="117" t="n">
        <x:v>25.49</x:v>
      </x:c>
      <x:c r="Q40" s="117" t="n">
        <x:v>27.44</x:v>
      </x:c>
      <x:c r="R40" s="117" t="n">
        <x:v>16.4</x:v>
      </x:c>
      <x:c r="S40" s="117" t="n">
        <x:v>268.6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39980.12</x:v>
      </x:c>
      <x:c r="H41" s="118" t="n">
        <x:v>24419.09</x:v>
      </x:c>
      <x:c r="I41" s="118" t="n">
        <x:v>26039.1</x:v>
      </x:c>
      <x:c r="J41" s="118" t="n">
        <x:v>35328.16</x:v>
      </x:c>
      <x:c r="K41" s="118" t="n">
        <x:v>26574.15</x:v>
      </x:c>
      <x:c r="L41" s="118" t="n">
        <x:v>40009.85</x:v>
      </x:c>
      <x:c r="M41" s="118" t="n">
        <x:v>40173.34</x:v>
      </x:c>
      <x:c r="N41" s="118" t="n">
        <x:v>31285.56</x:v>
      </x:c>
      <x:c r="O41" s="118" t="n">
        <x:v>32355.66</x:v>
      </x:c>
      <x:c r="P41" s="118" t="n">
        <x:v>37884.51</x:v>
      </x:c>
      <x:c r="Q41" s="118" t="n">
        <x:v>40782.7</x:v>
      </x:c>
      <x:c r="R41" s="118" t="n">
        <x:v>24374.5</x:v>
      </x:c>
      <x:c r="S41" s="118" t="n">
        <x:v>399206.74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v>182309347</x:v>
      </x:c>
      <x:c r="H42" s="119" t="n">
        <x:v>111351050</x:v>
      </x:c>
      <x:c r="I42" s="119" t="n">
        <x:v>118738296</x:v>
      </x:c>
      <x:c r="J42" s="119" t="n">
        <x:v>161096410</x:v>
      </x:c>
      <x:c r="K42" s="119" t="n">
        <x:v>121178124</x:v>
      </x:c>
      <x:c r="L42" s="119" t="n">
        <x:v>182444916</x:v>
      </x:c>
      <x:c r="M42" s="119" t="n">
        <x:v>183190430</x:v>
      </x:c>
      <x:c r="N42" s="119" t="n">
        <x:v>142662154</x:v>
      </x:c>
      <x:c r="O42" s="119" t="n">
        <x:v>147541810</x:v>
      </x:c>
      <x:c r="P42" s="119" t="n">
        <x:v>172753366</x:v>
      </x:c>
      <x:c r="Q42" s="119" t="n">
        <x:v>185969112</x:v>
      </x:c>
      <x:c r="R42" s="119" t="n">
        <x:v>111147720</x:v>
      </x:c>
      <x:c r="S42" s="119" t="n">
        <x:v>1820382735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22.31</x:v>
      </x:c>
      <x:c r="H43" s="118" t="n">
        <x:v>17.42</x:v>
      </x:c>
      <x:c r="I43" s="118" t="n">
        <x:v>12.71</x:v>
      </x:c>
      <x:c r="J43" s="118" t="n">
        <x:v>21.46</x:v>
      </x:c>
      <x:c r="K43" s="118" t="n">
        <x:v>22.29</x:v>
      </x:c>
      <x:c r="L43" s="118" t="n">
        <x:v>13.51</x:v>
      </x:c>
      <x:c r="M43" s="118" t="n">
        <x:v>19.18</x:v>
      </x:c>
      <x:c r="N43" s="118" t="n">
        <x:v>22.27</x:v>
      </x:c>
      <x:c r="O43" s="118" t="n">
        <x:v>14.62</x:v>
      </x:c>
      <x:c r="P43" s="118" t="n">
        <x:v>17.44</x:v>
      </x:c>
      <x:c r="Q43" s="118" t="n">
        <x:v>16.63</x:v>
      </x:c>
      <x:c r="R43" s="118" t="n">
        <x:v>17.9</x:v>
      </x:c>
      <x:c r="S43" s="118" t="n">
        <x:v>217.74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30185.43</x:v>
      </x:c>
      <x:c r="H44" s="118" t="n">
        <x:v>23569.26</x:v>
      </x:c>
      <x:c r="I44" s="118" t="n">
        <x:v>17196.63</x:v>
      </x:c>
      <x:c r="J44" s="118" t="n">
        <x:v>29035.38</x:v>
      </x:c>
      <x:c r="K44" s="118" t="n">
        <x:v>30158.37</x:v>
      </x:c>
      <x:c r="L44" s="118" t="n">
        <x:v>18279.03</x:v>
      </x:c>
      <x:c r="M44" s="118" t="n">
        <x:v>25950.54</x:v>
      </x:c>
      <x:c r="N44" s="118" t="n">
        <x:v>30131.31</x:v>
      </x:c>
      <x:c r="O44" s="118" t="n">
        <x:v>19780.86</x:v>
      </x:c>
      <x:c r="P44" s="118" t="n">
        <x:v>23596.32</x:v>
      </x:c>
      <x:c r="Q44" s="118" t="n">
        <x:v>22500.39</x:v>
      </x:c>
      <x:c r="R44" s="118" t="n">
        <x:v>24218.7</x:v>
      </x:c>
      <x:c r="S44" s="118" t="n">
        <x:v>294602.22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v>137645561</x:v>
      </x:c>
      <x:c r="H45" s="119" t="n">
        <x:v>107475826</x:v>
      </x:c>
      <x:c r="I45" s="119" t="n">
        <x:v>78416633</x:v>
      </x:c>
      <x:c r="J45" s="119" t="n">
        <x:v>132401333</x:v>
      </x:c>
      <x:c r="K45" s="119" t="n">
        <x:v>137522167</x:v>
      </x:c>
      <x:c r="L45" s="119" t="n">
        <x:v>83352377</x:v>
      </x:c>
      <x:c r="M45" s="119" t="n">
        <x:v>118334462</x:v>
      </x:c>
      <x:c r="N45" s="119" t="n">
        <x:v>137398774</x:v>
      </x:c>
      <x:c r="O45" s="119" t="n">
        <x:v>90200722</x:v>
      </x:c>
      <x:c r="P45" s="119" t="n">
        <x:v>107599219</x:v>
      </x:c>
      <x:c r="Q45" s="119" t="n">
        <x:v>102601778</x:v>
      </x:c>
      <x:c r="R45" s="119" t="n">
        <x:v>110437272</x:v>
      </x:c>
      <x:c r="S45" s="119" t="n">
        <x:v>1343386124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12.42</x:v>
      </x:c>
      <x:c r="H46" s="118" t="n">
        <x:v>12.18</x:v>
      </x:c>
      <x:c r="I46" s="118" t="n">
        <x:v>13.32</x:v>
      </x:c>
      <x:c r="J46" s="118" t="n">
        <x:v>11.58</x:v>
      </x:c>
      <x:c r="K46" s="118" t="n">
        <x:v>18.16</x:v>
      </x:c>
      <x:c r="L46" s="118" t="n">
        <x:v>14.94</x:v>
      </x:c>
      <x:c r="M46" s="118" t="n">
        <x:v>19.51</x:v>
      </x:c>
      <x:c r="N46" s="118" t="n">
        <x:v>19.72</x:v>
      </x:c>
      <x:c r="O46" s="118" t="n">
        <x:v>11.21</x:v>
      </x:c>
      <x:c r="P46" s="118" t="n">
        <x:v>11.75</x:v>
      </x:c>
      <x:c r="Q46" s="118" t="n">
        <x:v>11.67</x:v>
      </x:c>
      <x:c r="R46" s="118" t="n">
        <x:v>16.55</x:v>
      </x:c>
      <x:c r="S46" s="118" t="n">
        <x:v>173.01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16167.74</x:v>
      </x:c>
      <x:c r="H47" s="118" t="n">
        <x:v>15855.32</x:v>
      </x:c>
      <x:c r="I47" s="118" t="n">
        <x:v>17339.31</x:v>
      </x:c>
      <x:c r="J47" s="118" t="n">
        <x:v>15074.26</x:v>
      </x:c>
      <x:c r="K47" s="118" t="n">
        <x:v>23639.78</x:v>
      </x:c>
      <x:c r="L47" s="118" t="n">
        <x:v>19448.15</x:v>
      </x:c>
      <x:c r="M47" s="118" t="n">
        <x:v>25397.14</x:v>
      </x:c>
      <x:c r="N47" s="118" t="n">
        <x:v>25670.51</x:v>
      </x:c>
      <x:c r="O47" s="118" t="n">
        <x:v>14592.62</x:v>
      </x:c>
      <x:c r="P47" s="118" t="n">
        <x:v>15295.56</x:v>
      </x:c>
      <x:c r="Q47" s="118" t="n">
        <x:v>15191.42</x:v>
      </x:c>
      <x:c r="R47" s="118" t="n">
        <x:v>21543.96</x:v>
      </x:c>
      <x:c r="S47" s="118" t="n">
        <x:v>225215.77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v>73724894</x:v>
      </x:c>
      <x:c r="H48" s="119" t="n">
        <x:v>72300259</x:v>
      </x:c>
      <x:c r="I48" s="119" t="n">
        <x:v>79067254</x:v>
      </x:c>
      <x:c r="J48" s="119" t="n">
        <x:v>68738626</x:v>
      </x:c>
      <x:c r="K48" s="119" t="n">
        <x:v>107797397</x:v>
      </x:c>
      <x:c r="L48" s="119" t="n">
        <x:v>88683564</x:v>
      </x:c>
      <x:c r="M48" s="119" t="n">
        <x:v>115810958</x:v>
      </x:c>
      <x:c r="N48" s="119" t="n">
        <x:v>117057526</x:v>
      </x:c>
      <x:c r="O48" s="119" t="n">
        <x:v>66542347</x:v>
      </x:c>
      <x:c r="P48" s="119" t="n">
        <x:v>69747754</x:v>
      </x:c>
      <x:c r="Q48" s="119" t="n">
        <x:v>69272875</x:v>
      </x:c>
      <x:c r="R48" s="119" t="n">
        <x:v>98240458</x:v>
      </x:c>
      <x:c r="S48" s="119" t="n">
        <x:v>1026983912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20.77</x:v>
      </x:c>
      <x:c r="H49" s="118" t="n">
        <x:v>17.04</x:v>
      </x:c>
      <x:c r="I49" s="118" t="n">
        <x:v>24.03</x:v>
      </x:c>
      <x:c r="J49" s="118" t="n">
        <x:v>19.43</x:v>
      </x:c>
      <x:c r="K49" s="118" t="n">
        <x:v>25.01</x:v>
      </x:c>
      <x:c r="L49" s="118" t="n">
        <x:v>17.84</x:v>
      </x:c>
      <x:c r="M49" s="118" t="n">
        <x:v>21.01</x:v>
      </x:c>
      <x:c r="N49" s="118" t="n">
        <x:v>25.6</x:v>
      </x:c>
      <x:c r="O49" s="118" t="n">
        <x:v>17.41</x:v>
      </x:c>
      <x:c r="P49" s="118" t="n">
        <x:v>21.82</x:v>
      </x:c>
      <x:c r="Q49" s="118" t="n">
        <x:v>17.39</x:v>
      </x:c>
      <x:c r="R49" s="118" t="n">
        <x:v>21.9</x:v>
      </x:c>
      <x:c r="S49" s="118" t="n">
        <x:v>249.25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29592.06</x:v>
      </x:c>
      <x:c r="H50" s="118" t="n">
        <x:v>24277.74</x:v>
      </x:c>
      <x:c r="I50" s="118" t="n">
        <x:v>34236.74</x:v>
      </x:c>
      <x:c r="J50" s="118" t="n">
        <x:v>27682.89</x:v>
      </x:c>
      <x:c r="K50" s="118" t="n">
        <x:v>35633</x:v>
      </x:c>
      <x:c r="L50" s="118" t="n">
        <x:v>25417.54</x:v>
      </x:c>
      <x:c r="M50" s="118" t="n">
        <x:v>29934</x:v>
      </x:c>
      <x:c r="N50" s="118" t="n">
        <x:v>36473.6</x:v>
      </x:c>
      <x:c r="O50" s="118" t="n">
        <x:v>24804.9</x:v>
      </x:c>
      <x:c r="P50" s="118" t="n">
        <x:v>31088.04</x:v>
      </x:c>
      <x:c r="Q50" s="118" t="n">
        <x:v>24776.4</x:v>
      </x:c>
      <x:c r="R50" s="118" t="n">
        <x:v>31202.02</x:v>
      </x:c>
      <x:c r="S50" s="118" t="n">
        <x:v>355118.93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v>134939794</x:v>
      </x:c>
      <x:c r="H51" s="119" t="n">
        <x:v>110706494</x:v>
      </x:c>
      <x:c r="I51" s="119" t="n">
        <x:v>156119534</x:v>
      </x:c>
      <x:c r="J51" s="119" t="n">
        <x:v>126233978</x:v>
      </x:c>
      <x:c r="K51" s="119" t="n">
        <x:v>162486480</x:v>
      </x:c>
      <x:c r="L51" s="119" t="n">
        <x:v>115903982</x:v>
      </x:c>
      <x:c r="M51" s="119" t="n">
        <x:v>136499040</x:v>
      </x:c>
      <x:c r="N51" s="119" t="n">
        <x:v>166319616</x:v>
      </x:c>
      <x:c r="O51" s="119" t="n">
        <x:v>113110344</x:v>
      </x:c>
      <x:c r="P51" s="119" t="n">
        <x:v>141761462</x:v>
      </x:c>
      <x:c r="Q51" s="119" t="n">
        <x:v>112980384</x:v>
      </x:c>
      <x:c r="R51" s="119" t="n">
        <x:v>142281211</x:v>
      </x:c>
      <x:c r="S51" s="119" t="n">
        <x:v>1619342319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10.1</x:v>
      </x:c>
      <x:c r="H52" s="118" t="n">
        <x:v>13.56</x:v>
      </x:c>
      <x:c r="I52" s="118" t="n">
        <x:v>14.16</x:v>
      </x:c>
      <x:c r="J52" s="118" t="n">
        <x:v>13.22</x:v>
      </x:c>
      <x:c r="K52" s="118" t="n">
        <x:v>13.07</x:v>
      </x:c>
      <x:c r="L52" s="118" t="n">
        <x:v>11.04</x:v>
      </x:c>
      <x:c r="M52" s="118" t="n">
        <x:v>13.82</x:v>
      </x:c>
      <x:c r="N52" s="118" t="n">
        <x:v>14.34</x:v>
      </x:c>
      <x:c r="O52" s="118" t="n">
        <x:v>10.68</x:v>
      </x:c>
      <x:c r="P52" s="118" t="n">
        <x:v>10.06</x:v>
      </x:c>
      <x:c r="Q52" s="118" t="n">
        <x:v>14.38</x:v>
      </x:c>
      <x:c r="R52" s="118" t="n">
        <x:v>12.25</x:v>
      </x:c>
      <x:c r="S52" s="118" t="n">
        <x:v>150.68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12215.95</x:v>
      </x:c>
      <x:c r="H53" s="118" t="n">
        <x:v>16400.82</x:v>
      </x:c>
      <x:c r="I53" s="118" t="n">
        <x:v>17126.52</x:v>
      </x:c>
      <x:c r="J53" s="118" t="n">
        <x:v>15989.59</x:v>
      </x:c>
      <x:c r="K53" s="118" t="n">
        <x:v>15808.17</x:v>
      </x:c>
      <x:c r="L53" s="118" t="n">
        <x:v>13352.88</x:v>
      </x:c>
      <x:c r="M53" s="118" t="n">
        <x:v>16715.29</x:v>
      </x:c>
      <x:c r="N53" s="118" t="n">
        <x:v>17344.23</x:v>
      </x:c>
      <x:c r="O53" s="118" t="n">
        <x:v>12917.46</x:v>
      </x:c>
      <x:c r="P53" s="118" t="n">
        <x:v>12167.57</x:v>
      </x:c>
      <x:c r="Q53" s="118" t="n">
        <x:v>17392.61</x:v>
      </x:c>
      <x:c r="R53" s="118" t="n">
        <x:v>14816.38</x:v>
      </x:c>
      <x:c r="S53" s="118" t="n">
        <x:v>182247.47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v>55704732</x:v>
      </x:c>
      <x:c r="H54" s="119" t="n">
        <x:v>74787739</x:v>
      </x:c>
      <x:c r="I54" s="119" t="n">
        <x:v>78096931</x:v>
      </x:c>
      <x:c r="J54" s="119" t="n">
        <x:v>72912530</x:v>
      </x:c>
      <x:c r="K54" s="119" t="n">
        <x:v>72085255</x:v>
      </x:c>
      <x:c r="L54" s="119" t="n">
        <x:v>60889133</x:v>
      </x:c>
      <x:c r="M54" s="119" t="n">
        <x:v>76221722</x:v>
      </x:c>
      <x:c r="N54" s="119" t="n">
        <x:v>79089689</x:v>
      </x:c>
      <x:c r="O54" s="119" t="n">
        <x:v>58903618</x:v>
      </x:c>
      <x:c r="P54" s="119" t="n">
        <x:v>55484119</x:v>
      </x:c>
      <x:c r="Q54" s="119" t="n">
        <x:v>79310302</x:v>
      </x:c>
      <x:c r="R54" s="119" t="n">
        <x:v>67562693</x:v>
      </x:c>
      <x:c r="S54" s="119" t="n">
        <x:v>831048463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12540050</x:v>
      </x:c>
      <x:c r="F2" s="16" t="n">
        <x:v>11403600</x:v>
      </x:c>
      <x:c r="G2" s="16" t="n">
        <x:v>14540100</x:v>
      </x:c>
      <x:c r="H2" s="16" t="n">
        <x:v>13243850</x:v>
      </x:c>
      <x:c r="I2" s="16" t="n">
        <x:v>13635700</x:v>
      </x:c>
      <x:c r="J2" s="16" t="n">
        <x:v>13299100</x:v>
      </x:c>
      <x:c r="K2" s="16" t="n">
        <x:v>12606350</x:v>
      </x:c>
      <x:c r="L2" s="16" t="n">
        <x:v>13826950</x:v>
      </x:c>
      <x:c r="M2" s="16" t="n">
        <x:v>14195850</x:v>
      </x:c>
      <x:c r="N2" s="16" t="n">
        <x:v>11923800</x:v>
      </x:c>
      <x:c r="O2" s="16" t="n">
        <x:v>11474150</x:v>
      </x:c>
      <x:c r="P2" s="16" t="n">
        <x:v>14310600</x:v>
      </x:c>
      <x:c r="Q2" s="16" t="n">
        <x:f>SUM(E2:P2)</x:f>
        <x:v>157000100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6505900</x:v>
      </x:c>
      <x:c r="F3" s="16" t="n">
        <x:v>6703950</x:v>
      </x:c>
      <x:c r="G3" s="16" t="n">
        <x:v>6676750</x:v>
      </x:c>
      <x:c r="H3" s="16" t="n">
        <x:v>6683550</x:v>
      </x:c>
      <x:c r="I3" s="16" t="n">
        <x:v>6213500</x:v>
      </x:c>
      <x:c r="J3" s="16" t="n">
        <x:v>5561550</x:v>
      </x:c>
      <x:c r="K3" s="16" t="n">
        <x:v>6054550</x:v>
      </x:c>
      <x:c r="L3" s="16" t="n">
        <x:v>6224550</x:v>
      </x:c>
      <x:c r="M3" s="16" t="n">
        <x:v>5907500</x:v>
      </x:c>
      <x:c r="N3" s="16" t="n">
        <x:v>5686500</x:v>
      </x:c>
      <x:c r="O3" s="16" t="n">
        <x:v>5223250</x:v>
      </x:c>
      <x:c r="P3" s="16" t="n">
        <x:v>6709050</x:v>
      </x:c>
      <x:c r="Q3" s="16" t="n">
        <x:f>SUM(E3:P3)</x:f>
        <x:v>74150600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7134050</x:v>
      </x:c>
      <x:c r="F4" s="16" t="n">
        <x:v>8518700</x:v>
      </x:c>
      <x:c r="G4" s="16" t="n">
        <x:v>7270050</x:v>
      </x:c>
      <x:c r="H4" s="16" t="n">
        <x:v>7963650</x:v>
      </x:c>
      <x:c r="I4" s="16" t="n">
        <x:v>7464700</x:v>
      </x:c>
      <x:c r="J4" s="16" t="n">
        <x:v>6947900</x:v>
      </x:c>
      <x:c r="K4" s="16" t="n">
        <x:v>9059300</x:v>
      </x:c>
      <x:c r="L4" s="16" t="n">
        <x:v>7165500</x:v>
      </x:c>
      <x:c r="M4" s="16" t="n">
        <x:v>6778750</x:v>
      </x:c>
      <x:c r="N4" s="16" t="n">
        <x:v>8502550</x:v>
      </x:c>
      <x:c r="O4" s="16" t="n">
        <x:v>7559900</x:v>
      </x:c>
      <x:c r="P4" s="16" t="n">
        <x:v>7189300</x:v>
      </x:c>
      <x:c r="Q4" s="16" t="n">
        <x:f>SUM(E4:P4)</x:f>
        <x:v>91554350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47898350</x:v>
      </x:c>
      <x:c r="F5" s="16" t="n">
        <x:v>38544950</x:v>
      </x:c>
      <x:c r="G5" s="16" t="n">
        <x:v>46351350</x:v>
      </x:c>
      <x:c r="H5" s="16" t="n">
        <x:v>47589800</x:v>
      </x:c>
      <x:c r="I5" s="16" t="n">
        <x:v>47771700</x:v>
      </x:c>
      <x:c r="J5" s="16" t="n">
        <x:v>45552350</x:v>
      </x:c>
      <x:c r="K5" s="16" t="n">
        <x:v>38482050</x:v>
      </x:c>
      <x:c r="L5" s="16" t="n">
        <x:v>46496700</x:v>
      </x:c>
      <x:c r="M5" s="16" t="n">
        <x:v>44860450</x:v>
      </x:c>
      <x:c r="N5" s="16" t="n">
        <x:v>39585350</x:v>
      </x:c>
      <x:c r="O5" s="16" t="n">
        <x:v>38011150</x:v>
      </x:c>
      <x:c r="P5" s="16" t="n">
        <x:v>49757300</x:v>
      </x:c>
      <x:c r="Q5" s="16" t="n">
        <x:f>SUM(E5:P5)</x:f>
        <x:v>530901500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3833500</x:v>
      </x:c>
      <x:c r="F6" s="16" t="n">
        <x:v>4223650</x:v>
      </x:c>
      <x:c r="G6" s="16" t="n">
        <x:v>3776550</x:v>
      </x:c>
      <x:c r="H6" s="16" t="n">
        <x:v>3774850</x:v>
      </x:c>
      <x:c r="I6" s="16" t="n">
        <x:v>3883650</x:v>
      </x:c>
      <x:c r="J6" s="16" t="n">
        <x:v>4156500</x:v>
      </x:c>
      <x:c r="K6" s="16" t="n">
        <x:v>3917650</x:v>
      </x:c>
      <x:c r="L6" s="16" t="n">
        <x:v>4080850</x:v>
      </x:c>
      <x:c r="M6" s="16" t="n">
        <x:v>3863250</x:v>
      </x:c>
      <x:c r="N6" s="16" t="n">
        <x:v>3762100</x:v>
      </x:c>
      <x:c r="O6" s="16" t="n">
        <x:v>3947400</x:v>
      </x:c>
      <x:c r="P6" s="16" t="n">
        <x:v>4659700</x:v>
      </x:c>
      <x:c r="Q6" s="16" t="n">
        <x:f>SUM(E6:P6)</x:f>
        <x:v>47879650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3368550</x:v>
      </x:c>
      <x:c r="F7" s="16" t="n">
        <x:v>2720850</x:v>
      </x:c>
      <x:c r="G7" s="16" t="n">
        <x:v>2554250</x:v>
      </x:c>
      <x:c r="H7" s="16" t="n">
        <x:v>2776100</x:v>
      </x:c>
      <x:c r="I7" s="16" t="n">
        <x:v>2587400</x:v>
      </x:c>
      <x:c r="J7" s="16" t="n">
        <x:v>3292900</x:v>
      </x:c>
      <x:c r="K7" s="16" t="n">
        <x:v>2901050</x:v>
      </x:c>
      <x:c r="L7" s="16" t="n">
        <x:v>2555950</x:v>
      </x:c>
      <x:c r="M7" s="16" t="n">
        <x:v>3412750</x:v>
      </x:c>
      <x:c r="N7" s="16" t="n">
        <x:v>3200250</x:v>
      </x:c>
      <x:c r="O7" s="16" t="n">
        <x:v>3392350</x:v>
      </x:c>
      <x:c r="P7" s="16" t="n">
        <x:v>3071900</x:v>
      </x:c>
      <x:c r="Q7" s="16" t="n">
        <x:f>SUM(E7:P7)</x:f>
        <x:v>35834300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13161400</x:v>
      </x:c>
      <x:c r="F8" s="16" t="n">
        <x:v>12574900</x:v>
      </x:c>
      <x:c r="G8" s="16" t="n">
        <x:v>13343300</x:v>
      </x:c>
      <x:c r="H8" s="16" t="n">
        <x:v>14093850</x:v>
      </x:c>
      <x:c r="I8" s="16" t="n">
        <x:v>12300350</x:v>
      </x:c>
      <x:c r="J8" s="16" t="n">
        <x:v>12400650</x:v>
      </x:c>
      <x:c r="K8" s="16" t="n">
        <x:v>12130350</x:v>
      </x:c>
      <x:c r="L8" s="16" t="n">
        <x:v>15696950</x:v>
      </x:c>
      <x:c r="M8" s="16" t="n">
        <x:v>13632300</x:v>
      </x:c>
      <x:c r="N8" s="16" t="n">
        <x:v>13129950</x:v>
      </x:c>
      <x:c r="O8" s="16" t="n">
        <x:v>12996500</x:v>
      </x:c>
      <x:c r="P8" s="16" t="n">
        <x:v>11785250</x:v>
      </x:c>
      <x:c r="Q8" s="16" t="n">
        <x:f>SUM(E8:P8)</x:f>
        <x:v>157245750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7012500</x:v>
      </x:c>
      <x:c r="F9" s="16" t="n">
        <x:v>5719650</x:v>
      </x:c>
      <x:c r="G9" s="16" t="n">
        <x:v>5596400</x:v>
      </x:c>
      <x:c r="H9" s="16" t="n">
        <x:v>6136150</x:v>
      </x:c>
      <x:c r="I9" s="16" t="n">
        <x:v>5868400</x:v>
      </x:c>
      <x:c r="J9" s="16" t="n">
        <x:v>5602350</x:v>
      </x:c>
      <x:c r="K9" s="16" t="n">
        <x:v>6635100</x:v>
      </x:c>
      <x:c r="L9" s="16" t="n">
        <x:v>5451900</x:v>
      </x:c>
      <x:c r="M9" s="16" t="n">
        <x:v>5746850</x:v>
      </x:c>
      <x:c r="N9" s="16" t="n">
        <x:v>6941100</x:v>
      </x:c>
      <x:c r="O9" s="16" t="n">
        <x:v>6977650</x:v>
      </x:c>
      <x:c r="P9" s="16" t="n">
        <x:v>5848000</x:v>
      </x:c>
      <x:c r="Q9" s="16" t="n">
        <x:f>SUM(E9:P9)</x:f>
        <x:v>73536050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9091600</x:v>
      </x:c>
      <x:c r="F10" s="16" t="n">
        <x:v>8051200</x:v>
      </x:c>
      <x:c r="G10" s="16" t="n">
        <x:v>8164250</x:v>
      </x:c>
      <x:c r="H10" s="16" t="n">
        <x:v>7387350</x:v>
      </x:c>
      <x:c r="I10" s="16" t="n">
        <x:v>7654250</x:v>
      </x:c>
      <x:c r="J10" s="16" t="n">
        <x:v>9341500</x:v>
      </x:c>
      <x:c r="K10" s="16" t="n">
        <x:v>9345750</x:v>
      </x:c>
      <x:c r="L10" s="16" t="n">
        <x:v>9872750</x:v>
      </x:c>
      <x:c r="M10" s="16" t="n">
        <x:v>9294750</x:v>
      </x:c>
      <x:c r="N10" s="16" t="n">
        <x:v>8981950</x:v>
      </x:c>
      <x:c r="O10" s="16" t="n">
        <x:v>7390750</x:v>
      </x:c>
      <x:c r="P10" s="16" t="n">
        <x:v>7860800</x:v>
      </x:c>
      <x:c r="Q10" s="16" t="n">
        <x:f>SUM(E10:P10)</x:f>
        <x:v>102436900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54846250</x:v>
      </x:c>
      <x:c r="F11" s="16" t="n">
        <x:v>42695500</x:v>
      </x:c>
      <x:c r="G11" s="16" t="n">
        <x:v>50236700</x:v>
      </x:c>
      <x:c r="H11" s="16" t="n">
        <x:v>43548900</x:v>
      </x:c>
      <x:c r="I11" s="16" t="n">
        <x:v>48308900</x:v>
      </x:c>
      <x:c r="J11" s="16" t="n">
        <x:v>54348150</x:v>
      </x:c>
      <x:c r="K11" s="16" t="n">
        <x:v>44135400</x:v>
      </x:c>
      <x:c r="L11" s="16" t="n">
        <x:v>50252850</x:v>
      </x:c>
      <x:c r="M11" s="16" t="n">
        <x:v>41750300</x:v>
      </x:c>
      <x:c r="N11" s="16" t="n">
        <x:v>50422850</x:v>
      </x:c>
      <x:c r="O11" s="16" t="n">
        <x:v>49730950</x:v>
      </x:c>
      <x:c r="P11" s="16" t="n">
        <x:v>45436750</x:v>
      </x:c>
      <x:c r="Q11" s="16" t="n">
        <x:f>SUM(E11:P11)</x:f>
        <x:v>575713500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5167150</x:v>
      </x:c>
      <x:c r="F12" s="16" t="n">
        <x:v>5032850</x:v>
      </x:c>
      <x:c r="G12" s="16" t="n">
        <x:v>4983550</x:v>
      </x:c>
      <x:c r="H12" s="16" t="n">
        <x:v>4911300</x:v>
      </x:c>
      <x:c r="I12" s="16" t="n">
        <x:v>4312050</x:v>
      </x:c>
      <x:c r="J12" s="16" t="n">
        <x:v>5069400</x:v>
      </x:c>
      <x:c r="K12" s="16" t="n">
        <x:v>4553450</x:v>
      </x:c>
      <x:c r="L12" s="16" t="n">
        <x:v>4381750</x:v>
      </x:c>
      <x:c r="M12" s="16" t="n">
        <x:v>4713250</x:v>
      </x:c>
      <x:c r="N12" s="16" t="n">
        <x:v>5125500</x:v>
      </x:c>
      <x:c r="O12" s="16" t="n">
        <x:v>5074500</x:v>
      </x:c>
      <x:c r="P12" s="16" t="n">
        <x:v>4301000</x:v>
      </x:c>
      <x:c r="Q12" s="16" t="n">
        <x:f>SUM(E12:P12)</x:f>
        <x:v>57625750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3701750</x:v>
      </x:c>
      <x:c r="F13" s="16" t="n">
        <x:v>3370250</x:v>
      </x:c>
      <x:c r="G13" s="16" t="n">
        <x:v>3417000</x:v>
      </x:c>
      <x:c r="H13" s="16" t="n">
        <x:v>3564900</x:v>
      </x:c>
      <x:c r="I13" s="16" t="n">
        <x:v>3323500</x:v>
      </x:c>
      <x:c r="J13" s="16" t="n">
        <x:v>2757400</x:v>
      </x:c>
      <x:c r="K13" s="16" t="n">
        <x:v>3431450</x:v>
      </x:c>
      <x:c r="L13" s="16" t="n">
        <x:v>3547050</x:v>
      </x:c>
      <x:c r="M13" s="16" t="n">
        <x:v>3101650</x:v>
      </x:c>
      <x:c r="N13" s="16" t="n">
        <x:v>3514750</x:v>
      </x:c>
      <x:c r="O13" s="16" t="n">
        <x:v>2911250</x:v>
      </x:c>
      <x:c r="P13" s="16" t="n">
        <x:v>3623550</x:v>
      </x:c>
      <x:c r="Q13" s="16" t="n">
        <x:f>SUM(E13:P13)</x:f>
        <x:v>40264500</x:v>
      </x:c>
    </x:row>
    <x:row r="14">
      <x:c r="A14" t="str">
        <x:v>Chine</x:v>
      </x:c>
      <x:c r="B14" t="str">
        <x:v>REPRESENTANT CHINE - A VALIDER</x:v>
      </x:c>
      <x:c r="C14" t="str">
        <x:v>Transport local</x:v>
      </x:c>
      <x:c r="D14" t="str">
        <x:v>MGA</x:v>
      </x:c>
      <x:c r="E14" s="16" t="n">
        <x:v>9667900</x:v>
      </x:c>
      <x:c r="F14" s="16" t="n">
        <x:v>11384900</x:v>
      </x:c>
      <x:c r="G14" s="16" t="n">
        <x:v>10739750</x:v>
      </x:c>
      <x:c r="H14" s="16" t="n">
        <x:v>12267200</x:v>
      </x:c>
      <x:c r="I14" s="16" t="n">
        <x:v>11197900</x:v>
      </x:c>
      <x:c r="J14" s="16" t="n">
        <x:v>12747450</x:v>
      </x:c>
      <x:c r="K14" s="16" t="n">
        <x:v>10756750</x:v>
      </x:c>
      <x:c r="L14" s="16" t="n">
        <x:v>11171550</x:v>
      </x:c>
      <x:c r="M14" s="16" t="n">
        <x:v>10642000</x:v>
      </x:c>
      <x:c r="N14" s="16" t="n">
        <x:v>11210650</x:v>
      </x:c>
      <x:c r="O14" s="16" t="n">
        <x:v>9973050</x:v>
      </x:c>
      <x:c r="P14" s="16" t="n">
        <x:v>12859650</x:v>
      </x:c>
      <x:c r="Q14" s="16" t="n">
        <x:f>SUM(E14:P14)</x:f>
        <x:v>134618750</x:v>
      </x:c>
    </x:row>
    <x:row r="15">
      <x:c r="A15" t="str">
        <x:v>Chine</x:v>
      </x:c>
      <x:c r="B15" t="str">
        <x:v>REPRESENTANT CHINE - A VALIDER</x:v>
      </x:c>
      <x:c r="C15" t="str">
        <x:v>Transit &amp; documents</x:v>
      </x:c>
      <x:c r="D15" t="str">
        <x:v>MGA</x:v>
      </x:c>
      <x:c r="E15" s="16" t="n">
        <x:v>4731100</x:v>
      </x:c>
      <x:c r="F15" s="16" t="n">
        <x:v>5858200</x:v>
      </x:c>
      <x:c r="G15" s="16" t="n">
        <x:v>5589600</x:v>
      </x:c>
      <x:c r="H15" s="16" t="n">
        <x:v>5622750</x:v>
      </x:c>
      <x:c r="I15" s="16" t="n">
        <x:v>4851800</x:v>
      </x:c>
      <x:c r="J15" s="16" t="n">
        <x:v>5688200</x:v>
      </x:c>
      <x:c r="K15" s="16" t="n">
        <x:v>4979300</x:v>
      </x:c>
      <x:c r="L15" s="16" t="n">
        <x:v>5982300</x:v>
      </x:c>
      <x:c r="M15" s="16" t="n">
        <x:v>4510100</x:v>
      </x:c>
      <x:c r="N15" s="16" t="n">
        <x:v>4510100</x:v>
      </x:c>
      <x:c r="O15" s="16" t="n">
        <x:v>5229200</x:v>
      </x:c>
      <x:c r="P15" s="16" t="n">
        <x:v>4866250</x:v>
      </x:c>
      <x:c r="Q15" s="16" t="n">
        <x:f>SUM(E15:P15)</x:f>
        <x:v>62418900</x:v>
      </x:c>
    </x:row>
    <x:row r="16">
      <x:c r="A16" t="str">
        <x:v>Chine</x:v>
      </x:c>
      <x:c r="B16" t="str">
        <x:v>REPRESENTANT CHINE - A VALIDER</x:v>
      </x:c>
      <x:c r="C16" t="str">
        <x:v>Manutention portuaire</x:v>
      </x:c>
      <x:c r="D16" t="str">
        <x:v>MGA</x:v>
      </x:c>
      <x:c r="E16" s="16" t="n">
        <x:v>6070700</x:v>
      </x:c>
      <x:c r="F16" s="16" t="n">
        <x:v>7718850</x:v>
      </x:c>
      <x:c r="G16" s="16" t="n">
        <x:v>7667850</x:v>
      </x:c>
      <x:c r="H16" s="16" t="n">
        <x:v>7295550</x:v>
      </x:c>
      <x:c r="I16" s="16" t="n">
        <x:v>7483400</x:v>
      </x:c>
      <x:c r="J16" s="16" t="n">
        <x:v>7699300</x:v>
      </x:c>
      <x:c r="K16" s="16" t="n">
        <x:v>7634700</x:v>
      </x:c>
      <x:c r="L16" s="16" t="n">
        <x:v>6577300</x:v>
      </x:c>
      <x:c r="M16" s="16" t="n">
        <x:v>7358450</x:v>
      </x:c>
      <x:c r="N16" s="16" t="n">
        <x:v>7093250</x:v>
      </x:c>
      <x:c r="O16" s="16" t="n">
        <x:v>7477450</x:v>
      </x:c>
      <x:c r="P16" s="16" t="n">
        <x:v>6803400</x:v>
      </x:c>
      <x:c r="Q16" s="16" t="n">
        <x:f>SUM(E16:P16)</x:f>
        <x:v>86880200</x:v>
      </x:c>
    </x:row>
    <x:row r="17">
      <x:c r="A17" t="str">
        <x:v>Chine</x:v>
      </x:c>
      <x:c r="B17" t="str">
        <x:v>REPRESENTANT CHINE - A VALIDER</x:v>
      </x:c>
      <x:c r="C17" t="str">
        <x:v>Fret international</x:v>
      </x:c>
      <x:c r="D17" t="str">
        <x:v>MGA</x:v>
      </x:c>
      <x:c r="E17" s="16" t="n">
        <x:v>34263500</x:v>
      </x:c>
      <x:c r="F17" s="16" t="n">
        <x:v>39085550</x:v>
      </x:c>
      <x:c r="G17" s="16" t="n">
        <x:v>36019600</x:v>
      </x:c>
      <x:c r="H17" s="16" t="n">
        <x:v>38633350</x:v>
      </x:c>
      <x:c r="I17" s="16" t="n">
        <x:v>37861550</x:v>
      </x:c>
      <x:c r="J17" s="16" t="n">
        <x:v>40284050</x:v>
      </x:c>
      <x:c r="K17" s="16" t="n">
        <x:v>42140450</x:v>
      </x:c>
      <x:c r="L17" s="16" t="n">
        <x:v>42309600</x:v>
      </x:c>
      <x:c r="M17" s="16" t="n">
        <x:v>38975050</x:v>
      </x:c>
      <x:c r="N17" s="16" t="n">
        <x:v>42795800</x:v>
      </x:c>
      <x:c r="O17" s="16" t="n">
        <x:v>45554900</x:v>
      </x:c>
      <x:c r="P17" s="16" t="n">
        <x:v>42567150</x:v>
      </x:c>
      <x:c r="Q17" s="16" t="n">
        <x:f>SUM(E17:P17)</x:f>
        <x:v>480490550</x:v>
      </x:c>
    </x:row>
    <x:row r="18">
      <x:c r="A18" t="str">
        <x:v>Chine</x:v>
      </x:c>
      <x:c r="B18" t="str">
        <x:v>REPRESENTANT CHINE - A VALIDER</x:v>
      </x:c>
      <x:c r="C18" t="str">
        <x:v>Assurance transport</x:v>
      </x:c>
      <x:c r="D18" t="str">
        <x:v>MGA</x:v>
      </x:c>
      <x:c r="E18" s="16" t="n">
        <x:v>3915100</x:v>
      </x:c>
      <x:c r="F18" s="16" t="n">
        <x:v>4007750</x:v>
      </x:c>
      <x:c r="G18" s="16" t="n">
        <x:v>4063000</x:v>
      </x:c>
      <x:c r="H18" s="16" t="n">
        <x:v>3476500</x:v>
      </x:c>
      <x:c r="I18" s="16" t="n">
        <x:v>4337550</x:v>
      </x:c>
      <x:c r="J18" s="16" t="n">
        <x:v>3785050</x:v>
      </x:c>
      <x:c r="K18" s="16" t="n">
        <x:v>3570850</x:v>
      </x:c>
      <x:c r="L18" s="16" t="n">
        <x:v>3902350</x:v>
      </x:c>
      <x:c r="M18" s="16" t="n">
        <x:v>4083400</x:v>
      </x:c>
      <x:c r="N18" s="16" t="n">
        <x:v>3285250</x:v>
      </x:c>
      <x:c r="O18" s="16" t="n">
        <x:v>3716200</x:v>
      </x:c>
      <x:c r="P18" s="16" t="n">
        <x:v>3879400</x:v>
      </x:c>
      <x:c r="Q18" s="16" t="n">
        <x:f>SUM(E18:P18)</x:f>
        <x:v>46022400</x:v>
      </x:c>
    </x:row>
    <x:row r="19">
      <x:c r="A19" t="str">
        <x:v>Chine</x:v>
      </x:c>
      <x:c r="B19" t="str">
        <x:v>REPRESENTANT CHINE - A VALIDER</x:v>
      </x:c>
      <x:c r="C19" t="str">
        <x:v>Frais bancaires export</x:v>
      </x:c>
      <x:c r="D19" t="str">
        <x:v>MGA</x:v>
      </x:c>
      <x:c r="E19" s="16" t="n">
        <x:v>2327300</x:v>
      </x:c>
      <x:c r="F19" s="16" t="n">
        <x:v>2414850</x:v>
      </x:c>
      <x:c r="G19" s="16" t="n">
        <x:v>2951200</x:v>
      </x:c>
      <x:c r="H19" s="16" t="n">
        <x:v>2521100</x:v>
      </x:c>
      <x:c r="I19" s="16" t="n">
        <x:v>2980100</x:v>
      </x:c>
      <x:c r="J19" s="16" t="n">
        <x:v>2857700</x:v>
      </x:c>
      <x:c r="K19" s="16" t="n">
        <x:v>2490500</x:v>
      </x:c>
      <x:c r="L19" s="16" t="n">
        <x:v>2255050</x:v>
      </x:c>
      <x:c r="M19" s="16" t="n">
        <x:v>2907000</x:v>
      </x:c>
      <x:c r="N19" s="16" t="n">
        <x:v>2795650</x:v>
      </x:c>
      <x:c r="O19" s="16" t="n">
        <x:v>2356200</x:v>
      </x:c>
      <x:c r="P19" s="16" t="n">
        <x:v>2682600</x:v>
      </x:c>
      <x:c r="Q19" s="16" t="n">
        <x:f>SUM(E19:P19)</x:f>
        <x:v>31539250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SUMIF(Exportations!$E$10:$E$54,"Chiffre d'affaires MGA",Exportations!$G$10:$G$54)</x:f>
        <x:v>1533754588</x:v>
      </x:c>
      <x:c r="D2" s="16" t="n">
        <x:f>SUMIF(Exportations!$E$10:$E$54,"Chiffre d'affaires MGA",Exportations!$H$10:$H$54)</x:f>
        <x:v>1549077409</x:v>
      </x:c>
      <x:c r="E2" s="16" t="n">
        <x:f>SUMIF(Exportations!$E$10:$E$54,"Chiffre d'affaires MGA",Exportations!$I$10:$I$54)</x:f>
        <x:v>1482527871</x:v>
      </x:c>
      <x:c r="F2" s="16" t="n">
        <x:f>SUMIF(Exportations!$E$10:$E$54,"Chiffre d'affaires MGA",Exportations!$J$10:$J$54)</x:f>
        <x:v>1587906336</x:v>
      </x:c>
      <x:c r="G2" s="16" t="n">
        <x:f>SUMIF(Exportations!$E$10:$E$54,"Chiffre d'affaires MGA",Exportations!$K$10:$K$54)</x:f>
        <x:v>1622932326</x:v>
      </x:c>
      <x:c r="H2" s="16" t="n">
        <x:f>SUMIF(Exportations!$E$10:$E$54,"Chiffre d'affaires MGA",Exportations!$L$10:$L$54)</x:f>
        <x:v>1555849965</x:v>
      </x:c>
      <x:c r="I2" s="16" t="n">
        <x:f>SUMIF(Exportations!$E$10:$E$54,"Chiffre d'affaires MGA",Exportations!$M$10:$M$54)</x:f>
        <x:v>1598232252</x:v>
      </x:c>
      <x:c r="J2" s="16" t="n">
        <x:f>SUMIF(Exportations!$E$10:$E$54,"Chiffre d'affaires MGA",Exportations!$N$10:$N$54)</x:f>
        <x:v>1638366044</x:v>
      </x:c>
      <x:c r="K2" s="16" t="n">
        <x:f>SUMIF(Exportations!$E$10:$E$54,"Chiffre d'affaires MGA",Exportations!$O$10:$O$54)</x:f>
        <x:v>1594302506</x:v>
      </x:c>
      <x:c r="L2" s="16" t="n">
        <x:f>SUMIF(Exportations!$E$10:$E$54,"Chiffre d'affaires MGA",Exportations!$P$10:$P$54)</x:f>
        <x:v>1606333878</x:v>
      </x:c>
      <x:c r="M2" s="16" t="n">
        <x:f>SUMIF(Exportations!$E$10:$E$54,"Chiffre d'affaires MGA",Exportations!$Q$10:$Q$54)</x:f>
        <x:v>1627748925</x:v>
      </x:c>
      <x:c r="N2" s="16" t="n">
        <x:f>SUMIF(Exportations!$E$10:$E$54,"Chiffre d'affaires MGA",Exportations!$R$10:$R$54)</x:f>
        <x:v>1627325228</x:v>
      </x:c>
      <x:c r="O2" s="16" t="n">
        <x:f>SUM(C2:N2)</x:f>
        <x:v>19024357328</x:v>
      </x:c>
    </x:row>
    <x:row r="3">
      <x:c r="A3" t="str">
        <x:v>Charges exploitation</x:v>
      </x:c>
      <x:c r="B3" t="str">
        <x:v>MGA</x:v>
      </x:c>
      <x:c r="C3" s="16" t="n">
        <x:f>SUM(Charges!E2:E26)</x:f>
        <x:v>556123350</x:v>
      </x:c>
      <x:c r="D3" s="16" t="n">
        <x:f>SUM(Charges!F2:F26)</x:f>
        <x:v>532327750</x:v>
      </x:c>
      <x:c r="E3" s="16" t="n">
        <x:f>SUM(Charges!G2:G26)</x:f>
        <x:v>560428750</x:v>
      </x:c>
      <x:c r="F3" s="16" t="n">
        <x:f>SUM(Charges!H2:H26)</x:f>
        <x:v>542132700</x:v>
      </x:c>
      <x:c r="G3" s="16" t="n">
        <x:f>SUM(Charges!I2:I26)</x:f>
        <x:v>545047300</x:v>
      </x:c>
      <x:c r="H3" s="16" t="n">
        <x:f>SUM(Charges!J2:J26)</x:f>
        <x:v>564209750</x:v>
      </x:c>
      <x:c r="I3" s="16" t="n">
        <x:f>SUM(Charges!K2:K26)</x:f>
        <x:v>534888000</x:v>
      </x:c>
      <x:c r="J3" s="16" t="n">
        <x:f>SUM(Charges!L2:L26)</x:f>
        <x:v>564735100</x:v>
      </x:c>
      <x:c r="K3" s="16" t="n">
        <x:f>SUM(Charges!M2:M26)</x:f>
        <x:v>548565150</x:v>
      </x:c>
      <x:c r="L3" s="16" t="n">
        <x:f>SUM(Charges!N2:N26)</x:f>
        <x:v>541640600</x:v>
      </x:c>
      <x:c r="M3" s="16" t="n">
        <x:f>SUM(Charges!O2:O26)</x:f>
        <x:v>545968800</x:v>
      </x:c>
      <x:c r="N3" s="16" t="n">
        <x:f>SUM(Charges!P2:P26)</x:f>
        <x:v>553104250</x:v>
      </x:c>
      <x:c r="O3" s="16" t="n">
        <x:f>SUM(C3:N3)</x:f>
        <x:v>6589171500</x:v>
      </x:c>
    </x:row>
    <x:row r="4">
      <x:c r="A4" t="str">
        <x:v>Frais export</x:v>
      </x:c>
      <x:c r="B4" t="str">
        <x:v>MGA</x:v>
      </x:c>
      <x:c r="C4" s="16" t="n">
        <x:f>SUM('Frais Export'!E2:E19)</x:f>
        <x:v>235236650</x:v>
      </x:c>
      <x:c r="D4" s="16" t="n">
        <x:f>SUM('Frais Export'!F2:F19)</x:f>
        <x:v>220030150</x:v>
      </x:c>
      <x:c r="E4" s="16" t="n">
        <x:f>SUM('Frais Export'!G2:G19)</x:f>
        <x:v>233941250</x:v>
      </x:c>
      <x:c r="F4" s="16" t="n">
        <x:f>SUM('Frais Export'!H2:H19)</x:f>
        <x:v>231490700</x:v>
      </x:c>
      <x:c r="G4" s="16" t="n">
        <x:f>SUM('Frais Export'!I2:I19)</x:f>
        <x:v>232036400</x:v>
      </x:c>
      <x:c r="H4" s="16" t="n">
        <x:f>SUM('Frais Export'!J2:J19)</x:f>
        <x:v>241391500</x:v>
      </x:c>
      <x:c r="I4" s="16" t="n">
        <x:f>SUM('Frais Export'!K2:K19)</x:f>
        <x:v>224825000</x:v>
      </x:c>
      <x:c r="J4" s="16" t="n">
        <x:f>SUM('Frais Export'!L2:L19)</x:f>
        <x:v>241751900</x:v>
      </x:c>
      <x:c r="K4" s="16" t="n">
        <x:f>SUM('Frais Export'!M2:M19)</x:f>
        <x:v>225733650</x:v>
      </x:c>
      <x:c r="L4" s="16" t="n">
        <x:f>SUM('Frais Export'!N2:N19)</x:f>
        <x:v>232467350</x:v>
      </x:c>
      <x:c r="M4" s="16" t="n">
        <x:f>SUM('Frais Export'!O2:O19)</x:f>
        <x:v>228996800</x:v>
      </x:c>
      <x:c r="N4" s="16" t="n">
        <x:f>SUM('Frais Export'!P2:P19)</x:f>
        <x:v>238211650</x:v>
      </x:c>
      <x:c r="O4" s="16" t="n">
        <x:f>SUM(C4:N4)</x:f>
        <x:v>2786113000</x:v>
      </x:c>
    </x:row>
    <x:row r="5">
      <x:c r="A5" t="str">
        <x:v>Masse salariale</x:v>
      </x:c>
      <x:c r="B5" t="str">
        <x:v>MGA</x:v>
      </x:c>
      <x:c r="C5" s="16" t="n">
        <x:f>SUM(Employes!$I$2:$I$61)</x:f>
        <x:v>226488420</x:v>
      </x:c>
      <x:c r="D5" s="16" t="n">
        <x:f>SUM(Employes!$I$2:$I$61)</x:f>
        <x:v>226488420</x:v>
      </x:c>
      <x:c r="E5" s="16" t="n">
        <x:f>SUM(Employes!$I$2:$I$61)</x:f>
        <x:v>226488420</x:v>
      </x:c>
      <x:c r="F5" s="16" t="n">
        <x:f>SUM(Employes!$I$2:$I$61)</x:f>
        <x:v>226488420</x:v>
      </x:c>
      <x:c r="G5" s="16" t="n">
        <x:f>SUM(Employes!$I$2:$I$61)</x:f>
        <x:v>226488420</x:v>
      </x:c>
      <x:c r="H5" s="16" t="n">
        <x:f>SUM(Employes!$I$2:$I$61)</x:f>
        <x:v>226488420</x:v>
      </x:c>
      <x:c r="I5" s="16" t="n">
        <x:f>SUM(Employes!$I$2:$I$61)</x:f>
        <x:v>226488420</x:v>
      </x:c>
      <x:c r="J5" s="16" t="n">
        <x:f>SUM(Employes!$I$2:$I$61)</x:f>
        <x:v>226488420</x:v>
      </x:c>
      <x:c r="K5" s="16" t="n">
        <x:f>SUM(Employes!$I$2:$I$61)</x:f>
        <x:v>226488420</x:v>
      </x:c>
      <x:c r="L5" s="16" t="n">
        <x:f>SUM(Employes!$I$2:$I$61)</x:f>
        <x:v>226488420</x:v>
      </x:c>
      <x:c r="M5" s="16" t="n">
        <x:f>SUM(Employes!$I$2:$I$61)</x:f>
        <x:v>226488420</x:v>
      </x:c>
      <x:c r="N5" s="16" t="n">
        <x:f>SUM(Employes!$I$2:$I$61)</x:f>
        <x:v>226488420</x:v>
      </x:c>
      <x:c r="O5" s="16" t="n">
        <x:f>SUM(C5:N5)</x:f>
        <x:v>2717861040</x:v>
      </x:c>
    </x:row>
    <x:row r="6">
      <x:c r="A6" t="str">
        <x:v>Résultat opérationnel</x:v>
      </x:c>
      <x:c r="B6" t="str">
        <x:v>MGA</x:v>
      </x:c>
      <x:c r="C6" s="16" t="n">
        <x:f>C2-C3-C4-C5</x:f>
        <x:v>515906168</x:v>
      </x:c>
      <x:c r="D6" s="16" t="n">
        <x:f>D2-D3-D4-D5</x:f>
        <x:v>570231089</x:v>
      </x:c>
      <x:c r="E6" s="16" t="n">
        <x:f>E2-E3-E4-E5</x:f>
        <x:v>461669451</x:v>
      </x:c>
      <x:c r="F6" s="16" t="n">
        <x:f>F2-F3-F4-F5</x:f>
        <x:v>587794516</x:v>
      </x:c>
      <x:c r="G6" s="16" t="n">
        <x:f>G2-G3-G4-G5</x:f>
        <x:v>619360206</x:v>
      </x:c>
      <x:c r="H6" s="16" t="n">
        <x:f>H2-H3-H4-H5</x:f>
        <x:v>523760295</x:v>
      </x:c>
      <x:c r="I6" s="16" t="n">
        <x:f>I2-I3-I4-I5</x:f>
        <x:v>612030832</x:v>
      </x:c>
      <x:c r="J6" s="16" t="n">
        <x:f>J2-J3-J4-J5</x:f>
        <x:v>605390624</x:v>
      </x:c>
      <x:c r="K6" s="16" t="n">
        <x:f>K2-K3-K4-K5</x:f>
        <x:v>593515286</x:v>
      </x:c>
      <x:c r="L6" s="16" t="n">
        <x:f>L2-L3-L4-L5</x:f>
        <x:v>605737508</x:v>
      </x:c>
      <x:c r="M6" s="16" t="n">
        <x:f>M2-M3-M4-M5</x:f>
        <x:v>626294905</x:v>
      </x:c>
      <x:c r="N6" s="16" t="n">
        <x:f>N2-N3-N4-N5</x:f>
        <x:v>609520908</x:v>
      </x:c>
      <x:c r="O6" s="16" t="n">
        <x:f>SUM(C6:N6)</x:f>
        <x:v>6931211788</x:v>
      </x:c>
    </x:row>
    <x:row r="7">
      <x:c r="A7" t="str">
        <x:v>Marge opérationnelle</x:v>
      </x:c>
      <x:c r="B7" t="str">
        <x:v>%</x:v>
      </x:c>
      <x:c r="C7" s="20" t="n">
        <x:f>IFERROR(C6/C2,0)</x:f>
        <x:v>0.33636813349177086</x:v>
      </x:c>
      <x:c r="D7" s="20" t="n">
        <x:f>IFERROR(D6/D2,0)</x:f>
        <x:v>0.36811013167386525</x:v>
      </x:c>
      <x:c r="E7" s="20" t="n">
        <x:f>IFERROR(E6/E2,0)</x:f>
        <x:v>0.3114069286863343</x:v>
      </x:c>
      <x:c r="F7" s="20" t="n">
        <x:f>IFERROR(F6/F2,0)</x:f>
        <x:v>0.3701695135751382</x:v>
      </x:c>
      <x:c r="G7" s="20" t="n">
        <x:f>IFERROR(G6/G2,0)</x:f>
        <x:v>0.3816303342275037</x:v>
      </x:c>
      <x:c r="H7" s="20" t="n">
        <x:f>IFERROR(H6/H2,0)</x:f>
        <x:v>0.3366393333434307</x:v>
      </x:c>
      <x:c r="I7" s="20" t="n">
        <x:f>IFERROR(I6/I2,0)</x:f>
        <x:v>0.3829423609954781</x:v>
      </x:c>
      <x:c r="J7" s="20" t="n">
        <x:f>IFERROR(J6/J2,0)</x:f>
        <x:v>0.3695087713866218</x:v>
      </x:c>
      <x:c r="K7" s="20" t="n">
        <x:f>IFERROR(K6/K2,0)</x:f>
        <x:v>0.3722726921436577</x:v>
      </x:c>
      <x:c r="L7" s="20" t="n">
        <x:f>IFERROR(L6/L2,0)</x:f>
        <x:v>0.3770931537310203</x:v>
      </x:c>
      <x:c r="M7" s="20" t="n">
        <x:f>IFERROR(M6/M2,0)</x:f>
        <x:v>0.3847613691405141</x:v>
      </x:c>
      <x:c r="N7" s="20" t="n">
        <x:f>IFERROR(N6/N2,0)</x:f>
        <x:v>0.37455383688060173</x:v>
      </x:c>
      <x:c r="O7" s="20" t="n">
        <x:f>IFERROR(O6/O2,0)</x:f>
        <x:v>0.36433355768600184</x:v>
      </x:c>
    </x:row>
  </x:sheetData>
  <x:pageMargins left="0.7" right="0.7" top="0.75" bottom="0.75" header="0.3" footer="0.3"/>
</x:worksheet>
</file>