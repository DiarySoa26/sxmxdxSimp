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49f85651e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8996509ebd3a4788"/>
    <x:sheet xmlns:r="http://schemas.openxmlformats.org/officeDocument/2006/relationships" name="Employes" sheetId="2" r:id="Rcb01dfa8ca734d0f"/>
    <x:sheet xmlns:r="http://schemas.openxmlformats.org/officeDocument/2006/relationships" name="Production" sheetId="3" r:id="R273d3c24160d4996"/>
    <x:sheet xmlns:r="http://schemas.openxmlformats.org/officeDocument/2006/relationships" name="Charges" sheetId="4" r:id="Rf114ad5226d745d4"/>
    <x:sheet xmlns:r="http://schemas.openxmlformats.org/officeDocument/2006/relationships" name="Exportations" sheetId="5" r:id="Rd4843437311c4f2f"/>
    <x:sheet xmlns:r="http://schemas.openxmlformats.org/officeDocument/2006/relationships" name="Frais Export" sheetId="6" r:id="R7e23caf8702f409d"/>
    <x:sheet xmlns:r="http://schemas.openxmlformats.org/officeDocument/2006/relationships" name="Synthese" sheetId="7" r:id="R6b48495cd02f4fa3"/>
    <x:sheet xmlns:r="http://schemas.openxmlformats.org/officeDocument/2006/relationships" name="CR" sheetId="8" r:id="R05c47032b9ee4cd7"/>
    <x:sheet xmlns:r="http://schemas.openxmlformats.org/officeDocument/2006/relationships" name="Amortissements" sheetId="9" r:id="Rc52a5c39a1594582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<x:sst xmlns:x="http://schemas.openxmlformats.org/spreadsheetml/2006/main">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</x:sst>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d3090073047fb" /><Relationship Type="http://schemas.openxmlformats.org/officeDocument/2006/relationships/theme" Target="/xl/theme/theme1.xml" Id="R692d69f67f204bb5" /><Relationship Type="http://schemas.openxmlformats.org/officeDocument/2006/relationships/sharedStrings" Target="/xl/sharedStrings.xml" Id="Re7b737ad1d634865" /><Relationship Type="http://schemas.openxmlformats.org/officeDocument/2006/relationships/worksheet" Target="/xl/worksheets/sheet1.xml" Id="R8996509ebd3a4788" /><Relationship Type="http://schemas.openxmlformats.org/officeDocument/2006/relationships/worksheet" Target="/xl/worksheets/sheet2.xml" Id="Rcb01dfa8ca734d0f" /><Relationship Type="http://schemas.openxmlformats.org/officeDocument/2006/relationships/worksheet" Target="/xl/worksheets/sheet3.xml" Id="R273d3c24160d4996" /><Relationship Type="http://schemas.openxmlformats.org/officeDocument/2006/relationships/worksheet" Target="/xl/worksheets/sheet4.xml" Id="Rf114ad5226d745d4" /><Relationship Type="http://schemas.openxmlformats.org/officeDocument/2006/relationships/worksheet" Target="/xl/worksheets/sheet5.xml" Id="Rd4843437311c4f2f" /><Relationship Type="http://schemas.openxmlformats.org/officeDocument/2006/relationships/worksheet" Target="/xl/worksheets/sheet6.xml" Id="R7e23caf8702f409d" /><Relationship Type="http://schemas.openxmlformats.org/officeDocument/2006/relationships/worksheet" Target="/xl/worksheets/sheet7.xml" Id="R6b48495cd02f4fa3" /><Relationship Type="http://schemas.openxmlformats.org/officeDocument/2006/relationships/worksheet" Target="/xl/worksheets/sheet8.xml" Id="R05c47032b9ee4cd7" /><Relationship Type="http://schemas.openxmlformats.org/officeDocument/2006/relationships/worksheet" Target="/xl/worksheets/sheet9.xml" Id="Rc52a5c39a159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2016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0.067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3350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30.8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7464000</x:v>
      </x:c>
      <x:c r="G2" s="4" t="n">
        <x:v>746400</x:v>
      </x:c>
      <x:c r="H2" s="4" t="n">
        <x:v>1343400</x:v>
      </x:c>
      <x:c r="I2" s="4" t="n">
        <x:f>SUM(F2:H2)</x:f>
        <x:v>9553800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5592000</x:v>
      </x:c>
      <x:c r="G3" s="4" t="n">
        <x:v>559200</x:v>
      </x:c>
      <x:c r="H3" s="4" t="n">
        <x:v>1006800</x:v>
      </x:c>
      <x:c r="I3" s="4" t="n">
        <x:f>SUM(F3:H3)</x:f>
        <x:v>7158000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3186000</x:v>
      </x:c>
      <x:c r="G4" s="4" t="n">
        <x:v>382200</x:v>
      </x:c>
      <x:c r="H4" s="4" t="n">
        <x:v>573600</x:v>
      </x:c>
      <x:c r="I4" s="4" t="n">
        <x:f>SUM(F4:H4)</x:f>
        <x:v>4141800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2046000</x:v>
      </x:c>
      <x:c r="G5" s="4" t="n">
        <x:v>163800</x:v>
      </x:c>
      <x:c r="H5" s="4" t="n">
        <x:v>368400</x:v>
      </x:c>
      <x:c r="I5" s="4" t="n">
        <x:f>SUM(F5:H5)</x:f>
        <x:v>2578200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1362000</x:v>
      </x:c>
      <x:c r="G6" s="4" t="n">
        <x:v>68400</x:v>
      </x:c>
      <x:c r="H6" s="4" t="n">
        <x:v>245400</x:v>
      </x:c>
      <x:c r="I6" s="4" t="n">
        <x:f>SUM(F6:H6)</x:f>
        <x:v>1675800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2850000</x:v>
      </x:c>
      <x:c r="G7" s="4" t="n">
        <x:v>228000</x:v>
      </x:c>
      <x:c r="H7" s="4" t="n">
        <x:v>513000</x:v>
      </x:c>
      <x:c r="I7" s="4" t="n">
        <x:f>SUM(F7:H7)</x:f>
        <x:v>3591000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3234000</x:v>
      </x:c>
      <x:c r="G8" s="4" t="n">
        <x:v>258600</x:v>
      </x:c>
      <x:c r="H8" s="4" t="n">
        <x:v>582000</x:v>
      </x:c>
      <x:c r="I8" s="4" t="n">
        <x:f>SUM(F8:H8)</x:f>
        <x:v>4074600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1842000</x:v>
      </x:c>
      <x:c r="G9" s="4" t="n">
        <x:v>92400</x:v>
      </x:c>
      <x:c r="H9" s="4" t="n">
        <x:v>331800</x:v>
      </x:c>
      <x:c r="I9" s="4" t="n">
        <x:f>SUM(F9:H9)</x:f>
        <x:v>2266200</x:v>
      </x:c>
      <x:c r="J9" t="str">
        <x:v>Actif</x:v>
      </x:c>
    </x:row>
    <x:row r="10">
      <x:c r="A10" t="str">
        <x:v>EMP-009</x:v>
      </x:c>
      <x:c r="B10" t="str">
        <x:v>RAKOTON Zo</x:v>
      </x:c>
      <x:c r="C10" t="str">
        <x:v>FORT DAUPHIN</x:v>
      </x:c>
      <x:c r="D10" t="str">
        <x:v>Production</x:v>
      </x:c>
      <x:c r="E10" t="str">
        <x:v>Responsable production</x:v>
      </x:c>
      <x:c r="F10" s="4" t="n">
        <x:v>3186000</x:v>
      </x:c>
      <x:c r="G10" s="4" t="n">
        <x:v>382200</x:v>
      </x:c>
      <x:c r="H10" s="4" t="n">
        <x:v>573600</x:v>
      </x:c>
      <x:c r="I10" s="4" t="n">
        <x:f>SUM(F10:H10)</x:f>
        <x:v>4141800</x:v>
      </x:c>
      <x:c r="J10" t="str">
        <x:v>Actif</x:v>
      </x:c>
    </x:row>
    <x:row r="11">
      <x:c r="A11" t="str">
        <x:v>EMP-010</x:v>
      </x:c>
      <x:c r="B11" t="str">
        <x:v>RAZAN Mamy</x:v>
      </x:c>
      <x:c r="C11" t="str">
        <x:v>FORT DAUPHIN</x:v>
      </x:c>
      <x:c r="D11" t="str">
        <x:v>Production</x:v>
      </x:c>
      <x:c r="E11" t="str">
        <x:v>Chef d'atelier</x:v>
      </x:c>
      <x:c r="F11" s="4" t="n">
        <x:v>1992000</x:v>
      </x:c>
      <x:c r="G11" s="4" t="n">
        <x:v>199200</x:v>
      </x:c>
      <x:c r="H11" s="4" t="n">
        <x:v>358800</x:v>
      </x:c>
      <x:c r="I11" s="4" t="n">
        <x:f>SUM(F11:H11)</x:f>
        <x:v>2550000</x:v>
      </x:c>
      <x:c r="J11" t="str">
        <x:v>Actif</x:v>
      </x:c>
    </x:row>
    <x:row r="12">
      <x:c r="A12" t="str">
        <x:v>EMP-011</x:v>
      </x:c>
      <x:c r="B12" t="str">
        <x:v>RABARY Lalaina</x:v>
      </x:c>
      <x:c r="C12" t="str">
        <x:v>FORT DAUPHIN</x:v>
      </x:c>
      <x:c r="D12" t="str">
        <x:v>Production</x:v>
      </x:c>
      <x:c r="E12" t="str">
        <x:v>Contrôleur qualité</x:v>
      </x:c>
      <x:c r="F12" s="4" t="n">
        <x:v>1524000</x:v>
      </x:c>
      <x:c r="G12" s="4" t="n">
        <x:v>121800</x:v>
      </x:c>
      <x:c r="H12" s="4" t="n">
        <x:v>274200</x:v>
      </x:c>
      <x:c r="I12" s="4" t="n">
        <x:f>SUM(F12:H12)</x:f>
        <x:v>1920000</x:v>
      </x:c>
      <x:c r="J12" t="str">
        <x:v>Actif</x:v>
      </x:c>
    </x:row>
    <x:row r="13">
      <x:c r="A13" t="str">
        <x:v>EMP-012</x:v>
      </x:c>
      <x:c r="B13" t="str">
        <x:v>RAKOTOMALALA Tahina</x:v>
      </x:c>
      <x:c r="C13" t="str">
        <x:v>TRANOMARO</x:v>
      </x:c>
      <x:c r="D13" t="str">
        <x:v>Production</x:v>
      </x:c>
      <x:c r="E13" t="str">
        <x:v>Opérateur traitement</x:v>
      </x:c>
      <x:c r="F13" s="4" t="n">
        <x:v>1008000</x:v>
      </x:c>
      <x:c r="G13" s="4" t="n">
        <x:v>80400</x:v>
      </x:c>
      <x:c r="H13" s="4" t="n">
        <x:v>181200</x:v>
      </x:c>
      <x:c r="I13" s="4" t="n">
        <x:f>SUM(F13:H13)</x:f>
        <x:v>1269600</x:v>
      </x:c>
      <x:c r="J13" t="str">
        <x:v>Actif</x:v>
      </x:c>
    </x:row>
    <x:row r="14">
      <x:c r="A14" t="str">
        <x:v>EMP-013</x:v>
      </x:c>
      <x:c r="B14" t="str">
        <x:v>ANDRIAMANANA Soa</x:v>
      </x:c>
      <x:c r="C14" t="str">
        <x:v>FORT DAUPHIN</x:v>
      </x:c>
      <x:c r="D14" t="str">
        <x:v>Production</x:v>
      </x:c>
      <x:c r="E14" t="str">
        <x:v>Coupeuse / trieuse</x:v>
      </x:c>
      <x:c r="F14" s="4" t="n">
        <x:v>768000</x:v>
      </x:c>
      <x:c r="G14" s="4" t="n">
        <x:v>61200</x:v>
      </x:c>
      <x:c r="H14" s="4" t="n">
        <x:v>138000</x:v>
      </x:c>
      <x:c r="I14" s="4" t="n">
        <x:f>SUM(F14:H14)</x:f>
        <x:v>967200</x:v>
      </x:c>
      <x:c r="J14" t="str">
        <x:v>Actif</x:v>
      </x:c>
    </x:row>
    <x:row r="15">
      <x:c r="A15" t="str">
        <x:v>EMP-014</x:v>
      </x:c>
      <x:c r="B15" t="str">
        <x:v>RAZAFINDRAKOTO Nomena</x:v>
      </x:c>
      <x:c r="C15" t="str">
        <x:v>AMBOASARY</x:v>
      </x:c>
      <x:c r="D15" t="str">
        <x:v>Logistique</x:v>
      </x:c>
      <x:c r="E15" t="str">
        <x:v>Responsable logistique</x:v>
      </x:c>
      <x:c r="F15" s="4" t="n">
        <x:v>2292000</x:v>
      </x:c>
      <x:c r="G15" s="4" t="n">
        <x:v>114600</x:v>
      </x:c>
      <x:c r="H15" s="4" t="n">
        <x:v>412800</x:v>
      </x:c>
      <x:c r="I15" s="4" t="n">
        <x:f>SUM(F15:H15)</x:f>
        <x:v>2819400</x:v>
      </x:c>
      <x:c r="J15" t="str">
        <x:v>Actif</x:v>
      </x:c>
    </x:row>
    <x:row r="16">
      <x:c r="A16" t="str">
        <x:v>EMP-015</x:v>
      </x:c>
      <x:c r="B16" t="str">
        <x:v>RANDRIAMBOLOLONA Finaritra</x:v>
      </x:c>
      <x:c r="C16" t="str">
        <x:v>AMPANDRANDAVA</x:v>
      </x:c>
      <x:c r="D16" t="str">
        <x:v>Logistique</x:v>
      </x:c>
      <x:c r="E16" t="str">
        <x:v>Magasinier</x:v>
      </x:c>
      <x:c r="F16" s="4" t="n">
        <x:v>954000</x:v>
      </x:c>
      <x:c r="G16" s="4" t="n">
        <x:v>95400</x:v>
      </x:c>
      <x:c r="H16" s="4" t="n">
        <x:v>171600</x:v>
      </x:c>
      <x:c r="I16" s="4" t="n">
        <x:f>SUM(F16:H16)</x:f>
        <x:v>1221000</x:v>
      </x:c>
      <x:c r="J16" t="str">
        <x:v>Actif</x:v>
      </x:c>
    </x:row>
    <x:row r="17">
      <x:c r="A17" t="str">
        <x:v>EMP-016</x:v>
      </x:c>
      <x:c r="B17" t="str">
        <x:v>RASOLO Harena</x:v>
      </x:c>
      <x:c r="C17" t="str">
        <x:v>AMPANDRANDAVA</x:v>
      </x:c>
      <x:c r="D17" t="str">
        <x:v>Maintenance</x:v>
      </x:c>
      <x:c r="E17" t="str">
        <x:v>Technicien maintenance</x:v>
      </x:c>
      <x:c r="F17" s="4" t="n">
        <x:v>1398000</x:v>
      </x:c>
      <x:c r="G17" s="4" t="n">
        <x:v>168000</x:v>
      </x:c>
      <x:c r="H17" s="4" t="n">
        <x:v>251400</x:v>
      </x:c>
      <x:c r="I17" s="4" t="n">
        <x:f>SUM(F17:H17)</x:f>
        <x:v>1817400</x:v>
      </x:c>
      <x:c r="J17" t="str">
        <x:v>Actif</x:v>
      </x:c>
    </x:row>
    <x:row r="18">
      <x:c r="A18" t="str">
        <x:v>EMP-017</x:v>
      </x:c>
      <x:c r="B18" t="str">
        <x:v>RATSIMBAZAFY Faniry</x:v>
      </x:c>
      <x:c r="C18" t="str">
        <x:v>FORT DAUPHIN</x:v>
      </x:c>
      <x:c r="D18" t="str">
        <x:v>Sécurité</x:v>
      </x:c>
      <x:c r="E18" t="str">
        <x:v>Agent de sécurité</x:v>
      </x:c>
      <x:c r="F18" s="4" t="n">
        <x:v>702000</x:v>
      </x:c>
      <x:c r="G18" s="4" t="n">
        <x:v>56400</x:v>
      </x:c>
      <x:c r="H18" s="4" t="n">
        <x:v>126600</x:v>
      </x:c>
      <x:c r="I18" s="4" t="n">
        <x:f>SUM(F18:H18)</x:f>
        <x:v>885000</x:v>
      </x:c>
      <x:c r="J18" t="str">
        <x:v>Actif</x:v>
      </x:c>
    </x:row>
    <x:row r="19">
      <x:c r="A19" t="str">
        <x:v>EMP-018</x:v>
      </x:c>
      <x:c r="B19" t="str">
        <x:v>RAKOTONDRABE Tsiory</x:v>
      </x:c>
      <x:c r="C19" t="str">
        <x:v>FORT DAUPHIN</x:v>
      </x:c>
      <x:c r="D19" t="str">
        <x:v>Administration</x:v>
      </x:c>
      <x:c r="E19" t="str">
        <x:v>Assistant administratif</x:v>
      </x:c>
      <x:c r="F19" s="4" t="n">
        <x:v>1134000</x:v>
      </x:c>
      <x:c r="G19" s="4" t="n">
        <x:v>90600</x:v>
      </x:c>
      <x:c r="H19" s="4" t="n">
        <x:v>204000</x:v>
      </x:c>
      <x:c r="I19" s="4" t="n">
        <x:f>SUM(F19:H19)</x:f>
        <x:v>1428600</x:v>
      </x:c>
      <x:c r="J19" t="str">
        <x:v>Actif</x:v>
      </x:c>
    </x:row>
    <x:row r="20">
      <x:c r="A20" t="str">
        <x:v>EMP-019</x:v>
      </x:c>
      <x:c r="B20" t="str">
        <x:v>ANDRIANIRINA Mamy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7494000</x:v>
      </x:c>
      <x:c r="G20" s="4" t="n">
        <x:v>599400</x:v>
      </x:c>
      <x:c r="H20" s="4" t="n">
        <x:v>1348800</x:v>
      </x:c>
      <x:c r="I20" s="4" t="n">
        <x:f>SUM(F20:H20)</x:f>
        <x:v>9442200</x:v>
      </x:c>
      <x:c r="J20" t="str">
        <x:v>Actif</x:v>
      </x:c>
    </x:row>
    <x:row r="21">
      <x:c r="A21" t="str">
        <x:v>EMP-020</x:v>
      </x:c>
      <x:c r="B21" t="str">
        <x:v>RABENJA Felana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5508000</x:v>
      </x:c>
      <x:c r="G21" s="4" t="n">
        <x:v>550800</x:v>
      </x:c>
      <x:c r="H21" s="4" t="n">
        <x:v>991200</x:v>
      </x:c>
      <x:c r="I21" s="4" t="n">
        <x:f>SUM(F21:H21)</x:f>
        <x:v>7050000</x:v>
      </x:c>
      <x:c r="J21" t="str">
        <x:v>Actif</x:v>
      </x:c>
    </x:row>
    <x:row r="22">
      <x:c r="A22" t="str">
        <x:v>EMP-021</x:v>
      </x:c>
      <x:c r="B22" t="str">
        <x:v>RAJAONARIVELO Faly</x:v>
      </x:c>
      <x:c r="C22" t="str">
        <x:v>TRANOMARO</x:v>
      </x:c>
      <x:c r="D22" t="str">
        <x:v>Production</x:v>
      </x:c>
      <x:c r="E22" t="str">
        <x:v>Coupeuse / trieuse</x:v>
      </x:c>
      <x:c r="F22" s="4" t="n">
        <x:v>3372000</x:v>
      </x:c>
      <x:c r="G22" s="4" t="n">
        <x:v>404400</x:v>
      </x:c>
      <x:c r="H22" s="4" t="n">
        <x:v>607200</x:v>
      </x:c>
      <x:c r="I22" s="4" t="n">
        <x:f>SUM(F22:H22)</x:f>
        <x:v>4383600</x:v>
      </x:c>
      <x:c r="J22" t="str">
        <x:v>Actif</x:v>
      </x:c>
    </x:row>
    <x:row r="23">
      <x:c r="A23" t="str">
        <x:v>EMP-022</x:v>
      </x:c>
      <x:c r="B23" t="str">
        <x:v>RANORO Haja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2100000</x:v>
      </x:c>
      <x:c r="G23" s="4" t="n">
        <x:v>168000</x:v>
      </x:c>
      <x:c r="H23" s="4" t="n">
        <x:v>378000</x:v>
      </x:c>
      <x:c r="I23" s="4" t="n">
        <x:f>SUM(F23:H23)</x:f>
        <x:v>2646000</x:v>
      </x:c>
      <x:c r="J23" t="str">
        <x:v>Actif</x:v>
      </x:c>
    </x:row>
    <x:row r="24">
      <x:c r="A24" t="str">
        <x:v>EMP-023</x:v>
      </x:c>
      <x:c r="B24" t="str">
        <x:v>RAKOTOARISOA Tsanta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1260000</x:v>
      </x:c>
      <x:c r="G24" s="4" t="n">
        <x:v>63000</x:v>
      </x:c>
      <x:c r="H24" s="4" t="n">
        <x:v>226800</x:v>
      </x:c>
      <x:c r="I24" s="4" t="n">
        <x:f>SUM(F24:H24)</x:f>
        <x:v>1549800</x:v>
      </x:c>
      <x:c r="J24" t="str">
        <x:v>Actif</x:v>
      </x:c>
    </x:row>
    <x:row r="25">
      <x:c r="A25" t="str">
        <x:v>EMP-024</x:v>
      </x:c>
      <x:c r="B25" t="str">
        <x:v>RASOANIRINA Lova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2784000</x:v>
      </x:c>
      <x:c r="G25" s="4" t="n">
        <x:v>139200</x:v>
      </x:c>
      <x:c r="H25" s="4" t="n">
        <x:v>501000</x:v>
      </x:c>
      <x:c r="I25" s="4" t="n">
        <x:f>SUM(F25:H25)</x:f>
        <x:v>3424200</x:v>
      </x:c>
      <x:c r="J25" t="str">
        <x:v>Actif</x:v>
      </x:c>
    </x:row>
    <x:row r="26">
      <x:c r="A26" t="str">
        <x:v>EMP-025</x:v>
      </x:c>
      <x:c r="B26" t="str">
        <x:v>ANDRIAMAHENINA Onja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3090000</x:v>
      </x:c>
      <x:c r="G26" s="4" t="n">
        <x:v>247200</x:v>
      </x:c>
      <x:c r="H26" s="4" t="n">
        <x:v>556200</x:v>
      </x:c>
      <x:c r="I26" s="4" t="n">
        <x:f>SUM(F26:H26)</x:f>
        <x:v>3893400</x:v>
      </x:c>
      <x:c r="J26" t="str">
        <x:v>Actif</x:v>
      </x:c>
    </x:row>
    <x:row r="27">
      <x:c r="A27" t="str">
        <x:v>EMP-026</x:v>
      </x:c>
      <x:c r="B27" t="str">
        <x:v>RAKOTOMANGA Fitia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1626000</x:v>
      </x:c>
      <x:c r="G27" s="4" t="n">
        <x:v>162600</x:v>
      </x:c>
      <x:c r="H27" s="4" t="n">
        <x:v>292800</x:v>
      </x:c>
      <x:c r="I27" s="4" t="n">
        <x:f>SUM(F27:H27)</x:f>
        <x:v>2081400</x:v>
      </x:c>
      <x:c r="J27" t="str">
        <x:v>Actif</x:v>
      </x:c>
    </x:row>
    <x:row r="28">
      <x:c r="A28" t="str">
        <x:v>EMP-027</x:v>
      </x:c>
      <x:c r="B28" t="str">
        <x:v>RAKOTOVAO Tovo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3102000</x:v>
      </x:c>
      <x:c r="G28" s="4" t="n">
        <x:v>310200</x:v>
      </x:c>
      <x:c r="H28" s="4" t="n">
        <x:v>558600</x:v>
      </x:c>
      <x:c r="I28" s="4" t="n">
        <x:f>SUM(F28:H28)</x:f>
        <x:v>3970800</x:v>
      </x:c>
      <x:c r="J28" t="str">
        <x:v>Actif</x:v>
      </x:c>
    </x:row>
    <x:row r="29">
      <x:c r="A29" t="str">
        <x:v>EMP-028</x:v>
      </x:c>
      <x:c r="B29" t="str">
        <x:v>RANDRIANASOLO Mendrika</x:v>
      </x:c>
      <x:c r="C29" t="str">
        <x:v>ANIVORANO</x:v>
      </x:c>
      <x:c r="D29" t="str">
        <x:v>Production</x:v>
      </x:c>
      <x:c r="E29" t="str">
        <x:v>Coupeuse / trieuse</x:v>
      </x:c>
      <x:c r="F29" s="4" t="n">
        <x:v>2034000</x:v>
      </x:c>
      <x:c r="G29" s="4" t="n">
        <x:v>244200</x:v>
      </x:c>
      <x:c r="H29" s="4" t="n">
        <x:v>366000</x:v>
      </x:c>
      <x:c r="I29" s="4" t="n">
        <x:f>SUM(F29:H29)</x:f>
        <x:v>2644200</x:v>
      </x:c>
      <x:c r="J29" t="str">
        <x:v>Actif</x:v>
      </x:c>
    </x:row>
    <x:row r="30">
      <x:c r="A30" t="str">
        <x:v>EMP-029</x:v>
      </x:c>
      <x:c r="B30" t="str">
        <x:v>RAVELO Aro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1452000</x:v>
      </x:c>
      <x:c r="G30" s="4" t="n">
        <x:v>145200</x:v>
      </x:c>
      <x:c r="H30" s="4" t="n">
        <x:v>261600</x:v>
      </x:c>
      <x:c r="I30" s="4" t="n">
        <x:f>SUM(F30:H30)</x:f>
        <x:v>1858800</x:v>
      </x:c>
      <x:c r="J30" t="str">
        <x:v>Actif</x:v>
      </x:c>
    </x:row>
    <x:row r="31">
      <x:c r="A31" t="str">
        <x:v>EMP-030</x:v>
      </x:c>
      <x:c r="B31" t="str">
        <x:v>RAZAFIMAHATRATRA Vola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1032000</x:v>
      </x:c>
      <x:c r="G31" s="4" t="n">
        <x:v>103200</x:v>
      </x:c>
      <x:c r="H31" s="4" t="n">
        <x:v>186000</x:v>
      </x:c>
      <x:c r="I31" s="4" t="n">
        <x:f>SUM(F31:H31)</x:f>
        <x:v>1321200</x:v>
      </x:c>
      <x:c r="J31" t="str">
        <x:v>Actif</x:v>
      </x:c>
    </x:row>
    <x:row r="32">
      <x:c r="A32" t="str">
        <x:v>EMP-031</x:v>
      </x:c>
      <x:c r="B32" t="str">
        <x:v>RAKOTOVOLOLONA Rado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780000</x:v>
      </x:c>
      <x:c r="G32" s="4" t="n">
        <x:v>62400</x:v>
      </x:c>
      <x:c r="H32" s="4" t="n">
        <x:v>140400</x:v>
      </x:c>
      <x:c r="I32" s="4" t="n">
        <x:f>SUM(F32:H32)</x:f>
        <x:v>982800</x:v>
      </x:c>
      <x:c r="J32" t="str">
        <x:v>Actif</x:v>
      </x:c>
    </x:row>
    <x:row r="33">
      <x:c r="A33" t="str">
        <x:v>EMP-032</x:v>
      </x:c>
      <x:c r="B33" t="str">
        <x:v>RABEMANANJARA Hery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2274000</x:v>
      </x:c>
      <x:c r="G33" s="4" t="n">
        <x:v>181800</x:v>
      </x:c>
      <x:c r="H33" s="4" t="n">
        <x:v>409200</x:v>
      </x:c>
      <x:c r="I33" s="4" t="n">
        <x:f>SUM(F33:H33)</x:f>
        <x:v>2865000</x:v>
      </x:c>
      <x:c r="J33" t="str">
        <x:v>Actif</x:v>
      </x:c>
    </x:row>
    <x:row r="34">
      <x:c r="A34" t="str">
        <x:v>EMP-033</x:v>
      </x:c>
      <x:c r="B34" t="str">
        <x:v>RAKOTOZAFY Mialy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1032000</x:v>
      </x:c>
      <x:c r="G34" s="4" t="n">
        <x:v>51600</x:v>
      </x:c>
      <x:c r="H34" s="4" t="n">
        <x:v>186000</x:v>
      </x:c>
      <x:c r="I34" s="4" t="n">
        <x:f>SUM(F34:H34)</x:f>
        <x:v>1269600</x:v>
      </x:c>
      <x:c r="J34" t="str">
        <x:v>Actif</x:v>
      </x:c>
    </x:row>
    <x:row r="35">
      <x:c r="A35" t="str">
        <x:v>EMP-034</x:v>
      </x:c>
      <x:c r="B35" t="str">
        <x:v>RAZAFINDRAKOTOA Ando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1476000</x:v>
      </x:c>
      <x:c r="G35" s="4" t="n">
        <x:v>177000</x:v>
      </x:c>
      <x:c r="H35" s="4" t="n">
        <x:v>265800</x:v>
      </x:c>
      <x:c r="I35" s="4" t="n">
        <x:f>SUM(F35:H35)</x:f>
        <x:v>1918800</x:v>
      </x:c>
      <x:c r="J35" t="str">
        <x:v>Actif</x:v>
      </x:c>
    </x:row>
    <x:row r="36">
      <x:c r="A36" t="str">
        <x:v>EMP-035</x:v>
      </x:c>
      <x:c r="B36" t="str">
        <x:v>RANAIVO Nantenaina</x:v>
      </x:c>
      <x:c r="C36" t="str">
        <x:v>FORT DAUPHIN</x:v>
      </x:c>
      <x:c r="D36" t="str">
        <x:v>Production</x:v>
      </x:c>
      <x:c r="E36" t="str">
        <x:v>Coupeuse / trieuse</x:v>
      </x:c>
      <x:c r="F36" s="4" t="n">
        <x:v>744000</x:v>
      </x:c>
      <x:c r="G36" s="4" t="n">
        <x:v>37200</x:v>
      </x:c>
      <x:c r="H36" s="4" t="n">
        <x:v>133800</x:v>
      </x:c>
      <x:c r="I36" s="4" t="n">
        <x:f>SUM(F36:H36)</x:f>
        <x:v>915000</x:v>
      </x:c>
      <x:c r="J36" t="str">
        <x:v>Actif</x:v>
      </x:c>
    </x:row>
    <x:row r="37">
      <x:c r="A37" t="str">
        <x:v>EMP-036</x:v>
      </x:c>
      <x:c r="B37" t="str">
        <x:v>RABEHARISOA Nirina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1056000</x:v>
      </x:c>
      <x:c r="G37" s="4" t="n">
        <x:v>84600</x:v>
      </x:c>
      <x:c r="H37" s="4" t="n">
        <x:v>190200</x:v>
      </x:c>
      <x:c r="I37" s="4" t="n">
        <x:f>SUM(F37:H37)</x:f>
        <x:v>1330800</x:v>
      </x:c>
      <x:c r="J37" t="str">
        <x:v>Actif</x:v>
      </x:c>
    </x:row>
    <x:row r="38">
      <x:c r="A38" t="str">
        <x:v>EMP-037</x:v>
      </x:c>
      <x:c r="B38" t="str">
        <x:v>RAKOTOMIARANA Toky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7152000</x:v>
      </x:c>
      <x:c r="G38" s="4" t="n">
        <x:v>357600</x:v>
      </x:c>
      <x:c r="H38" s="4" t="n">
        <x:v>1287600</x:v>
      </x:c>
      <x:c r="I38" s="4" t="n">
        <x:f>SUM(F38:H38)</x:f>
        <x:v>8797200</x:v>
      </x:c>
      <x:c r="J38" t="str">
        <x:v>Actif</x:v>
      </x:c>
    </x:row>
    <x:row r="39">
      <x:c r="A39" t="str">
        <x:v>EMP-038</x:v>
      </x:c>
      <x:c r="B39" t="str">
        <x:v>ANDRIATSIMBA Tiana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5118000</x:v>
      </x:c>
      <x:c r="G39" s="4" t="n">
        <x:v>614400</x:v>
      </x:c>
      <x:c r="H39" s="4" t="n">
        <x:v>921000</x:v>
      </x:c>
      <x:c r="I39" s="4" t="n">
        <x:f>SUM(F39:H39)</x:f>
        <x:v>6653400</x:v>
      </x:c>
      <x:c r="J39" t="str">
        <x:v>Actif</x:v>
      </x:c>
    </x:row>
    <x:row r="40">
      <x:c r="A40" t="str">
        <x:v>EMP-039</x:v>
      </x:c>
      <x:c r="B40" t="str">
        <x:v>RASOAMALALA Sitraka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3234000</x:v>
      </x:c>
      <x:c r="G40" s="4" t="n">
        <x:v>258600</x:v>
      </x:c>
      <x:c r="H40" s="4" t="n">
        <x:v>582000</x:v>
      </x:c>
      <x:c r="I40" s="4" t="n">
        <x:f>SUM(F40:H40)</x:f>
        <x:v>4074600</x:v>
      </x:c>
      <x:c r="J40" t="str">
        <x:v>Actif</x:v>
      </x:c>
    </x:row>
    <x:row r="41">
      <x:c r="A41" t="str">
        <x:v>EMP-040</x:v>
      </x:c>
      <x:c r="B41" t="str">
        <x:v>RAZAFINDRABE Aina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2076000</x:v>
      </x:c>
      <x:c r="G41" s="4" t="n">
        <x:v>103800</x:v>
      </x:c>
      <x:c r="H41" s="4" t="n">
        <x:v>373800</x:v>
      </x:c>
      <x:c r="I41" s="4" t="n">
        <x:f>SUM(F41:H41)</x:f>
        <x:v>2553600</x:v>
      </x:c>
      <x:c r="J41" t="str">
        <x:v>Actif</x:v>
      </x:c>
    </x:row>
    <x:row r="42">
      <x:c r="A42" t="str">
        <x:v>EMP-041</x:v>
      </x:c>
      <x:c r="B42" t="str">
        <x:v>RATSIMANDRESY Fanja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1332000</x:v>
      </x:c>
      <x:c r="G42" s="4" t="n">
        <x:v>133200</x:v>
      </x:c>
      <x:c r="H42" s="4" t="n">
        <x:v>240000</x:v>
      </x:c>
      <x:c r="I42" s="4" t="n">
        <x:f>SUM(F42:H42)</x:f>
        <x:v>1705200</x:v>
      </x:c>
      <x:c r="J42" t="str">
        <x:v>Actif</x:v>
      </x:c>
    </x:row>
    <x:row r="43">
      <x:c r="A43" t="str">
        <x:v>EMP-042</x:v>
      </x:c>
      <x:c r="B43" t="str">
        <x:v>RAKOTONIRINA Miora</x:v>
      </x:c>
      <x:c r="C43" t="str">
        <x:v>AMPANDRANDAVA</x:v>
      </x:c>
      <x:c r="D43" t="str">
        <x:v>Production</x:v>
      </x:c>
      <x:c r="E43" t="str">
        <x:v>Coupeuse / trieuse</x:v>
      </x:c>
      <x:c r="F43" s="4" t="n">
        <x:v>2550000</x:v>
      </x:c>
      <x:c r="G43" s="4" t="n">
        <x:v>204000</x:v>
      </x:c>
      <x:c r="H43" s="4" t="n">
        <x:v>459000</x:v>
      </x:c>
      <x:c r="I43" s="4" t="n">
        <x:f>SUM(F43:H43)</x:f>
        <x:v>3213000</x:v>
      </x:c>
      <x:c r="J43" t="str">
        <x:v>Actif</x:v>
      </x:c>
    </x:row>
    <x:row r="44">
      <x:c r="A44" t="str">
        <x:v>EMP-043</x:v>
      </x:c>
      <x:c r="B44" t="str">
        <x:v>RANDRIAMIHAMINA Hasina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3186000</x:v>
      </x:c>
      <x:c r="G44" s="4" t="n">
        <x:v>255000</x:v>
      </x:c>
      <x:c r="H44" s="4" t="n">
        <x:v>573600</x:v>
      </x:c>
      <x:c r="I44" s="4" t="n">
        <x:f>SUM(F44:H44)</x:f>
        <x:v>4014600</x:v>
      </x:c>
      <x:c r="J44" t="str">
        <x:v>Actif</x:v>
      </x:c>
    </x:row>
    <x:row r="45">
      <x:c r="A45" t="str">
        <x:v>EMP-044</x:v>
      </x:c>
      <x:c r="B45" t="str">
        <x:v>RABEZAFY Feno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1782000</x:v>
      </x:c>
      <x:c r="G45" s="4" t="n">
        <x:v>213600</x:v>
      </x:c>
      <x:c r="H45" s="4" t="n">
        <x:v>321000</x:v>
      </x:c>
      <x:c r="I45" s="4" t="n">
        <x:f>SUM(F45:H45)</x:f>
        <x:v>2316600</x:v>
      </x:c>
      <x:c r="J45" t="str">
        <x:v>Actif</x:v>
      </x:c>
    </x:row>
    <x:row r="46">
      <x:c r="A46" t="str">
        <x:v>EMP-045</x:v>
      </x:c>
      <x:c r="B46" t="str">
        <x:v>RANOMENJANAHARY Kanto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3024000</x:v>
      </x:c>
      <x:c r="G46" s="4" t="n">
        <x:v>363000</x:v>
      </x:c>
      <x:c r="H46" s="4" t="n">
        <x:v>544200</x:v>
      </x:c>
      <x:c r="I46" s="4" t="n">
        <x:f>SUM(F46:H46)</x:f>
        <x:v>3931200</x:v>
      </x:c>
      <x:c r="J46" t="str">
        <x:v>Actif</x:v>
      </x:c>
    </x:row>
    <x:row r="47">
      <x:c r="A47" t="str">
        <x:v>EMP-046</x:v>
      </x:c>
      <x:c r="B47" t="str">
        <x:v>RAKOTONIAINA Mamy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2022000</x:v>
      </x:c>
      <x:c r="G47" s="4" t="n">
        <x:v>162000</x:v>
      </x:c>
      <x:c r="H47" s="4" t="n">
        <x:v>364200</x:v>
      </x:c>
      <x:c r="I47" s="4" t="n">
        <x:f>SUM(F47:H47)</x:f>
        <x:v>2548200</x:v>
      </x:c>
      <x:c r="J47" t="str">
        <x:v>Actif</x:v>
      </x:c>
    </x:row>
    <x:row r="48">
      <x:c r="A48" t="str">
        <x:v>EMP-047</x:v>
      </x:c>
      <x:c r="B48" t="str">
        <x:v>RASOARIMALALA Tafita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1650000</x:v>
      </x:c>
      <x:c r="G48" s="4" t="n">
        <x:v>198000</x:v>
      </x:c>
      <x:c r="H48" s="4" t="n">
        <x:v>297000</x:v>
      </x:c>
      <x:c r="I48" s="4" t="n">
        <x:f>SUM(F48:H48)</x:f>
        <x:v>2145000</x:v>
      </x:c>
      <x:c r="J48" t="str">
        <x:v>Actif</x:v>
      </x:c>
    </x:row>
    <x:row r="49">
      <x:c r="A49" t="str">
        <x:v>EMP-048</x:v>
      </x:c>
      <x:c r="B49" t="str">
        <x:v>ANDRIANJAFY Rija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960000</x:v>
      </x:c>
      <x:c r="G49" s="4" t="n">
        <x:v>76800</x:v>
      </x:c>
      <x:c r="H49" s="4" t="n">
        <x:v>172800</x:v>
      </x:c>
      <x:c r="I49" s="4" t="n">
        <x:f>SUM(F49:H49)</x:f>
        <x:v>1209600</x:v>
      </x:c>
      <x:c r="J49" t="str">
        <x:v>Actif</x:v>
      </x:c>
    </x:row>
    <x:row r="50">
      <x:c r="A50" t="str">
        <x:v>EMP-049</x:v>
      </x:c>
      <x:c r="B50" t="str">
        <x:v>RAKOTOMAHERY Vero</x:v>
      </x:c>
      <x:c r="C50" t="str">
        <x:v>TRANOMARO</x:v>
      </x:c>
      <x:c r="D50" t="str">
        <x:v>Production</x:v>
      </x:c>
      <x:c r="E50" t="str">
        <x:v>Coupeuse / trieuse</x:v>
      </x:c>
      <x:c r="F50" s="4" t="n">
        <x:v>768000</x:v>
      </x:c>
      <x:c r="G50" s="4" t="n">
        <x:v>61200</x:v>
      </x:c>
      <x:c r="H50" s="4" t="n">
        <x:v>138000</x:v>
      </x:c>
      <x:c r="I50" s="4" t="n">
        <x:f>SUM(F50:H50)</x:f>
        <x:v>967200</x:v>
      </x:c>
      <x:c r="J50" t="str">
        <x:v>Actif</x:v>
      </x:c>
    </x:row>
    <x:row r="51">
      <x:c r="A51" t="str">
        <x:v>EMP-050</x:v>
      </x:c>
      <x:c r="B51" t="str">
        <x:v>RAKOTONDRAJAO Lanto</x:v>
      </x:c>
      <x:c r="C51" t="str">
        <x:v>ANIVORANO</x:v>
      </x:c>
      <x:c r="D51" t="str">
        <x:v>Production</x:v>
      </x:c>
      <x:c r="E51" t="str">
        <x:v>Coupeuse / trieuse</x:v>
      </x:c>
      <x:c r="F51" s="4" t="n">
        <x:v>2472000</x:v>
      </x:c>
      <x:c r="G51" s="4" t="n">
        <x:v>123600</x:v>
      </x:c>
      <x:c r="H51" s="4" t="n">
        <x:v>445200</x:v>
      </x:c>
      <x:c r="I51" s="4" t="n">
        <x:f>SUM(F51:H51)</x:f>
        <x:v>3040800</x:v>
      </x:c>
      <x:c r="J51" t="str">
        <x:v>Actif</x:v>
      </x:c>
    </x:row>
    <x:row r="52">
      <x:c r="A52" t="str">
        <x:v>EMP-051</x:v>
      </x:c>
      <x:c r="B52" t="str">
        <x:v>RANDRIANANTENAINA Rindra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912000</x:v>
      </x:c>
      <x:c r="G52" s="4" t="n">
        <x:v>73200</x:v>
      </x:c>
      <x:c r="H52" s="4" t="n">
        <x:v>164400</x:v>
      </x:c>
      <x:c r="I52" s="4" t="n">
        <x:f>SUM(F52:H52)</x:f>
        <x:v>1149600</x:v>
      </x:c>
      <x:c r="J52" t="str">
        <x:v>Actif</x:v>
      </x:c>
    </x:row>
    <x:row r="53">
      <x:c r="A53" t="str">
        <x:v>EMP-052</x:v>
      </x:c>
      <x:c r="B53" t="str">
        <x:v>RAVAOARISOA Miary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1362000</x:v>
      </x:c>
      <x:c r="G53" s="4" t="n">
        <x:v>68400</x:v>
      </x:c>
      <x:c r="H53" s="4" t="n">
        <x:v>245400</x:v>
      </x:c>
      <x:c r="I53" s="4" t="n">
        <x:f>SUM(F53:H53)</x:f>
        <x:v>1675800</x:v>
      </x:c>
      <x:c r="J53" t="str">
        <x:v>Actif</x:v>
      </x:c>
    </x:row>
    <x:row r="54">
      <x:c r="A54" t="str">
        <x:v>EMP-053</x:v>
      </x:c>
      <x:c r="B54" t="str">
        <x:v>RAZAFIMANANTSOA Solo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714000</x:v>
      </x:c>
      <x:c r="G54" s="4" t="n">
        <x:v>85800</x:v>
      </x:c>
      <x:c r="H54" s="4" t="n">
        <x:v>128400</x:v>
      </x:c>
      <x:c r="I54" s="4" t="n">
        <x:f>SUM(F54:H54)</x:f>
        <x:v>928200</x:v>
      </x:c>
      <x:c r="J54" t="str">
        <x:v>Actif</x:v>
      </x:c>
    </x:row>
    <x:row r="55">
      <x:c r="A55" t="str">
        <x:v>EMP-054</x:v>
      </x:c>
      <x:c r="B55" t="str">
        <x:v>RAKOTONANAHARY Noro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1056000</x:v>
      </x:c>
      <x:c r="G55" s="4" t="n">
        <x:v>105600</x:v>
      </x:c>
      <x:c r="H55" s="4" t="n">
        <x:v>190200</x:v>
      </x:c>
      <x:c r="I55" s="4" t="n">
        <x:f>SUM(F55:H55)</x:f>
        <x:v>1351800</x:v>
      </x:c>
      <x:c r="J55" t="str">
        <x:v>Actif</x:v>
      </x:c>
    </x:row>
    <x:row r="56">
      <x:c r="A56" t="str">
        <x:v>EMP-055</x:v>
      </x:c>
      <x:c r="B56" t="str">
        <x:v>RABEFENO Rina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7308000</x:v>
      </x:c>
      <x:c r="G56" s="4" t="n">
        <x:v>730800</x:v>
      </x:c>
      <x:c r="H56" s="4" t="n">
        <x:v>1315200</x:v>
      </x:c>
      <x:c r="I56" s="4" t="n">
        <x:f>SUM(F56:H56)</x:f>
        <x:v>9354000</x:v>
      </x:c>
      <x:c r="J56" t="str">
        <x:v>Actif</x:v>
      </x:c>
    </x:row>
    <x:row r="57">
      <x:c r="A57" t="str">
        <x:v>EMP-056</x:v>
      </x:c>
      <x:c r="B57" t="str">
        <x:v>RAKOTOMANANA Tina</x:v>
      </x:c>
      <x:c r="C57" t="str">
        <x:v>ANIVORANO</x:v>
      </x:c>
      <x:c r="D57" t="str">
        <x:v>Production</x:v>
      </x:c>
      <x:c r="E57" t="str">
        <x:v>Contrôleur qualité</x:v>
      </x:c>
      <x:c r="F57" s="4" t="n">
        <x:v>5106000</x:v>
      </x:c>
      <x:c r="G57" s="4" t="n">
        <x:v>255600</x:v>
      </x:c>
      <x:c r="H57" s="4" t="n">
        <x:v>919200</x:v>
      </x:c>
      <x:c r="I57" s="4" t="n">
        <x:f>SUM(F57:H57)</x:f>
        <x:v>6280800</x:v>
      </x:c>
      <x:c r="J57" t="str">
        <x:v>Actif</x:v>
      </x:c>
    </x:row>
    <x:row r="58">
      <x:c r="A58" t="str">
        <x:v>EMP-057</x:v>
      </x:c>
      <x:c r="B58" t="str">
        <x:v>RAKOTONANTENAINA Zo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3294000</x:v>
      </x:c>
      <x:c r="G58" s="4" t="n">
        <x:v>164400</x:v>
      </x:c>
      <x:c r="H58" s="4" t="n">
        <x:v>592800</x:v>
      </x:c>
      <x:c r="I58" s="4" t="n">
        <x:f>SUM(F58:H58)</x:f>
        <x:v>4051200</x:v>
      </x:c>
      <x:c r="J58" t="str">
        <x:v>Actif</x:v>
      </x:c>
    </x:row>
    <x:row r="59">
      <x:c r="A59" t="str">
        <x:v>EMP-058</x:v>
      </x:c>
      <x:c r="B59" t="str">
        <x:v>RANDRIATSARA Rado</x:v>
      </x:c>
      <x:c r="C59" t="str">
        <x:v>FORT DAUPHIN</x:v>
      </x:c>
      <x:c r="D59" t="str">
        <x:v>Production</x:v>
      </x:c>
      <x:c r="E59" t="str">
        <x:v>Contrôleur qualité</x:v>
      </x:c>
      <x:c r="F59" s="4" t="n">
        <x:v>1920000</x:v>
      </x:c>
      <x:c r="G59" s="4" t="n">
        <x:v>96000</x:v>
      </x:c>
      <x:c r="H59" s="4" t="n">
        <x:v>345600</x:v>
      </x:c>
      <x:c r="I59" s="4" t="n">
        <x:f>SUM(F59:H59)</x:f>
        <x:v>2361600</x:v>
      </x:c>
      <x:c r="J59" t="str">
        <x:v>Actif</x:v>
      </x:c>
    </x:row>
    <x:row r="60">
      <x:c r="A60" t="str">
        <x:v>EMP-059</x:v>
      </x:c>
      <x:c r="B60" t="str">
        <x:v>RASOLOFONIAINA Fetra</x:v>
      </x:c>
      <x:c r="C60" t="str">
        <x:v>FORT DAUPHIN</x:v>
      </x:c>
      <x:c r="D60" t="str">
        <x:v>Production</x:v>
      </x:c>
      <x:c r="E60" t="str">
        <x:v>Contrôleur qualité</x:v>
      </x:c>
      <x:c r="F60" s="4" t="n">
        <x:v>1278000</x:v>
      </x:c>
      <x:c r="G60" s="4" t="n">
        <x:v>127800</x:v>
      </x:c>
      <x:c r="H60" s="4" t="n">
        <x:v>229800</x:v>
      </x:c>
      <x:c r="I60" s="4" t="n">
        <x:f>SUM(F60:H60)</x:f>
        <x:v>1635600</x:v>
      </x:c>
      <x:c r="J60" t="str">
        <x:v>Actif</x:v>
      </x:c>
    </x:row>
    <x:row r="61">
      <x:c r="A61" t="str">
        <x:v>EMP-060</x:v>
      </x:c>
      <x:c r="B61" t="str">
        <x:v>RAKOTOVONINA Rova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2580000</x:v>
      </x:c>
      <x:c r="G61" s="4" t="n">
        <x:v>309600</x:v>
      </x:c>
      <x:c r="H61" s="4" t="n">
        <x:v>464400</x:v>
      </x:c>
      <x:c r="I61" s="4" t="n">
        <x:f>SUM(F61:H61)</x:f>
        <x:v>3354000</x:v>
      </x:c>
      <x:c r="J61" t="str">
        <x:v>Actif</x:v>
      </x:c>
    </x:row>
    <x:row r="62">
      <x:c r="A62" t="str">
        <x:v>EMP-061</x:v>
      </x:c>
      <x:c r="B62" t="str">
        <x:v>RAKOTOBE Feno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380000</x:v>
      </x:c>
      <x:c r="G62" t="n">
        <x:v>30000</x:v>
      </x:c>
      <x:c r="H62" t="n">
        <x:v>53000</x:v>
      </x:c>
      <x:c r="I62" t="n">
        <x:f>SUM(F62:H62)</x:f>
        <x:v>463000</x:v>
      </x:c>
      <x:c r="J62" t="str">
        <x:v>Actif</x:v>
      </x:c>
    </x:row>
    <x:row r="63">
      <x:c r="A63" t="str">
        <x:v>EMP-062</x:v>
      </x:c>
      <x:c r="B63" t="str">
        <x:v>RANDRIANARISOA Rindra</x:v>
      </x:c>
      <x:c r="C63" t="str">
        <x:v>FORT DAUPHIN</x:v>
      </x:c>
      <x:c r="D63" t="str">
        <x:v>Production</x:v>
      </x:c>
      <x:c r="E63" t="str">
        <x:v>Manutentionnaire</x:v>
      </x:c>
      <x:c r="F63" t="n">
        <x:v>380000</x:v>
      </x:c>
      <x:c r="G63" t="n">
        <x:v>30000</x:v>
      </x:c>
      <x:c r="H63" t="n">
        <x:v>53000</x:v>
      </x:c>
      <x:c r="I63" t="n">
        <x:f>SUM(F63:H63)</x:f>
        <x:v>463000</x:v>
      </x:c>
      <x:c r="J63" t="str">
        <x:v>Actif</x:v>
      </x:c>
    </x:row>
    <x:row r="64">
      <x:c r="A64" t="str">
        <x:v>EMP-063</x:v>
      </x:c>
      <x:c r="B64" t="str">
        <x:v>RAZAFITSARA Aina</x:v>
      </x:c>
      <x:c r="C64" t="str">
        <x:v>FORT DAUPHIN</x:v>
      </x:c>
      <x:c r="D64" t="str">
        <x:v>Production</x:v>
      </x:c>
      <x:c r="E64" t="str">
        <x:v>Manutentionnaire</x:v>
      </x:c>
      <x:c r="F64" t="n">
        <x:v>380000</x:v>
      </x:c>
      <x:c r="G64" t="n">
        <x:v>30000</x:v>
      </x:c>
      <x:c r="H64" t="n">
        <x:v>53000</x:v>
      </x:c>
      <x:c r="I64" t="n">
        <x:f>SUM(F64:H64)</x:f>
        <x:v>463000</x:v>
      </x:c>
      <x:c r="J64" t="str">
        <x:v>Actif</x:v>
      </x:c>
    </x:row>
    <x:row r="65">
      <x:c r="A65" t="str">
        <x:v>EMP-064</x:v>
      </x:c>
      <x:c r="B65" t="str">
        <x:v>RABENARIVO Tiana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380000</x:v>
      </x:c>
      <x:c r="G65" t="n">
        <x:v>30000</x:v>
      </x:c>
      <x:c r="H65" t="n">
        <x:v>53000</x:v>
      </x:c>
      <x:c r="I65" t="n">
        <x:f>SUM(F65:H65)</x:f>
        <x:v>463000</x:v>
      </x:c>
      <x:c r="J65" t="str">
        <x:v>Actif</x:v>
      </x:c>
    </x:row>
    <x:row r="66">
      <x:c r="A66" t="str">
        <x:v>EMP-065</x:v>
      </x:c>
      <x:c r="B66" t="str">
        <x:v>RAKOTOFENO Lova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380000</x:v>
      </x:c>
      <x:c r="G66" t="n">
        <x:v>30000</x:v>
      </x:c>
      <x:c r="H66" t="n">
        <x:v>53000</x:v>
      </x:c>
      <x:c r="I66" t="n">
        <x:f>SUM(F66:H66)</x:f>
        <x:v>463000</x:v>
      </x:c>
      <x:c r="J66" t="str">
        <x:v>Actif</x:v>
      </x:c>
    </x:row>
    <x:row r="67">
      <x:c r="A67" t="str">
        <x:v>EMP-066</x:v>
      </x:c>
      <x:c r="B67" t="str">
        <x:v>ANDRIANJAKA Hery</x:v>
      </x:c>
      <x:c r="C67" t="str">
        <x:v>AMPANDRANDAVA</x:v>
      </x:c>
      <x:c r="D67" t="str">
        <x:v>Production</x:v>
      </x:c>
      <x:c r="E67" t="str">
        <x:v>Manutentionnaire</x:v>
      </x:c>
      <x:c r="F67" t="n">
        <x:v>380000</x:v>
      </x:c>
      <x:c r="G67" t="n">
        <x:v>30000</x:v>
      </x:c>
      <x:c r="H67" t="n">
        <x:v>53000</x:v>
      </x:c>
      <x:c r="I67" t="n">
        <x:f>SUM(F67:H67)</x:f>
        <x:v>463000</x:v>
      </x:c>
      <x:c r="J67" t="str">
        <x:v>Actif</x:v>
      </x:c>
    </x:row>
    <x:row r="68">
      <x:c r="A68" t="str">
        <x:v>EMP-067</x:v>
      </x:c>
      <x:c r="B68" t="str">
        <x:v>RATSIMANIRY Miora</x:v>
      </x:c>
      <x:c r="C68" t="str">
        <x:v>AMPANDRANDAVA</x:v>
      </x:c>
      <x:c r="D68" t="str">
        <x:v>Production</x:v>
      </x:c>
      <x:c r="E68" t="str">
        <x:v>Manutentionnaire</x:v>
      </x:c>
      <x:c r="F68" t="n">
        <x:v>380000</x:v>
      </x:c>
      <x:c r="G68" t="n">
        <x:v>30000</x:v>
      </x:c>
      <x:c r="H68" t="n">
        <x:v>53000</x:v>
      </x:c>
      <x:c r="I68" t="n">
        <x:f>SUM(F68:H68)</x:f>
        <x:v>463000</x:v>
      </x:c>
      <x:c r="J68" t="str">
        <x:v>Actif</x:v>
      </x:c>
    </x:row>
    <x:row r="69">
      <x:c r="A69" t="str">
        <x:v>EMP-068</x:v>
      </x:c>
      <x:c r="B69" t="str">
        <x:v>RAJAOMANANA Fanja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380000</x:v>
      </x:c>
      <x:c r="G69" t="n">
        <x:v>30000</x:v>
      </x:c>
      <x:c r="H69" t="n">
        <x:v>53000</x:v>
      </x:c>
      <x:c r="I69" t="n">
        <x:f>SUM(F69:H69)</x:f>
        <x:v>463000</x:v>
      </x:c>
      <x:c r="J69" t="str">
        <x:v>Actif</x:v>
      </x:c>
    </x:row>
    <x:row r="70">
      <x:c r="A70" t="str">
        <x:v>EMP-069</x:v>
      </x:c>
      <x:c r="B70" t="str">
        <x:v>RAKOTOHARISOA Tovo</x:v>
      </x:c>
      <x:c r="C70" t="str">
        <x:v>AMPANDRANDAVA</x:v>
      </x:c>
      <x:c r="D70" t="str">
        <x:v>Production</x:v>
      </x:c>
      <x:c r="E70" t="str">
        <x:v>Collecteur de mica</x:v>
      </x:c>
      <x:c r="F70" t="n">
        <x:v>380000</x:v>
      </x:c>
      <x:c r="G70" t="n">
        <x:v>30000</x:v>
      </x:c>
      <x:c r="H70" t="n">
        <x:v>53000</x:v>
      </x:c>
      <x:c r="I70" t="n">
        <x:f>SUM(F70:H70)</x:f>
        <x:v>463000</x:v>
      </x:c>
      <x:c r="J70" t="str">
        <x:v>Actif</x:v>
      </x:c>
    </x:row>
    <x:row r="71">
      <x:c r="A71" t="str">
        <x:v>EMP-070</x:v>
      </x:c>
      <x:c r="B71" t="str">
        <x:v>RASOLOMANGA Soa</x:v>
      </x:c>
      <x:c r="C71" t="str">
        <x:v>AMPANDRANDAVA</x:v>
      </x:c>
      <x:c r="D71" t="str">
        <x:v>Production</x:v>
      </x:c>
      <x:c r="E71" t="str">
        <x:v>Collecteur de mica</x:v>
      </x:c>
      <x:c r="F71" t="n">
        <x:v>380000</x:v>
      </x:c>
      <x:c r="G71" t="n">
        <x:v>30000</x:v>
      </x:c>
      <x:c r="H71" t="n">
        <x:v>53000</x:v>
      </x:c>
      <x:c r="I71" t="n">
        <x:f>SUM(F71:H71)</x:f>
        <x:v>463000</x:v>
      </x:c>
      <x:c r="J71" t="str">
        <x:v>Actif</x:v>
      </x:c>
    </x:row>
    <x:row r="72">
      <x:c r="A72" t="str">
        <x:v>EMP-071</x:v>
      </x:c>
      <x:c r="B72" t="str">
        <x:v>RAKOTONIAINA Tahina</x:v>
      </x:c>
      <x:c r="C72" t="str">
        <x:v>TRANOMARO</x:v>
      </x:c>
      <x:c r="D72" t="str">
        <x:v>Production</x:v>
      </x:c>
      <x:c r="E72" t="str">
        <x:v>Collecteur de mica</x:v>
      </x:c>
      <x:c r="F72" t="n">
        <x:v>380000</x:v>
      </x:c>
      <x:c r="G72" t="n">
        <x:v>30000</x:v>
      </x:c>
      <x:c r="H72" t="n">
        <x:v>53000</x:v>
      </x:c>
      <x:c r="I72" t="n">
        <x:f>SUM(F72:H72)</x:f>
        <x:v>463000</x:v>
      </x:c>
      <x:c r="J72" t="str">
        <x:v>Actif</x:v>
      </x:c>
    </x:row>
    <x:row r="73">
      <x:c r="A73" t="str">
        <x:v>EMP-072</x:v>
      </x:c>
      <x:c r="B73" t="str">
        <x:v>RAVOAHANGY Noro</x:v>
      </x:c>
      <x:c r="C73" t="str">
        <x:v>TRANOMARO</x:v>
      </x:c>
      <x:c r="D73" t="str">
        <x:v>Production</x:v>
      </x:c>
      <x:c r="E73" t="str">
        <x:v>Collecteur de mica</x:v>
      </x:c>
      <x:c r="F73" t="n">
        <x:v>380000</x:v>
      </x:c>
      <x:c r="G73" t="n">
        <x:v>30000</x:v>
      </x:c>
      <x:c r="H73" t="n">
        <x:v>53000</x:v>
      </x:c>
      <x:c r="I73" t="n">
        <x:f>SUM(F73:H73)</x:f>
        <x:v>463000</x:v>
      </x:c>
      <x:c r="J73" t="str">
        <x:v>Actif</x:v>
      </x:c>
    </x:row>
    <x:row r="74">
      <x:c r="A74" t="str">
        <x:v>EMP-073</x:v>
      </x:c>
      <x:c r="B74" t="str">
        <x:v>RABESOA Rija</x:v>
      </x:c>
      <x:c r="C74" t="str">
        <x:v>TRANOMARO</x:v>
      </x:c>
      <x:c r="D74" t="str">
        <x:v>Production</x:v>
      </x:c>
      <x:c r="E74" t="str">
        <x:v>Collecteur de mica</x:v>
      </x:c>
      <x:c r="F74" t="n">
        <x:v>380000</x:v>
      </x:c>
      <x:c r="G74" t="n">
        <x:v>30000</x:v>
      </x:c>
      <x:c r="H74" t="n">
        <x:v>53000</x:v>
      </x:c>
      <x:c r="I74" t="n">
        <x:f>SUM(F74:H74)</x:f>
        <x:v>463000</x:v>
      </x:c>
      <x:c r="J74" t="str">
        <x:v>Actif</x:v>
      </x:c>
    </x:row>
    <x:row r="75">
      <x:c r="A75" t="str">
        <x:v>EMP-074</x:v>
      </x:c>
      <x:c r="B75" t="str">
        <x:v>RAKOTOMIRANA Hasina</x:v>
      </x:c>
      <x:c r="C75" t="str">
        <x:v>TRANOMARO</x:v>
      </x:c>
      <x:c r="D75" t="str">
        <x:v>Production</x:v>
      </x:c>
      <x:c r="E75" t="str">
        <x:v>Collecteur de mica</x:v>
      </x:c>
      <x:c r="F75" t="n">
        <x:v>380000</x:v>
      </x:c>
      <x:c r="G75" t="n">
        <x:v>30000</x:v>
      </x:c>
      <x:c r="H75" t="n">
        <x:v>53000</x:v>
      </x:c>
      <x:c r="I75" t="n">
        <x:f>SUM(F75:H75)</x:f>
        <x:v>463000</x:v>
      </x:c>
      <x:c r="J75" t="str">
        <x:v>Actif</x:v>
      </x:c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67.5</x:v>
      </x:c>
      <x:c r="E2" s="5" t="n">
        <x:v>61.64</x:v>
      </x:c>
      <x:c r="F2" s="5" t="n">
        <x:v>53.61</x:v>
      </x:c>
      <x:c r="G2" s="5" t="n">
        <x:v>64.42</x:v>
      </x:c>
      <x:c r="H2" s="5" t="n">
        <x:v>52.89</x:v>
      </x:c>
      <x:c r="I2" s="5" t="n">
        <x:v>58.32</x:v>
      </x:c>
      <x:c r="J2" s="5" t="n">
        <x:v>67.69</x:v>
      </x:c>
      <x:c r="K2" s="5" t="n">
        <x:v>59.72</x:v>
      </x:c>
      <x:c r="L2" s="5" t="n">
        <x:v>52.46</x:v>
      </x:c>
      <x:c r="M2" s="5" t="n">
        <x:v>62.46</x:v>
      </x:c>
      <x:c r="N2" s="5" t="n">
        <x:v>66.6</x:v>
      </x:c>
      <x:c r="O2" s="5" t="n">
        <x:v>65.12</x:v>
      </x:c>
      <x:c r="P2" s="5" t="n">
        <x:f>SUM(D2:O2)</x:f>
        <x:v>732.4300000000001</x:v>
      </x:c>
    </x:row>
    <x:row r="3">
      <x:c r="A3" t="s">
        <x:v>20</x:v>
      </x:c>
      <x:c r="B3" t="s">
        <x:v>60</x:v>
      </x:c>
      <x:c r="C3" t="s">
        <x:v>59</x:v>
      </x:c>
      <x:c r="D3" s="5" t="n">
        <x:v>50.82</x:v>
      </x:c>
      <x:c r="E3" s="5" t="n">
        <x:v>42.48</x:v>
      </x:c>
      <x:c r="F3" s="5" t="n">
        <x:v>40.38</x:v>
      </x:c>
      <x:c r="G3" s="5" t="n">
        <x:v>46.14</x:v>
      </x:c>
      <x:c r="H3" s="5" t="n">
        <x:v>46.46</x:v>
      </x:c>
      <x:c r="I3" s="5" t="n">
        <x:v>41.66</x:v>
      </x:c>
      <x:c r="J3" s="5" t="n">
        <x:v>46.68</x:v>
      </x:c>
      <x:c r="K3" s="5" t="n">
        <x:v>44.62</x:v>
      </x:c>
      <x:c r="L3" s="5" t="n">
        <x:v>51.55</x:v>
      </x:c>
      <x:c r="M3" s="5" t="n">
        <x:v>48.34</x:v>
      </x:c>
      <x:c r="N3" s="5" t="n">
        <x:v>42.39</x:v>
      </x:c>
      <x:c r="O3" s="5" t="n">
        <x:v>46.35</x:v>
      </x:c>
      <x:c r="P3" s="5" t="n">
        <x:f>SUM(D3:O3)</x:f>
        <x:v>547.87</x:v>
      </x:c>
    </x:row>
    <x:row r="4">
      <x:c r="A4" t="s">
        <x:v>20</x:v>
      </x:c>
      <x:c r="B4" t="s">
        <x:v>61</x:v>
      </x:c>
      <x:c r="C4" t="s">
        <x:v>59</x:v>
      </x:c>
      <x:c r="D4" s="5" t="n">
        <x:v>42.87</x:v>
      </x:c>
      <x:c r="E4" s="5" t="n">
        <x:v>44.94</x:v>
      </x:c>
      <x:c r="F4" s="5" t="n">
        <x:v>39.93</x:v>
      </x:c>
      <x:c r="G4" s="5" t="n">
        <x:v>36.19</x:v>
      </x:c>
      <x:c r="H4" s="5" t="n">
        <x:v>40.17</x:v>
      </x:c>
      <x:c r="I4" s="5" t="n">
        <x:v>38.65</x:v>
      </x:c>
      <x:c r="J4" s="5" t="n">
        <x:v>40.61</x:v>
      </x:c>
      <x:c r="K4" s="5" t="n">
        <x:v>35.89</x:v>
      </x:c>
      <x:c r="L4" s="5" t="n">
        <x:v>41.46</x:v>
      </x:c>
      <x:c r="M4" s="5" t="n">
        <x:v>36.77</x:v>
      </x:c>
      <x:c r="N4" s="5" t="n">
        <x:v>44.7</x:v>
      </x:c>
      <x:c r="O4" s="5" t="n">
        <x:v>37.29</x:v>
      </x:c>
      <x:c r="P4" s="5" t="n">
        <x:f>SUM(D4:O4)</x:f>
        <x:v>479.46999999999997</x:v>
      </x:c>
    </x:row>
    <x:row r="5">
      <x:c r="A5" t="s">
        <x:v>20</x:v>
      </x:c>
      <x:c r="B5" t="s">
        <x:v>62</x:v>
      </x:c>
      <x:c r="C5" t="s">
        <x:v>59</x:v>
      </x:c>
      <x:c r="D5" s="5" t="n">
        <x:v>57.97</x:v>
      </x:c>
      <x:c r="E5" s="5" t="n">
        <x:v>54.45</x:v>
      </x:c>
      <x:c r="F5" s="5" t="n">
        <x:v>52.22</x:v>
      </x:c>
      <x:c r="G5" s="5" t="n">
        <x:v>46.89</x:v>
      </x:c>
      <x:c r="H5" s="5" t="n">
        <x:v>51.4</x:v>
      </x:c>
      <x:c r="I5" s="5" t="n">
        <x:v>49.57</x:v>
      </x:c>
      <x:c r="J5" s="5" t="n">
        <x:v>53.03</x:v>
      </x:c>
      <x:c r="K5" s="5" t="n">
        <x:v>48.72</x:v>
      </x:c>
      <x:c r="L5" s="5" t="n">
        <x:v>58.09</x:v>
      </x:c>
      <x:c r="M5" s="5" t="n">
        <x:v>57.81</x:v>
      </x:c>
      <x:c r="N5" s="5" t="n">
        <x:v>48.71</x:v>
      </x:c>
      <x:c r="O5" s="5" t="n">
        <x:v>57.56</x:v>
      </x:c>
      <x:c r="P5" s="5" t="n">
        <x:f>SUM(D5:O5)</x:f>
        <x:v>636.4200000000001</x:v>
      </x:c>
    </x:row>
    <x:row r="6">
      <x:c r="A6" t="s">
        <x:v>20</x:v>
      </x:c>
      <x:c r="B6" t="s">
        <x:v>63</x:v>
      </x:c>
      <x:c r="C6" t="s">
        <x:v>59</x:v>
      </x:c>
      <x:c r="D6" s="5" t="n">
        <x:v>35.54</x:v>
      </x:c>
      <x:c r="E6" s="5" t="n">
        <x:v>32.58</x:v>
      </x:c>
      <x:c r="F6" s="5" t="n">
        <x:v>36.6</x:v>
      </x:c>
      <x:c r="G6" s="5" t="n">
        <x:v>39.16</x:v>
      </x:c>
      <x:c r="H6" s="5" t="n">
        <x:v>34.46</x:v>
      </x:c>
      <x:c r="I6" s="5" t="n">
        <x:v>35.21</x:v>
      </x:c>
      <x:c r="J6" s="5" t="n">
        <x:v>32.23</x:v>
      </x:c>
      <x:c r="K6" s="5" t="n">
        <x:v>38.16</x:v>
      </x:c>
      <x:c r="L6" s="5" t="n">
        <x:v>31.78</x:v>
      </x:c>
      <x:c r="M6" s="5" t="n">
        <x:v>33.89</x:v>
      </x:c>
      <x:c r="N6" s="5" t="n">
        <x:v>31.01</x:v>
      </x:c>
      <x:c r="O6" s="5" t="n">
        <x:v>32.89</x:v>
      </x:c>
      <x:c r="P6" s="5" t="n">
        <x:f>SUM(D6:O6)</x:f>
        <x:v>413.51</x:v>
      </x:c>
    </x:row>
    <x:row r="7">
      <x:c r="A7" t="s">
        <x:v>17</x:v>
      </x:c>
      <x:c r="B7" t="s">
        <x:v>58</x:v>
      </x:c>
      <x:c r="C7" t="s">
        <x:v>59</x:v>
      </x:c>
      <x:c r="D7" s="5" t="n">
        <x:v>62.96</x:v>
      </x:c>
      <x:c r="E7" s="5" t="n">
        <x:v>65.04</x:v>
      </x:c>
      <x:c r="F7" s="5" t="n">
        <x:v>53.15</x:v>
      </x:c>
      <x:c r="G7" s="5" t="n">
        <x:v>52.42</x:v>
      </x:c>
      <x:c r="H7" s="5" t="n">
        <x:v>54.68</x:v>
      </x:c>
      <x:c r="I7" s="5" t="n">
        <x:v>61.53</x:v>
      </x:c>
      <x:c r="J7" s="5" t="n">
        <x:v>56.03</x:v>
      </x:c>
      <x:c r="K7" s="5" t="n">
        <x:v>62.25</x:v>
      </x:c>
      <x:c r="L7" s="5" t="n">
        <x:v>57.67</x:v>
      </x:c>
      <x:c r="M7" s="5" t="n">
        <x:v>55.77</x:v>
      </x:c>
      <x:c r="N7" s="5" t="n">
        <x:v>54.03</x:v>
      </x:c>
      <x:c r="O7" s="5" t="n">
        <x:v>66.56</x:v>
      </x:c>
      <x:c r="P7" s="5" t="n">
        <x:f>SUM(D7:O7)</x:f>
        <x:v>702.0899999999999</x:v>
      </x:c>
    </x:row>
    <x:row r="8">
      <x:c r="A8" t="s">
        <x:v>17</x:v>
      </x:c>
      <x:c r="B8" t="s">
        <x:v>60</x:v>
      </x:c>
      <x:c r="C8" t="s">
        <x:v>59</x:v>
      </x:c>
      <x:c r="D8" s="5" t="n">
        <x:v>51.87</x:v>
      </x:c>
      <x:c r="E8" s="5" t="n">
        <x:v>49.71</x:v>
      </x:c>
      <x:c r="F8" s="5" t="n">
        <x:v>51.88</x:v>
      </x:c>
      <x:c r="G8" s="5" t="n">
        <x:v>46.87</x:v>
      </x:c>
      <x:c r="H8" s="5" t="n">
        <x:v>43.86</x:v>
      </x:c>
      <x:c r="I8" s="5" t="n">
        <x:v>39.66</x:v>
      </x:c>
      <x:c r="J8" s="5" t="n">
        <x:v>48.56</x:v>
      </x:c>
      <x:c r="K8" s="5" t="n">
        <x:v>40.6</x:v>
      </x:c>
      <x:c r="L8" s="5" t="n">
        <x:v>44.52</x:v>
      </x:c>
      <x:c r="M8" s="5" t="n">
        <x:v>43.16</x:v>
      </x:c>
      <x:c r="N8" s="5" t="n">
        <x:v>52.27</x:v>
      </x:c>
      <x:c r="O8" s="5" t="n">
        <x:v>51.72</x:v>
      </x:c>
      <x:c r="P8" s="5" t="n">
        <x:f>SUM(D8:O8)</x:f>
        <x:v>564.6800000000001</x:v>
      </x:c>
    </x:row>
    <x:row r="9">
      <x:c r="A9" t="s">
        <x:v>17</x:v>
      </x:c>
      <x:c r="B9" t="s">
        <x:v>61</x:v>
      </x:c>
      <x:c r="C9" t="s">
        <x:v>59</x:v>
      </x:c>
      <x:c r="D9" s="5" t="n">
        <x:v>34.75</x:v>
      </x:c>
      <x:c r="E9" s="5" t="n">
        <x:v>40.68</x:v>
      </x:c>
      <x:c r="F9" s="5" t="n">
        <x:v>34.23</x:v>
      </x:c>
      <x:c r="G9" s="5" t="n">
        <x:v>41.41</x:v>
      </x:c>
      <x:c r="H9" s="5" t="n">
        <x:v>36.94</x:v>
      </x:c>
      <x:c r="I9" s="5" t="n">
        <x:v>43.87</x:v>
      </x:c>
      <x:c r="J9" s="5" t="n">
        <x:v>36.09</x:v>
      </x:c>
      <x:c r="K9" s="5" t="n">
        <x:v>43.93</x:v>
      </x:c>
      <x:c r="L9" s="5" t="n">
        <x:v>38.97</x:v>
      </x:c>
      <x:c r="M9" s="5" t="n">
        <x:v>36.12</x:v>
      </x:c>
      <x:c r="N9" s="5" t="n">
        <x:v>39.43</x:v>
      </x:c>
      <x:c r="O9" s="5" t="n">
        <x:v>36.99</x:v>
      </x:c>
      <x:c r="P9" s="5" t="n">
        <x:f>SUM(D9:O9)</x:f>
        <x:v>463.41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52.41</x:v>
      </x:c>
      <x:c r="E10" s="5" t="n">
        <x:v>46.71</x:v>
      </x:c>
      <x:c r="F10" s="5" t="n">
        <x:v>49.35</x:v>
      </x:c>
      <x:c r="G10" s="5" t="n">
        <x:v>56.93</x:v>
      </x:c>
      <x:c r="H10" s="5" t="n">
        <x:v>57.47</x:v>
      </x:c>
      <x:c r="I10" s="5" t="n">
        <x:v>54.41</x:v>
      </x:c>
      <x:c r="J10" s="5" t="n">
        <x:v>55.28</x:v>
      </x:c>
      <x:c r="K10" s="5" t="n">
        <x:v>48.64</x:v>
      </x:c>
      <x:c r="L10" s="5" t="n">
        <x:v>54.32</x:v>
      </x:c>
      <x:c r="M10" s="5" t="n">
        <x:v>47.72</x:v>
      </x:c>
      <x:c r="N10" s="5" t="n">
        <x:v>55.37</x:v>
      </x:c>
      <x:c r="O10" s="5" t="n">
        <x:v>47.3</x:v>
      </x:c>
      <x:c r="P10" s="5" t="n">
        <x:f>SUM(D10:O10)</x:f>
        <x:v>625.9099999999999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36.79</x:v>
      </x:c>
      <x:c r="E11" s="5" t="n">
        <x:v>37.97</x:v>
      </x:c>
      <x:c r="F11" s="5" t="n">
        <x:v>36.71</x:v>
      </x:c>
      <x:c r="G11" s="5" t="n">
        <x:v>39.7</x:v>
      </x:c>
      <x:c r="H11" s="5" t="n">
        <x:v>33.12</x:v>
      </x:c>
      <x:c r="I11" s="5" t="n">
        <x:v>33.01</x:v>
      </x:c>
      <x:c r="J11" s="5" t="n">
        <x:v>36.86</x:v>
      </x:c>
      <x:c r="K11" s="5" t="n">
        <x:v>35.27</x:v>
      </x:c>
      <x:c r="L11" s="5" t="n">
        <x:v>37.38</x:v>
      </x:c>
      <x:c r="M11" s="5" t="n">
        <x:v>29.82</x:v>
      </x:c>
      <x:c r="N11" s="5" t="n">
        <x:v>32.5</x:v>
      </x:c>
      <x:c r="O11" s="5" t="n">
        <x:v>31.06</x:v>
      </x:c>
      <x:c r="P11" s="5" t="n">
        <x:f>SUM(D11:O11)</x:f>
        <x:v>420.19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78255870</x:v>
      </x:c>
      <x:c r="F2" s="4" t="n">
        <x:v>83186370</x:v>
      </x:c>
      <x:c r="G2" s="4" t="n">
        <x:v>91327110</x:v>
      </x:c>
      <x:c r="H2" s="4" t="n">
        <x:v>77236710</x:v>
      </x:c>
      <x:c r="I2" s="4" t="n">
        <x:v>91296900</x:v>
      </x:c>
      <x:c r="J2" s="4" t="n">
        <x:v>75458880</x:v>
      </x:c>
      <x:c r="K2" s="4" t="n">
        <x:v>81586380</x:v>
      </x:c>
      <x:c r="L2" s="4" t="n">
        <x:v>83935350</x:v>
      </x:c>
      <x:c r="M2" s="4" t="n">
        <x:v>75326640</x:v>
      </x:c>
      <x:c r="N2" s="4" t="n">
        <x:v>75429240</x:v>
      </x:c>
      <x:c r="O2" s="4" t="n">
        <x:v>87029880</x:v>
      </x:c>
      <x:c r="P2" s="4" t="n">
        <x:v>77955480</x:v>
      </x:c>
      <x:c r="Q2" s="4" t="n">
        <x:v>978024810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28440720</x:v>
      </x:c>
      <x:c r="F3" s="4" t="n">
        <x:v>28713750</x:v>
      </x:c>
      <x:c r="G3" s="4" t="n">
        <x:v>30806790</x:v>
      </x:c>
      <x:c r="H3" s="4" t="n">
        <x:v>27709980</x:v>
      </x:c>
      <x:c r="I3" s="4" t="n">
        <x:v>24307080</x:v>
      </x:c>
      <x:c r="J3" s="4" t="n">
        <x:v>25142700</x:v>
      </x:c>
      <x:c r="K3" s="4" t="n">
        <x:v>28953150</x:v>
      </x:c>
      <x:c r="L3" s="4" t="n">
        <x:v>27230040</x:v>
      </x:c>
      <x:c r="M3" s="4" t="n">
        <x:v>26068380</x:v>
      </x:c>
      <x:c r="N3" s="4" t="n">
        <x:v>30142170</x:v>
      </x:c>
      <x:c r="O3" s="4" t="n">
        <x:v>28054830</x:v>
      </x:c>
      <x:c r="P3" s="4" t="n">
        <x:v>30280110</x:v>
      </x:c>
      <x:c r="Q3" s="4" t="n">
        <x:v>335849700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48685410</x:v>
      </x:c>
      <x:c r="F4" s="4" t="n">
        <x:v>49090110</x:v>
      </x:c>
      <x:c r="G4" s="4" t="n">
        <x:v>44445750</x:v>
      </x:c>
      <x:c r="H4" s="4" t="n">
        <x:v>45605130</x:v>
      </x:c>
      <x:c r="I4" s="4" t="n">
        <x:v>51617490</x:v>
      </x:c>
      <x:c r="J4" s="4" t="n">
        <x:v>48583950</x:v>
      </x:c>
      <x:c r="K4" s="4" t="n">
        <x:v>47010750</x:v>
      </x:c>
      <x:c r="L4" s="4" t="n">
        <x:v>45381690</x:v>
      </x:c>
      <x:c r="M4" s="4" t="n">
        <x:v>42978570</x:v>
      </x:c>
      <x:c r="N4" s="4" t="n">
        <x:v>47062050</x:v>
      </x:c>
      <x:c r="O4" s="4" t="n">
        <x:v>52495860</x:v>
      </x:c>
      <x:c r="P4" s="4" t="n">
        <x:v>47575050</x:v>
      </x:c>
      <x:c r="Q4" s="4" t="n">
        <x:v>570531810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16949520</x:v>
      </x:c>
      <x:c r="F5" s="4" t="n">
        <x:v>18055890</x:v>
      </x:c>
      <x:c r="G5" s="4" t="n">
        <x:v>17539470</x:v>
      </x:c>
      <x:c r="H5" s="4" t="n">
        <x:v>16081980</x:v>
      </x:c>
      <x:c r="I5" s="4" t="n">
        <x:v>19403370</x:v>
      </x:c>
      <x:c r="J5" s="4" t="n">
        <x:v>17980650</x:v>
      </x:c>
      <x:c r="K5" s="4" t="n">
        <x:v>17335980</x:v>
      </x:c>
      <x:c r="L5" s="4" t="n">
        <x:v>19050540</x:v>
      </x:c>
      <x:c r="M5" s="4" t="n">
        <x:v>16423410</x:v>
      </x:c>
      <x:c r="N5" s="4" t="n">
        <x:v>20052030</x:v>
      </x:c>
      <x:c r="O5" s="4" t="n">
        <x:v>19110960</x:v>
      </x:c>
      <x:c r="P5" s="4" t="n">
        <x:v>18160200</x:v>
      </x:c>
      <x:c r="Q5" s="4" t="n">
        <x:v>216144000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12757740</x:v>
      </x:c>
      <x:c r="F6" s="4" t="n">
        <x:v>13756380</x:v>
      </x:c>
      <x:c r="G6" s="4" t="n">
        <x:v>14601120</x:v>
      </x:c>
      <x:c r="H6" s="4" t="n">
        <x:v>12833550</x:v>
      </x:c>
      <x:c r="I6" s="4" t="n">
        <x:v>14218650</x:v>
      </x:c>
      <x:c r="J6" s="4" t="n">
        <x:v>13110000</x:v>
      </x:c>
      <x:c r="K6" s="4" t="n">
        <x:v>13792290</x:v>
      </x:c>
      <x:c r="L6" s="4" t="n">
        <x:v>13073520</x:v>
      </x:c>
      <x:c r="M6" s="4" t="n">
        <x:v>13041600</x:v>
      </x:c>
      <x:c r="N6" s="4" t="n">
        <x:v>12229350</x:v>
      </x:c>
      <x:c r="O6" s="4" t="n">
        <x:v>12760020</x:v>
      </x:c>
      <x:c r="P6" s="4" t="n">
        <x:v>14525880</x:v>
      </x:c>
      <x:c r="Q6" s="4" t="n">
        <x:v>160700100</x:v>
      </x:c>
    </x:row>
    <x:row r="7">
      <x:c r="A7"/>
      <x:c r="B7"/>
      <x:c r="C7"/>
      <x:c r="D7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4563990</x:v>
      </x:c>
      <x:c r="F8" s="4" t="n">
        <x:v>3971190</x:v>
      </x:c>
      <x:c r="G8" s="4" t="n">
        <x:v>4761210</x:v>
      </x:c>
      <x:c r="H8" s="4" t="n">
        <x:v>4624410</x:v>
      </x:c>
      <x:c r="I8" s="4" t="n">
        <x:v>4329150</x:v>
      </x:c>
      <x:c r="J8" s="4" t="n">
        <x:v>4813650</x:v>
      </x:c>
      <x:c r="K8" s="4" t="n">
        <x:v>3868590</x:v>
      </x:c>
      <x:c r="L8" s="4" t="n">
        <x:v>4278420</x:v>
      </x:c>
      <x:c r="M8" s="4" t="n">
        <x:v>4043580</x:v>
      </x:c>
      <x:c r="N8" s="4" t="n">
        <x:v>3819570</x:v>
      </x:c>
      <x:c r="O8" s="4" t="n">
        <x:v>3975750</x:v>
      </x:c>
      <x:c r="P8" s="4" t="n">
        <x:v>3904500</x:v>
      </x:c>
      <x:c r="Q8" s="4" t="n">
        <x:v>50954010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7193970</x:v>
      </x:c>
      <x:c r="F9" s="4" t="n">
        <x:v>7358700</x:v>
      </x:c>
      <x:c r="G9" s="4" t="n">
        <x:v>7910460</x:v>
      </x:c>
      <x:c r="H9" s="4" t="n">
        <x:v>8198880</x:v>
      </x:c>
      <x:c r="I9" s="4" t="n">
        <x:v>6752220</x:v>
      </x:c>
      <x:c r="J9" s="4" t="n">
        <x:v>8103120</x:v>
      </x:c>
      <x:c r="K9" s="4" t="n">
        <x:v>7354710</x:v>
      </x:c>
      <x:c r="L9" s="4" t="n">
        <x:v>6533910</x:v>
      </x:c>
      <x:c r="M9" s="4" t="n">
        <x:v>7768530</x:v>
      </x:c>
      <x:c r="N9" s="4" t="n">
        <x:v>8056950</x:v>
      </x:c>
      <x:c r="O9" s="4" t="n">
        <x:v>7485810</x:v>
      </x:c>
      <x:c r="P9" s="4" t="n">
        <x:v>7844910</x:v>
      </x:c>
      <x:c r="Q9" s="4" t="n">
        <x:v>90562170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9792600</x:v>
      </x:c>
      <x:c r="F10" s="4" t="n">
        <x:v>8487300</x:v>
      </x:c>
      <x:c r="G10" s="4" t="n">
        <x:v>9931110</x:v>
      </x:c>
      <x:c r="H10" s="4" t="n">
        <x:v>9184980</x:v>
      </x:c>
      <x:c r="I10" s="4" t="n">
        <x:v>9574860</x:v>
      </x:c>
      <x:c r="J10" s="4" t="n">
        <x:v>10210410</x:v>
      </x:c>
      <x:c r="K10" s="4" t="n">
        <x:v>9154770</x:v>
      </x:c>
      <x:c r="L10" s="4" t="n">
        <x:v>8929050</x:v>
      </x:c>
      <x:c r="M10" s="4" t="n">
        <x:v>9057870</x:v>
      </x:c>
      <x:c r="N10" s="4" t="n">
        <x:v>8529480</x:v>
      </x:c>
      <x:c r="O10" s="4" t="n">
        <x:v>8126490</x:v>
      </x:c>
      <x:c r="P10" s="4" t="n">
        <x:v>9619320</x:v>
      </x:c>
      <x:c r="Q10" s="4" t="n">
        <x:v>110598240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21491280</x:v>
      </x:c>
      <x:c r="F11" s="4" t="n">
        <x:v>22634700</x:v>
      </x:c>
      <x:c r="G11" s="4" t="n">
        <x:v>21906240</x:v>
      </x:c>
      <x:c r="H11" s="4" t="n">
        <x:v>19471200</x:v>
      </x:c>
      <x:c r="I11" s="4" t="n">
        <x:v>20512020</x:v>
      </x:c>
      <x:c r="J11" s="4" t="n">
        <x:v>23428710</x:v>
      </x:c>
      <x:c r="K11" s="4" t="n">
        <x:v>19694070</x:v>
      </x:c>
      <x:c r="L11" s="4" t="n">
        <x:v>22462560</x:v>
      </x:c>
      <x:c r="M11" s="4" t="n">
        <x:v>21960390</x:v>
      </x:c>
      <x:c r="N11" s="4" t="n">
        <x:v>21017040</x:v>
      </x:c>
      <x:c r="O11" s="4" t="n">
        <x:v>20832930</x:v>
      </x:c>
      <x:c r="P11" s="4" t="n">
        <x:v>23352900</x:v>
      </x:c>
      <x:c r="Q11" s="4" t="n">
        <x:v>258764040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12944700</x:v>
      </x:c>
      <x:c r="F12" s="4" t="n">
        <x:v>12525750</x:v>
      </x:c>
      <x:c r="G12" s="4" t="n">
        <x:v>13379040</x:v>
      </x:c>
      <x:c r="H12" s="4" t="n">
        <x:v>13513560</x:v>
      </x:c>
      <x:c r="I12" s="4" t="n">
        <x:v>13555740</x:v>
      </x:c>
      <x:c r="J12" s="4" t="n">
        <x:v>11894760</x:v>
      </x:c>
      <x:c r="K12" s="4" t="n">
        <x:v>12311430</x:v>
      </x:c>
      <x:c r="L12" s="4" t="n">
        <x:v>13620720</x:v>
      </x:c>
      <x:c r="M12" s="4" t="n">
        <x:v>12604410</x:v>
      </x:c>
      <x:c r="N12" s="4" t="n">
        <x:v>11841750</x:v>
      </x:c>
      <x:c r="O12" s="4" t="n">
        <x:v>11385750</x:v>
      </x:c>
      <x:c r="P12" s="4" t="n">
        <x:v>11818380</x:v>
      </x:c>
      <x:c r="Q12" s="4" t="n">
        <x:v>151395990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15561570</x:v>
      </x:c>
      <x:c r="F13" s="4" t="n">
        <x:v>17110830</x:v>
      </x:c>
      <x:c r="G13" s="4" t="n">
        <x:v>16277490</x:v>
      </x:c>
      <x:c r="H13" s="4" t="n">
        <x:v>15193350</x:v>
      </x:c>
      <x:c r="I13" s="4" t="n">
        <x:v>16442220</x:v>
      </x:c>
      <x:c r="J13" s="4" t="n">
        <x:v>14269950</x:v>
      </x:c>
      <x:c r="K13" s="4" t="n">
        <x:v>16629180</x:v>
      </x:c>
      <x:c r="L13" s="4" t="n">
        <x:v>14581740</x:v>
      </x:c>
      <x:c r="M13" s="4" t="n">
        <x:v>13955310</x:v>
      </x:c>
      <x:c r="N13" s="4" t="n">
        <x:v>14169060</x:v>
      </x:c>
      <x:c r="O13" s="4" t="n">
        <x:v>14425560</x:v>
      </x:c>
      <x:c r="P13" s="4" t="n">
        <x:v>16985430</x:v>
      </x:c>
      <x:c r="Q13" s="4" t="n">
        <x:v>185601690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5946240</x:v>
      </x:c>
      <x:c r="F14" s="4" t="n">
        <x:v>5636730</x:v>
      </x:c>
      <x:c r="G14" s="4" t="n">
        <x:v>7030950</x:v>
      </x:c>
      <x:c r="H14" s="4" t="n">
        <x:v>6840000</x:v>
      </x:c>
      <x:c r="I14" s="4" t="n">
        <x:v>5909760</x:v>
      </x:c>
      <x:c r="J14" s="4" t="n">
        <x:v>6928920</x:v>
      </x:c>
      <x:c r="K14" s="4" t="n">
        <x:v>7050900</x:v>
      </x:c>
      <x:c r="L14" s="4" t="n">
        <x:v>5647560</x:v>
      </x:c>
      <x:c r="M14" s="4" t="n">
        <x:v>6097860</x:v>
      </x:c>
      <x:c r="N14" s="4" t="n">
        <x:v>5784360</x:v>
      </x:c>
      <x:c r="O14" s="4" t="n">
        <x:v>6082470</x:v>
      </x:c>
      <x:c r="P14" s="4" t="n">
        <x:v>6746520</x:v>
      </x:c>
      <x:c r="Q14" s="4" t="n">
        <x:v>75702270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9251670</x:v>
      </x:c>
      <x:c r="F15" s="4" t="n">
        <x:v>8756910</x:v>
      </x:c>
      <x:c r="G15" s="4" t="n">
        <x:v>9146790</x:v>
      </x:c>
      <x:c r="H15" s="4" t="n">
        <x:v>8449680</x:v>
      </x:c>
      <x:c r="I15" s="4" t="n">
        <x:v>8851530</x:v>
      </x:c>
      <x:c r="J15" s="4" t="n">
        <x:v>8042700</x:v>
      </x:c>
      <x:c r="K15" s="4" t="n">
        <x:v>7600950</x:v>
      </x:c>
      <x:c r="L15" s="4" t="n">
        <x:v>9173010</x:v>
      </x:c>
      <x:c r="M15" s="4" t="n">
        <x:v>9155340</x:v>
      </x:c>
      <x:c r="N15" s="4" t="n">
        <x:v>8276970</x:v>
      </x:c>
      <x:c r="O15" s="4" t="n">
        <x:v>8692500</x:v>
      </x:c>
      <x:c r="P15" s="4" t="n">
        <x:v>8508390</x:v>
      </x:c>
      <x:c r="Q15" s="4" t="n">
        <x:v>103906440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2016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14745737171</x:v>
      </x:c>
      <x:c r="E5" s="38"/>
      <x:c r="F5" s="38"/>
      <x:c r="G5" s="39" t="n">
        <x:f>SUMIFS($S$10:$S$54,$A$10:$A$54,"Japon",$E$10:$E$54,"Chiffre d'affaires MGA")</x:f>
        <x:v>5471406556</x:v>
      </x:c>
      <x:c r="H5" s="34"/>
      <x:c r="I5" s="34"/>
      <x:c r="J5" s="39" t="n">
        <x:f>SUMIFS($S$10:$S$54,$A$10:$A$54,"Russie",$E$10:$E$54,"Chiffre d'affaires MGA")</x:f>
        <x:v>4668761335</x:v>
      </x:c>
      <x:c r="K5" s="34"/>
      <x:c r="L5" s="34"/>
      <x:c r="M5" s="39" t="n">
        <x:f>SUMIFS($S$10:$S$54,$A$10:$A$54,"Chine",$E$10:$E$54,"Chiffre d'affaires MGA")</x:f>
        <x:v>4605569280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153732040</x:v>
      </x:c>
      <x:c r="H12" s="26" t="n">
        <x:f>IF($D12="USD",H11*'Donnees SOMIDA'!$B$5,IF($D12="JPY",H11*'Donnees SOMIDA'!$B$6,0))</x:f>
        <x:v>116011280</x:v>
      </x:c>
      <x:c r="I12" s="26" t="n">
        <x:f>IF($D12="USD",I11*'Donnees SOMIDA'!$B$5,IF($D12="JPY",I11*'Donnees SOMIDA'!$B$6,0))</x:f>
        <x:v>94301900</x:v>
      </x:c>
      <x:c r="J12" s="26" t="n">
        <x:f>IF($D12="USD",J11*'Donnees SOMIDA'!$B$5,IF($D12="JPY",J11*'Donnees SOMIDA'!$B$6,0))</x:f>
        <x:v>104900180</x:v>
      </x:c>
      <x:c r="K12" s="26" t="n">
        <x:f>IF($D12="USD",K11*'Donnees SOMIDA'!$B$5,IF($D12="JPY",K11*'Donnees SOMIDA'!$B$6,0))</x:f>
        <x:v>95042640</x:v>
      </x:c>
      <x:c r="L12" s="26" t="n">
        <x:f>IF($D12="USD",L11*'Donnees SOMIDA'!$B$5,IF($D12="JPY",L11*'Donnees SOMIDA'!$B$6,0))</x:f>
        <x:v>144957120</x:v>
      </x:c>
      <x:c r="M12" s="26" t="n">
        <x:f>IF($D12="USD",M11*'Donnees SOMIDA'!$B$5,IF($D12="JPY",M11*'Donnees SOMIDA'!$B$6,0))</x:f>
        <x:v>122507000</x:v>
      </x:c>
      <x:c r="N12" s="26" t="n">
        <x:f>IF($D12="USD",N11*'Donnees SOMIDA'!$B$5,IF($D12="JPY",N11*'Donnees SOMIDA'!$B$6,0))</x:f>
        <x:v>145299000</x:v>
      </x:c>
      <x:c r="O12" s="26" t="n">
        <x:f>IF($D12="USD",O11*'Donnees SOMIDA'!$B$5,IF($D12="JPY",O11*'Donnees SOMIDA'!$B$6,0))</x:f>
        <x:v>96296200</x:v>
      </x:c>
      <x:c r="P12" s="26" t="n">
        <x:f>IF($D12="USD",P11*'Donnees SOMIDA'!$B$5,IF($D12="JPY",P11*'Donnees SOMIDA'!$B$6,0))</x:f>
        <x:v>90484240</x:v>
      </x:c>
      <x:c r="Q12" s="26" t="n">
        <x:f>IF($D12="USD",Q11*'Donnees SOMIDA'!$B$5,IF($D12="JPY",Q11*'Donnees SOMIDA'!$B$6,0))</x:f>
        <x:v>95897340</x:v>
      </x:c>
      <x:c r="R12" s="26" t="n">
        <x:f>IF($D12="USD",R11*'Donnees SOMIDA'!$B$5,IF($D12="JPY",R11*'Donnees SOMIDA'!$B$6,0))</x:f>
        <x:v>147863100</x:v>
      </x:c>
      <x:c r="S12" s="26" t="n">
        <x:f>SUM(G12:R12)</x:f>
        <x:v>1407292040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96013764</x:v>
      </x:c>
      <x:c r="H15" s="26" t="n">
        <x:f>IF($D15="USD",H14*'Donnees SOMIDA'!$B$5,IF($D15="JPY",H14*'Donnees SOMIDA'!$B$6,0))</x:f>
        <x:v>74999232</x:v>
      </x:c>
      <x:c r="I15" s="26" t="n">
        <x:f>IF($D15="USD",I14*'Donnees SOMIDA'!$B$5,IF($D15="JPY",I14*'Donnees SOMIDA'!$B$6,0))</x:f>
        <x:v>99647856</x:v>
      </x:c>
      <x:c r="J15" s="26" t="n">
        <x:f>IF($D15="USD",J14*'Donnees SOMIDA'!$B$5,IF($D15="JPY",J14*'Donnees SOMIDA'!$B$6,0))</x:f>
        <x:v>76052592</x:v>
      </x:c>
      <x:c r="K15" s="26" t="n">
        <x:f>IF($D15="USD",K14*'Donnees SOMIDA'!$B$5,IF($D15="JPY",K14*'Donnees SOMIDA'!$B$6,0))</x:f>
        <x:v>106020684</x:v>
      </x:c>
      <x:c r="L15" s="26" t="n">
        <x:f>IF($D15="USD",L14*'Donnees SOMIDA'!$B$5,IF($D15="JPY",L14*'Donnees SOMIDA'!$B$6,0))</x:f>
        <x:v>112130172</x:v>
      </x:c>
      <x:c r="M15" s="26" t="n">
        <x:f>IF($D15="USD",M14*'Donnees SOMIDA'!$B$5,IF($D15="JPY",M14*'Donnees SOMIDA'!$B$6,0))</x:f>
        <x:v>93591036</x:v>
      </x:c>
      <x:c r="N15" s="26" t="n">
        <x:f>IF($D15="USD",N14*'Donnees SOMIDA'!$B$5,IF($D15="JPY",N14*'Donnees SOMIDA'!$B$6,0))</x:f>
        <x:v>103071276</x:v>
      </x:c>
      <x:c r="O15" s="26" t="n">
        <x:f>IF($D15="USD",O14*'Donnees SOMIDA'!$B$5,IF($D15="JPY",O14*'Donnees SOMIDA'!$B$6,0))</x:f>
        <x:v>85427496</x:v>
      </x:c>
      <x:c r="P15" s="26" t="n">
        <x:f>IF($D15="USD",P14*'Donnees SOMIDA'!$B$5,IF($D15="JPY",P14*'Donnees SOMIDA'!$B$6,0))</x:f>
        <x:v>90957636</x:v>
      </x:c>
      <x:c r="Q15" s="26" t="n">
        <x:f>IF($D15="USD",Q14*'Donnees SOMIDA'!$B$5,IF($D15="JPY",Q14*'Donnees SOMIDA'!$B$6,0))</x:f>
        <x:v>83742120</x:v>
      </x:c>
      <x:c r="R15" s="26" t="n">
        <x:f>IF($D15="USD",R14*'Donnees SOMIDA'!$B$5,IF($D15="JPY",R14*'Donnees SOMIDA'!$B$6,0))</x:f>
        <x:v>77790636</x:v>
      </x:c>
      <x:c r="S15" s="26" t="n">
        <x:f>SUM(G15:R15)</x:f>
        <x:v>1099444500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89900580</x:v>
      </x:c>
      <x:c r="H18" s="26" t="n">
        <x:f>IF($D18="USD",H17*'Donnees SOMIDA'!$B$5,IF($D18="JPY",H17*'Donnees SOMIDA'!$B$6,0))</x:f>
        <x:v>92797320</x:v>
      </x:c>
      <x:c r="I18" s="26" t="n">
        <x:f>IF($D18="USD",I17*'Donnees SOMIDA'!$B$5,IF($D18="JPY",I17*'Donnees SOMIDA'!$B$6,0))</x:f>
        <x:v>85428420</x:v>
      </x:c>
      <x:c r="J18" s="26" t="n">
        <x:f>IF($D18="USD",J17*'Donnees SOMIDA'!$B$5,IF($D18="JPY",J17*'Donnees SOMIDA'!$B$6,0))</x:f>
        <x:v>61034820</x:v>
      </x:c>
      <x:c r="K18" s="26" t="n">
        <x:f>IF($D18="USD",K17*'Donnees SOMIDA'!$B$5,IF($D18="JPY",K17*'Donnees SOMIDA'!$B$6,0))</x:f>
        <x:v>70284060</x:v>
      </x:c>
      <x:c r="L18" s="26" t="n">
        <x:f>IF($D18="USD",L17*'Donnees SOMIDA'!$B$5,IF($D18="JPY",L17*'Donnees SOMIDA'!$B$6,0))</x:f>
        <x:v>63270900</x:v>
      </x:c>
      <x:c r="M18" s="26" t="n">
        <x:f>IF($D18="USD",M17*'Donnees SOMIDA'!$B$5,IF($D18="JPY",M17*'Donnees SOMIDA'!$B$6,0))</x:f>
        <x:v>75366060</x:v>
      </x:c>
      <x:c r="N18" s="26" t="n">
        <x:f>IF($D18="USD",N17*'Donnees SOMIDA'!$B$5,IF($D18="JPY",N17*'Donnees SOMIDA'!$B$6,0))</x:f>
        <x:v>84564480</x:v>
      </x:c>
      <x:c r="O18" s="26" t="n">
        <x:f>IF($D18="USD",O17*'Donnees SOMIDA'!$B$5,IF($D18="JPY",O17*'Donnees SOMIDA'!$B$6,0))</x:f>
        <x:v>97472760</x:v>
      </x:c>
      <x:c r="P18" s="26" t="n">
        <x:f>IF($D18="USD",P17*'Donnees SOMIDA'!$B$5,IF($D18="JPY",P17*'Donnees SOMIDA'!$B$6,0))</x:f>
        <x:v>60374160</x:v>
      </x:c>
      <x:c r="Q18" s="26" t="n">
        <x:f>IF($D18="USD",Q17*'Donnees SOMIDA'!$B$5,IF($D18="JPY",Q17*'Donnees SOMIDA'!$B$6,0))</x:f>
        <x:v>72520140</x:v>
      </x:c>
      <x:c r="R18" s="26" t="n">
        <x:f>IF($D18="USD",R17*'Donnees SOMIDA'!$B$5,IF($D18="JPY",R17*'Donnees SOMIDA'!$B$6,0))</x:f>
        <x:v>93813720</x:v>
      </x:c>
      <x:c r="S18" s="26" t="n">
        <x:f>SUM(G18:R18)</x:f>
        <x:v>946827420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93639392</x:v>
      </x:c>
      <x:c r="H21" s="26" t="n">
        <x:f>IF($D21="USD",H20*'Donnees SOMIDA'!$B$5,IF($D21="JPY",H20*'Donnees SOMIDA'!$B$6,0))</x:f>
        <x:v>105700672</x:v>
      </x:c>
      <x:c r="I21" s="26" t="n">
        <x:f>IF($D21="USD",I20*'Donnees SOMIDA'!$B$5,IF($D21="JPY",I20*'Donnees SOMIDA'!$B$6,0))</x:f>
        <x:v>129878056</x:v>
      </x:c>
      <x:c r="J21" s="26" t="n">
        <x:f>IF($D21="USD",J20*'Donnees SOMIDA'!$B$5,IF($D21="JPY",J20*'Donnees SOMIDA'!$B$6,0))</x:f>
        <x:v>88650408</x:v>
      </x:c>
      <x:c r="K21" s="26" t="n">
        <x:f>IF($D21="USD",K20*'Donnees SOMIDA'!$B$5,IF($D21="JPY",K20*'Donnees SOMIDA'!$B$6,0))</x:f>
        <x:v>102082288</x:v>
      </x:c>
      <x:c r="L21" s="26" t="n">
        <x:f>IF($D21="USD",L20*'Donnees SOMIDA'!$B$5,IF($D21="JPY",L20*'Donnees SOMIDA'!$B$6,0))</x:f>
        <x:v>135908696</x:v>
      </x:c>
      <x:c r="M21" s="26" t="n">
        <x:f>IF($D21="USD",M20*'Donnees SOMIDA'!$B$5,IF($D21="JPY",M20*'Donnees SOMIDA'!$B$6,0))</x:f>
        <x:v>118036072</x:v>
      </x:c>
      <x:c r="N21" s="26" t="n">
        <x:f>IF($D21="USD",N20*'Donnees SOMIDA'!$B$5,IF($D21="JPY",N20*'Donnees SOMIDA'!$B$6,0))</x:f>
        <x:v>123628120</x:v>
      </x:c>
      <x:c r="O21" s="26" t="n">
        <x:f>IF($D21="USD",O20*'Donnees SOMIDA'!$B$5,IF($D21="JPY",O20*'Donnees SOMIDA'!$B$6,0))</x:f>
        <x:v>112279552</x:v>
      </x:c>
      <x:c r="P21" s="26" t="n">
        <x:f>IF($D21="USD",P20*'Donnees SOMIDA'!$B$5,IF($D21="JPY",P20*'Donnees SOMIDA'!$B$6,0))</x:f>
        <x:v>116665472</x:v>
      </x:c>
      <x:c r="Q21" s="26" t="n">
        <x:f>IF($D21="USD",Q20*'Donnees SOMIDA'!$B$5,IF($D21="JPY",Q20*'Donnees SOMIDA'!$B$6,0))</x:f>
        <x:v>98957320</x:v>
      </x:c>
      <x:c r="R21" s="26" t="n">
        <x:f>IF($D21="USD",R20*'Donnees SOMIDA'!$B$5,IF($D21="JPY",R20*'Donnees SOMIDA'!$B$6,0))</x:f>
        <x:v>117707128</x:v>
      </x:c>
      <x:c r="S21" s="26" t="n">
        <x:f>SUM(G21:R21)</x:f>
        <x:v>1343133176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52848180</x:v>
      </x:c>
      <x:c r="H24" s="26" t="n">
        <x:f>IF($D24="USD",H23*'Donnees SOMIDA'!$B$5,IF($D24="JPY",H23*'Donnees SOMIDA'!$B$6,0))</x:f>
        <x:v>52370780</x:v>
      </x:c>
      <x:c r="I24" s="26" t="n">
        <x:f>IF($D24="USD",I23*'Donnees SOMIDA'!$B$5,IF($D24="JPY",I23*'Donnees SOMIDA'!$B$6,0))</x:f>
        <x:v>45162040</x:v>
      </x:c>
      <x:c r="J24" s="26" t="n">
        <x:f>IF($D24="USD",J23*'Donnees SOMIDA'!$B$5,IF($D24="JPY",J23*'Donnees SOMIDA'!$B$6,0))</x:f>
        <x:v>47405820</x:v>
      </x:c>
      <x:c r="K24" s="26" t="n">
        <x:f>IF($D24="USD",K23*'Donnees SOMIDA'!$B$5,IF($D24="JPY",K23*'Donnees SOMIDA'!$B$6,0))</x:f>
        <x:v>58004100</x:v>
      </x:c>
      <x:c r="L24" s="26" t="n">
        <x:f>IF($D24="USD",L23*'Donnees SOMIDA'!$B$5,IF($D24="JPY",L23*'Donnees SOMIDA'!$B$6,0))</x:f>
        <x:v>67122440</x:v>
      </x:c>
      <x:c r="M24" s="26" t="n">
        <x:f>IF($D24="USD",M23*'Donnees SOMIDA'!$B$5,IF($D24="JPY",M23*'Donnees SOMIDA'!$B$6,0))</x:f>
        <x:v>44636900</x:v>
      </x:c>
      <x:c r="N24" s="26" t="n">
        <x:f>IF($D24="USD",N23*'Donnees SOMIDA'!$B$5,IF($D24="JPY",N23*'Donnees SOMIDA'!$B$6,0))</x:f>
        <x:v>60677540</x:v>
      </x:c>
      <x:c r="O24" s="26" t="n">
        <x:f>IF($D24="USD",O23*'Donnees SOMIDA'!$B$5,IF($D24="JPY",O23*'Donnees SOMIDA'!$B$6,0))</x:f>
        <x:v>56189980</x:v>
      </x:c>
      <x:c r="P24" s="26" t="n">
        <x:f>IF($D24="USD",P23*'Donnees SOMIDA'!$B$5,IF($D24="JPY",P23*'Donnees SOMIDA'!$B$6,0))</x:f>
        <x:v>65833460</x:v>
      </x:c>
      <x:c r="Q24" s="26" t="n">
        <x:f>IF($D24="USD",Q23*'Donnees SOMIDA'!$B$5,IF($D24="JPY",Q23*'Donnees SOMIDA'!$B$6,0))</x:f>
        <x:v>59627260</x:v>
      </x:c>
      <x:c r="R24" s="26" t="n">
        <x:f>IF($D24="USD",R23*'Donnees SOMIDA'!$B$5,IF($D24="JPY",R23*'Donnees SOMIDA'!$B$6,0))</x:f>
        <x:v>64830920</x:v>
      </x:c>
      <x:c r="S24" s="26" t="n">
        <x:f>SUM(G24:R24)</x:f>
        <x:v>674709420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134892775</x:v>
      </x:c>
      <x:c r="H27" s="29" t="n">
        <x:f>IF($D27="USD",H26*'Donnees SOMIDA'!$B$5,IF($D27="JPY",H26*'Donnees SOMIDA'!$B$6,0))</x:f>
        <x:v>106087800</x:v>
      </x:c>
      <x:c r="I27" s="29" t="n">
        <x:f>IF($D27="USD",I26*'Donnees SOMIDA'!$B$5,IF($D27="JPY",I26*'Donnees SOMIDA'!$B$6,0))</x:f>
        <x:v>132561175</x:v>
      </x:c>
      <x:c r="J27" s="29" t="n">
        <x:f>IF($D27="USD",J26*'Donnees SOMIDA'!$B$5,IF($D27="JPY",J26*'Donnees SOMIDA'!$B$6,0))</x:f>
        <x:v>96081350</x:v>
      </x:c>
      <x:c r="K27" s="29" t="n">
        <x:f>IF($D27="USD",K26*'Donnees SOMIDA'!$B$5,IF($D27="JPY",K26*'Donnees SOMIDA'!$B$6,0))</x:f>
        <x:v>113762650</x:v>
      </x:c>
      <x:c r="L27" s="29" t="n">
        <x:f>IF($D27="USD",L26*'Donnees SOMIDA'!$B$5,IF($D27="JPY",L26*'Donnees SOMIDA'!$B$6,0))</x:f>
        <x:v>91175275</x:v>
      </x:c>
      <x:c r="M27" s="29" t="n">
        <x:f>IF($D27="USD",M26*'Donnees SOMIDA'!$B$5,IF($D27="JPY",M26*'Donnees SOMIDA'!$B$6,0))</x:f>
        <x:v>87289275</x:v>
      </x:c>
      <x:c r="N27" s="29" t="n">
        <x:f>IF($D27="USD",N26*'Donnees SOMIDA'!$B$5,IF($D27="JPY",N26*'Donnees SOMIDA'!$B$6,0))</x:f>
        <x:v>90252350</x:v>
      </x:c>
      <x:c r="O27" s="29" t="n">
        <x:f>IF($D27="USD",O26*'Donnees SOMIDA'!$B$5,IF($D27="JPY",O26*'Donnees SOMIDA'!$B$6,0))</x:f>
        <x:v>124254850</x:v>
      </x:c>
      <x:c r="P27" s="29" t="n">
        <x:f>IF($D27="USD",P26*'Donnees SOMIDA'!$B$5,IF($D27="JPY",P26*'Donnees SOMIDA'!$B$6,0))</x:f>
        <x:v>132269725</x:v>
      </x:c>
      <x:c r="Q27" s="29" t="n">
        <x:f>IF($D27="USD",Q26*'Donnees SOMIDA'!$B$5,IF($D27="JPY",Q26*'Donnees SOMIDA'!$B$6,0))</x:f>
        <x:v>78545775</x:v>
      </x:c>
      <x:c r="R27" s="29" t="n">
        <x:f>IF($D27="USD",R26*'Donnees SOMIDA'!$B$5,IF($D27="JPY",R26*'Donnees SOMIDA'!$B$6,0))</x:f>
        <x:v>104484825</x:v>
      </x:c>
      <x:c r="S27" s="29" t="n">
        <x:f>SUM(G27:R27)</x:f>
        <x:v>1291657825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75748860</x:v>
      </x:c>
      <x:c r="H30" s="29" t="n">
        <x:f>IF($D30="USD",H29*'Donnees SOMIDA'!$B$5,IF($D30="JPY",H29*'Donnees SOMIDA'!$B$6,0))</x:f>
        <x:v>55982520</x:v>
      </x:c>
      <x:c r="I30" s="29" t="n">
        <x:f>IF($D30="USD",I29*'Donnees SOMIDA'!$B$5,IF($D30="JPY",I29*'Donnees SOMIDA'!$B$6,0))</x:f>
        <x:v>85433040</x:v>
      </x:c>
      <x:c r="J30" s="29" t="n">
        <x:f>IF($D30="USD",J29*'Donnees SOMIDA'!$B$5,IF($D30="JPY",J29*'Donnees SOMIDA'!$B$6,0))</x:f>
        <x:v>60979380</x:v>
      </x:c>
      <x:c r="K30" s="29" t="n">
        <x:f>IF($D30="USD",K29*'Donnees SOMIDA'!$B$5,IF($D30="JPY",K29*'Donnees SOMIDA'!$B$6,0))</x:f>
        <x:v>92552460</x:v>
      </x:c>
      <x:c r="L30" s="29" t="n">
        <x:f>IF($D30="USD",L29*'Donnees SOMIDA'!$B$5,IF($D30="JPY",L29*'Donnees SOMIDA'!$B$6,0))</x:f>
        <x:v>78402060</x:v>
      </x:c>
      <x:c r="M30" s="29" t="n">
        <x:f>IF($D30="USD",M29*'Donnees SOMIDA'!$B$5,IF($D30="JPY",M29*'Donnees SOMIDA'!$B$6,0))</x:f>
        <x:v>63809459.99999999</x:v>
      </x:c>
      <x:c r="N30" s="29" t="n">
        <x:f>IF($D30="USD",N29*'Donnees SOMIDA'!$B$5,IF($D30="JPY",N29*'Donnees SOMIDA'!$B$6,0))</x:f>
        <x:v>78048300</x:v>
      </x:c>
      <x:c r="O30" s="29" t="n">
        <x:f>IF($D30="USD",O29*'Donnees SOMIDA'!$B$5,IF($D30="JPY",O29*'Donnees SOMIDA'!$B$6,0))</x:f>
        <x:v>82868280</x:v>
      </x:c>
      <x:c r="P30" s="29" t="n">
        <x:f>IF($D30="USD",P29*'Donnees SOMIDA'!$B$5,IF($D30="JPY",P29*'Donnees SOMIDA'!$B$6,0))</x:f>
        <x:v>72520800</x:v>
      </x:c>
      <x:c r="Q30" s="29" t="n">
        <x:f>IF($D30="USD",Q29*'Donnees SOMIDA'!$B$5,IF($D30="JPY",Q29*'Donnees SOMIDA'!$B$6,0))</x:f>
        <x:v>80524620</x:v>
      </x:c>
      <x:c r="R30" s="29" t="n">
        <x:f>IF($D30="USD",R29*'Donnees SOMIDA'!$B$5,IF($D30="JPY",R29*'Donnees SOMIDA'!$B$6,0))</x:f>
        <x:v>87246060</x:v>
      </x:c>
      <x:c r="S30" s="29" t="n">
        <x:f>SUM(G30:R30)</x:f>
        <x:v>914115840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62413515.00000001</x:v>
      </x:c>
      <x:c r="H33" s="29" t="n">
        <x:f>IF($D33="USD",H32*'Donnees SOMIDA'!$B$5,IF($D33="JPY",H32*'Donnees SOMIDA'!$B$6,0))</x:f>
        <x:v>64498220</x:v>
      </x:c>
      <x:c r="I33" s="29" t="n">
        <x:f>IF($D33="USD",I32*'Donnees SOMIDA'!$B$5,IF($D33="JPY",I32*'Donnees SOMIDA'!$B$6,0))</x:f>
        <x:v>70922515</x:v>
      </x:c>
      <x:c r="J33" s="29" t="n">
        <x:f>IF($D33="USD",J32*'Donnees SOMIDA'!$B$5,IF($D33="JPY",J32*'Donnees SOMIDA'!$B$6,0))</x:f>
        <x:v>62370970</x:v>
      </x:c>
      <x:c r="K33" s="29" t="n">
        <x:f>IF($D33="USD",K32*'Donnees SOMIDA'!$B$5,IF($D33="JPY",K32*'Donnees SOMIDA'!$B$6,0))</x:f>
        <x:v>64625855</x:v>
      </x:c>
      <x:c r="L33" s="29" t="n">
        <x:f>IF($D33="USD",L32*'Donnees SOMIDA'!$B$5,IF($D33="JPY",L32*'Donnees SOMIDA'!$B$6,0))</x:f>
        <x:v>56669940.00000001</x:v>
      </x:c>
      <x:c r="M33" s="29" t="n">
        <x:f>IF($D33="USD",M32*'Donnees SOMIDA'!$B$5,IF($D33="JPY",M32*'Donnees SOMIDA'!$B$6,0))</x:f>
        <x:v>79516605</x:v>
      </x:c>
      <x:c r="N33" s="29" t="n">
        <x:f>IF($D33="USD",N32*'Donnees SOMIDA'!$B$5,IF($D33="JPY",N32*'Donnees SOMIDA'!$B$6,0))</x:f>
        <x:v>80367505</x:v>
      </x:c>
      <x:c r="O33" s="29" t="n">
        <x:f>IF($D33="USD",O32*'Donnees SOMIDA'!$B$5,IF($D33="JPY",O32*'Donnees SOMIDA'!$B$6,0))</x:f>
        <x:v>53138705</x:v>
      </x:c>
      <x:c r="P33" s="29" t="n">
        <x:f>IF($D33="USD",P32*'Donnees SOMIDA'!$B$5,IF($D33="JPY",P32*'Donnees SOMIDA'!$B$6,0))</x:f>
        <x:v>62966600</x:v>
      </x:c>
      <x:c r="Q33" s="29" t="n">
        <x:f>IF($D33="USD",Q32*'Donnees SOMIDA'!$B$5,IF($D33="JPY",Q32*'Donnees SOMIDA'!$B$6,0))</x:f>
        <x:v>53223795</x:v>
      </x:c>
      <x:c r="R33" s="29" t="n">
        <x:f>IF($D33="USD",R32*'Donnees SOMIDA'!$B$5,IF($D33="JPY",R32*'Donnees SOMIDA'!$B$6,0))</x:f>
        <x:v>56031765.00000001</x:v>
      </x:c>
      <x:c r="S33" s="29" t="n">
        <x:f>SUM(G33:R33)</x:f>
        <x:v>766745990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89311670</x:v>
      </x:c>
      <x:c r="H36" s="29" t="n">
        <x:f>IF($D36="USD",H35*'Donnees SOMIDA'!$B$5,IF($D36="JPY",H35*'Donnees SOMIDA'!$B$6,0))</x:f>
        <x:v>117297235</x:v>
      </x:c>
      <x:c r="I36" s="29" t="n">
        <x:f>IF($D36="USD",I35*'Donnees SOMIDA'!$B$5,IF($D36="JPY",I35*'Donnees SOMIDA'!$B$6,0))</x:f>
        <x:v>74643695</x:v>
      </x:c>
      <x:c r="J36" s="29" t="n">
        <x:f>IF($D36="USD",J35*'Donnees SOMIDA'!$B$5,IF($D36="JPY",J35*'Donnees SOMIDA'!$B$6,0))</x:f>
        <x:v>101046050</x:v>
      </x:c>
      <x:c r="K36" s="29" t="n">
        <x:f>IF($D36="USD",K35*'Donnees SOMIDA'!$B$5,IF($D36="JPY",K35*'Donnees SOMIDA'!$B$6,0))</x:f>
        <x:v>88892585</x:v>
      </x:c>
      <x:c r="L36" s="29" t="n">
        <x:f>IF($D36="USD",L35*'Donnees SOMIDA'!$B$5,IF($D36="JPY",L35*'Donnees SOMIDA'!$B$6,0))</x:f>
        <x:v>81116230</x:v>
      </x:c>
      <x:c r="M36" s="29" t="n">
        <x:f>IF($D36="USD",M35*'Donnees SOMIDA'!$B$5,IF($D36="JPY",M35*'Donnees SOMIDA'!$B$6,0))</x:f>
        <x:v>104584990</x:v>
      </x:c>
      <x:c r="N36" s="29" t="n">
        <x:f>IF($D36="USD",N35*'Donnees SOMIDA'!$B$5,IF($D36="JPY",N35*'Donnees SOMIDA'!$B$6,0))</x:f>
        <x:v>107937670</x:v>
      </x:c>
      <x:c r="O36" s="29" t="n">
        <x:f>IF($D36="USD",O35*'Donnees SOMIDA'!$B$5,IF($D36="JPY",O35*'Donnees SOMIDA'!$B$6,0))</x:f>
        <x:v>75062780</x:v>
      </x:c>
      <x:c r="P36" s="29" t="n">
        <x:f>IF($D36="USD",P35*'Donnees SOMIDA'!$B$5,IF($D36="JPY",P35*'Donnees SOMIDA'!$B$6,0))</x:f>
        <x:v>71384145</x:v>
      </x:c>
      <x:c r="Q36" s="29" t="n">
        <x:f>IF($D36="USD",Q35*'Donnees SOMIDA'!$B$5,IF($D36="JPY",Q35*'Donnees SOMIDA'!$B$6,0))</x:f>
        <x:v>117623190</x:v>
      </x:c>
      <x:c r="R36" s="29" t="n">
        <x:f>IF($D36="USD",R35*'Donnees SOMIDA'!$B$5,IF($D36="JPY",R35*'Donnees SOMIDA'!$B$6,0))</x:f>
        <x:v>95737640</x:v>
      </x:c>
      <x:c r="S36" s="29" t="n">
        <x:f>SUM(G36:R36)</x:f>
        <x:v>1124637880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49886860</x:v>
      </x:c>
      <x:c r="H39" s="29" t="n">
        <x:f>IF($D39="USD",H38*'Donnees SOMIDA'!$B$5,IF($D39="JPY",H38*'Donnees SOMIDA'!$B$6,0))</x:f>
        <x:v>47356940</x:v>
      </x:c>
      <x:c r="I39" s="29" t="n">
        <x:f>IF($D39="USD",I38*'Donnees SOMIDA'!$B$5,IF($D39="JPY",I38*'Donnees SOMIDA'!$B$6,0))</x:f>
        <x:v>39964830</x:v>
      </x:c>
      <x:c r="J39" s="29" t="n">
        <x:f>IF($D39="USD",J38*'Donnees SOMIDA'!$B$5,IF($D39="JPY",J38*'Donnees SOMIDA'!$B$6,0))</x:f>
        <x:v>55500120</x:v>
      </x:c>
      <x:c r="K39" s="29" t="n">
        <x:f>IF($D39="USD",K38*'Donnees SOMIDA'!$B$5,IF($D39="JPY",K38*'Donnees SOMIDA'!$B$6,0))</x:f>
        <x:v>53997980</x:v>
      </x:c>
      <x:c r="L39" s="29" t="n">
        <x:f>IF($D39="USD",L38*'Donnees SOMIDA'!$B$5,IF($D39="JPY",L38*'Donnees SOMIDA'!$B$6,0))</x:f>
        <x:v>38304570</x:v>
      </x:c>
      <x:c r="M39" s="29" t="n">
        <x:f>IF($D39="USD",M38*'Donnees SOMIDA'!$B$5,IF($D39="JPY",M38*'Donnees SOMIDA'!$B$6,0))</x:f>
        <x:v>40992610</x:v>
      </x:c>
      <x:c r="N39" s="29" t="n">
        <x:f>IF($D39="USD",N38*'Donnees SOMIDA'!$B$5,IF($D39="JPY",N38*'Donnees SOMIDA'!$B$6,0))</x:f>
        <x:v>38185980</x:v>
      </x:c>
      <x:c r="O39" s="29" t="n">
        <x:f>IF($D39="USD",O38*'Donnees SOMIDA'!$B$5,IF($D39="JPY",O38*'Donnees SOMIDA'!$B$6,0))</x:f>
        <x:v>59650770</x:v>
      </x:c>
      <x:c r="P39" s="29" t="n">
        <x:f>IF($D39="USD",P38*'Donnees SOMIDA'!$B$5,IF($D39="JPY",P38*'Donnees SOMIDA'!$B$6,0))</x:f>
        <x:v>48384720</x:v>
      </x:c>
      <x:c r="Q39" s="29" t="n">
        <x:f>IF($D39="USD",Q38*'Donnees SOMIDA'!$B$5,IF($D39="JPY",Q38*'Donnees SOMIDA'!$B$6,0))</x:f>
        <x:v>42415690</x:v>
      </x:c>
      <x:c r="R39" s="29" t="n">
        <x:f>IF($D39="USD",R38*'Donnees SOMIDA'!$B$5,IF($D39="JPY",R38*'Donnees SOMIDA'!$B$6,0))</x:f>
        <x:v>56962730</x:v>
      </x:c>
      <x:c r="S39" s="29" t="n">
        <x:f>SUM(G39:R39)</x:f>
        <x:v>571603800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96518525</x:v>
      </x:c>
      <x:c r="H42" s="32" t="n">
        <x:f>IF($D42="USD",H41*'Donnees SOMIDA'!$B$5,IF($D42="JPY",H41*'Donnees SOMIDA'!$B$6,0))</x:f>
        <x:v>119348775</x:v>
      </x:c>
      <x:c r="I42" s="32" t="n">
        <x:f>IF($D42="USD",I41*'Donnees SOMIDA'!$B$5,IF($D42="JPY",I41*'Donnees SOMIDA'!$B$6,0))</x:f>
        <x:v>106379250</x:v>
      </x:c>
      <x:c r="J42" s="32" t="n">
        <x:f>IF($D42="USD",J41*'Donnees SOMIDA'!$B$5,IF($D42="JPY",J41*'Donnees SOMIDA'!$B$6,0))</x:f>
        <x:v>88066475</x:v>
      </x:c>
      <x:c r="K42" s="32" t="n">
        <x:f>IF($D42="USD",K41*'Donnees SOMIDA'!$B$5,IF($D42="JPY",K41*'Donnees SOMIDA'!$B$6,0))</x:f>
        <x:v>91369575</x:v>
      </x:c>
      <x:c r="L42" s="32" t="n">
        <x:f>IF($D42="USD",L41*'Donnees SOMIDA'!$B$5,IF($D42="JPY",L41*'Donnees SOMIDA'!$B$6,0))</x:f>
        <x:v>100210225</x:v>
      </x:c>
      <x:c r="M42" s="32" t="n">
        <x:f>IF($D42="USD",M41*'Donnees SOMIDA'!$B$5,IF($D42="JPY",M41*'Donnees SOMIDA'!$B$6,0))</x:f>
        <x:v>81654575</x:v>
      </x:c>
      <x:c r="N42" s="32" t="n">
        <x:f>IF($D42="USD",N41*'Donnees SOMIDA'!$B$5,IF($D42="JPY",N41*'Donnees SOMIDA'!$B$6,0))</x:f>
        <x:v>120417425</x:v>
      </x:c>
      <x:c r="O42" s="32" t="n">
        <x:f>IF($D42="USD",O41*'Donnees SOMIDA'!$B$5,IF($D42="JPY",O41*'Donnees SOMIDA'!$B$6,0))</x:f>
        <x:v>79517275</x:v>
      </x:c>
      <x:c r="P42" s="32" t="n">
        <x:f>IF($D42="USD",P41*'Donnees SOMIDA'!$B$5,IF($D42="JPY",P41*'Donnees SOMIDA'!$B$6,0))</x:f>
        <x:v>101716050</x:v>
      </x:c>
      <x:c r="Q42" s="32" t="n">
        <x:f>IF($D42="USD",Q41*'Donnees SOMIDA'!$B$5,IF($D42="JPY",Q41*'Donnees SOMIDA'!$B$6,0))</x:f>
        <x:v>86997825</x:v>
      </x:c>
      <x:c r="R42" s="32" t="n">
        <x:f>IF($D42="USD",R41*'Donnees SOMIDA'!$B$5,IF($D42="JPY",R41*'Donnees SOMIDA'!$B$6,0))</x:f>
        <x:v>89135125</x:v>
      </x:c>
      <x:c r="S42" s="32" t="n">
        <x:f>SUM(G42:R42)</x:f>
        <x:v>1161331100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56026740.00000001</x:v>
      </x:c>
      <x:c r="H45" s="32" t="n">
        <x:f>IF($D45="USD",H44*'Donnees SOMIDA'!$B$5,IF($D45="JPY",H44*'Donnees SOMIDA'!$B$6,0))</x:f>
        <x:v>94807680</x:v>
      </x:c>
      <x:c r="I45" s="32" t="n">
        <x:f>IF($D45="USD",I44*'Donnees SOMIDA'!$B$5,IF($D45="JPY",I44*'Donnees SOMIDA'!$B$6,0))</x:f>
        <x:v>79065360</x:v>
      </x:c>
      <x:c r="J45" s="32" t="n">
        <x:f>IF($D45="USD",J44*'Donnees SOMIDA'!$B$5,IF($D45="JPY",J44*'Donnees SOMIDA'!$B$6,0))</x:f>
        <x:v>80834160</x:v>
      </x:c>
      <x:c r="K45" s="32" t="n">
        <x:f>IF($D45="USD",K44*'Donnees SOMIDA'!$B$5,IF($D45="JPY",K44*'Donnees SOMIDA'!$B$6,0))</x:f>
        <x:v>93127320</x:v>
      </x:c>
      <x:c r="L45" s="32" t="n">
        <x:f>IF($D45="USD",L44*'Donnees SOMIDA'!$B$5,IF($D45="JPY",L44*'Donnees SOMIDA'!$B$6,0))</x:f>
        <x:v>88440000</x:v>
      </x:c>
      <x:c r="M45" s="32" t="n">
        <x:f>IF($D45="USD",M44*'Donnees SOMIDA'!$B$5,IF($D45="JPY",M44*'Donnees SOMIDA'!$B$6,0))</x:f>
        <x:v>61996440.00000001</x:v>
      </x:c>
      <x:c r="N45" s="32" t="n">
        <x:f>IF($D45="USD",N44*'Donnees SOMIDA'!$B$5,IF($D45="JPY",N44*'Donnees SOMIDA'!$B$6,0))</x:f>
        <x:v>59122140.00000001</x:v>
      </x:c>
      <x:c r="O45" s="32" t="n">
        <x:f>IF($D45="USD",O44*'Donnees SOMIDA'!$B$5,IF($D45="JPY",O44*'Donnees SOMIDA'!$B$6,0))</x:f>
        <x:v>68364120</x:v>
      </x:c>
      <x:c r="P45" s="32" t="n">
        <x:f>IF($D45="USD",P44*'Donnees SOMIDA'!$B$5,IF($D45="JPY",P44*'Donnees SOMIDA'!$B$6,0))</x:f>
        <x:v>84637080</x:v>
      </x:c>
      <x:c r="Q45" s="32" t="n">
        <x:f>IF($D45="USD",Q44*'Donnees SOMIDA'!$B$5,IF($D45="JPY",Q44*'Donnees SOMIDA'!$B$6,0))</x:f>
        <x:v>77606100</x:v>
      </x:c>
      <x:c r="R45" s="32" t="n">
        <x:f>IF($D45="USD",R44*'Donnees SOMIDA'!$B$5,IF($D45="JPY",R44*'Donnees SOMIDA'!$B$6,0))</x:f>
        <x:v>95338320</x:v>
      </x:c>
      <x:c r="S45" s="32" t="n">
        <x:f>SUM(G45:R45)</x:f>
        <x:v>939365460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76538455</x:v>
      </x:c>
      <x:c r="H48" s="32" t="n">
        <x:f>IF($D48="USD",H47*'Donnees SOMIDA'!$B$5,IF($D48="JPY",H47*'Donnees SOMIDA'!$B$6,0))</x:f>
        <x:v>77006450</x:v>
      </x:c>
      <x:c r="I48" s="32" t="n">
        <x:f>IF($D48="USD",I47*'Donnees SOMIDA'!$B$5,IF($D48="JPY",I47*'Donnees SOMIDA'!$B$6,0))</x:f>
        <x:v>67689095</x:v>
      </x:c>
      <x:c r="J48" s="32" t="n">
        <x:f>IF($D48="USD",J47*'Donnees SOMIDA'!$B$5,IF($D48="JPY",J47*'Donnees SOMIDA'!$B$6,0))</x:f>
        <x:v>62413515.00000001</x:v>
      </x:c>
      <x:c r="K48" s="32" t="n">
        <x:f>IF($D48="USD",K47*'Donnees SOMIDA'!$B$5,IF($D48="JPY",K47*'Donnees SOMIDA'!$B$6,0))</x:f>
        <x:v>63009145</x:v>
      </x:c>
      <x:c r="L48" s="32" t="n">
        <x:f>IF($D48="USD",L47*'Donnees SOMIDA'!$B$5,IF($D48="JPY",L47*'Donnees SOMIDA'!$B$6,0))</x:f>
        <x:v>46374050</x:v>
      </x:c>
      <x:c r="M48" s="32" t="n">
        <x:f>IF($D48="USD",M47*'Donnees SOMIDA'!$B$5,IF($D48="JPY",M47*'Donnees SOMIDA'!$B$6,0))</x:f>
        <x:v>72156320</x:v>
      </x:c>
      <x:c r="N48" s="32" t="n">
        <x:f>IF($D48="USD",N47*'Donnees SOMIDA'!$B$5,IF($D48="JPY",N47*'Donnees SOMIDA'!$B$6,0))</x:f>
        <x:v>76113005</x:v>
      </x:c>
      <x:c r="O48" s="32" t="n">
        <x:f>IF($D48="USD",O47*'Donnees SOMIDA'!$B$5,IF($D48="JPY",O47*'Donnees SOMIDA'!$B$6,0))</x:f>
        <x:v>59775725</x:v>
      </x:c>
      <x:c r="P48" s="32" t="n">
        <x:f>IF($D48="USD",P47*'Donnees SOMIDA'!$B$5,IF($D48="JPY",P47*'Donnees SOMIDA'!$B$6,0))</x:f>
        <x:v>81601310</x:v>
      </x:c>
      <x:c r="Q48" s="32" t="n">
        <x:f>IF($D48="USD",Q47*'Donnees SOMIDA'!$B$5,IF($D48="JPY",Q47*'Donnees SOMIDA'!$B$6,0))</x:f>
        <x:v>46969680</x:v>
      </x:c>
      <x:c r="R48" s="32" t="n">
        <x:f>IF($D48="USD",R47*'Donnees SOMIDA'!$B$5,IF($D48="JPY",R47*'Donnees SOMIDA'!$B$6,0))</x:f>
        <x:v>76495910</x:v>
      </x:c>
      <x:c r="S48" s="32" t="n">
        <x:f>SUM(G48:R48)</x:f>
        <x:v>806142660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105842245</x:v>
      </x:c>
      <x:c r="H51" s="32" t="n">
        <x:f>IF($D51="USD",H50*'Donnees SOMIDA'!$B$5,IF($D51="JPY",H50*'Donnees SOMIDA'!$B$6,0))</x:f>
        <x:v>110545310</x:v>
      </x:c>
      <x:c r="I51" s="32" t="n">
        <x:f>IF($D51="USD",I50*'Donnees SOMIDA'!$B$5,IF($D51="JPY",I50*'Donnees SOMIDA'!$B$6,0))</x:f>
        <x:v>106401025</x:v>
      </x:c>
      <x:c r="J51" s="32" t="n">
        <x:f>IF($D51="USD",J50*'Donnees SOMIDA'!$B$5,IF($D51="JPY",J50*'Donnees SOMIDA'!$B$6,0))</x:f>
        <x:v>86378075</x:v>
      </x:c>
      <x:c r="K51" s="32" t="n">
        <x:f>IF($D51="USD",K50*'Donnees SOMIDA'!$B$5,IF($D51="JPY",K50*'Donnees SOMIDA'!$B$6,0))</x:f>
        <x:v>88287240</x:v>
      </x:c>
      <x:c r="L51" s="32" t="n">
        <x:f>IF($D51="USD",L50*'Donnees SOMIDA'!$B$5,IF($D51="JPY",L50*'Donnees SOMIDA'!$B$6,0))</x:f>
        <x:v>95318555</x:v>
      </x:c>
      <x:c r="M51" s="32" t="n">
        <x:f>IF($D51="USD",M50*'Donnees SOMIDA'!$B$5,IF($D51="JPY",M50*'Donnees SOMIDA'!$B$6,0))</x:f>
        <x:v>118927010</x:v>
      </x:c>
      <x:c r="N51" s="32" t="n">
        <x:f>IF($D51="USD",N50*'Donnees SOMIDA'!$B$5,IF($D51="JPY",N50*'Donnees SOMIDA'!$B$6,0))</x:f>
        <x:v>74829955</x:v>
      </x:c>
      <x:c r="O51" s="32" t="n">
        <x:f>IF($D51="USD",O50*'Donnees SOMIDA'!$B$5,IF($D51="JPY",O50*'Donnees SOMIDA'!$B$6,0))</x:f>
        <x:v>82047530</x:v>
      </x:c>
      <x:c r="P51" s="32" t="n">
        <x:f>IF($D51="USD",P50*'Donnees SOMIDA'!$B$5,IF($D51="JPY",P50*'Donnees SOMIDA'!$B$6,0))</x:f>
        <x:v>110824700</x:v>
      </x:c>
      <x:c r="Q51" s="32" t="n">
        <x:f>IF($D51="USD",Q50*'Donnees SOMIDA'!$B$5,IF($D51="JPY",Q50*'Donnees SOMIDA'!$B$6,0))</x:f>
        <x:v>73572700</x:v>
      </x:c>
      <x:c r="R51" s="32" t="n">
        <x:f>IF($D51="USD",R50*'Donnees SOMIDA'!$B$5,IF($D51="JPY",R50*'Donnees SOMIDA'!$B$6,0))</x:f>
        <x:v>75574995</x:v>
      </x:c>
      <x:c r="S51" s="32" t="n">
        <x:f>SUM(G51:R51)</x:f>
        <x:v>1128549340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52021480</x:v>
      </x:c>
      <x:c r="H54" s="32" t="n">
        <x:f>IF($D54="USD",H53*'Donnees SOMIDA'!$B$5,IF($D54="JPY",H53*'Donnees SOMIDA'!$B$6,0))</x:f>
        <x:v>40122950</x:v>
      </x:c>
      <x:c r="I54" s="32" t="n">
        <x:f>IF($D54="USD",I53*'Donnees SOMIDA'!$B$5,IF($D54="JPY",I53*'Donnees SOMIDA'!$B$6,0))</x:f>
        <x:v>43799240</x:v>
      </x:c>
      <x:c r="J54" s="32" t="n">
        <x:f>IF($D54="USD",J53*'Donnees SOMIDA'!$B$5,IF($D54="JPY",J53*'Donnees SOMIDA'!$B$6,0))</x:f>
        <x:v>54828110</x:v>
      </x:c>
      <x:c r="K54" s="32" t="n">
        <x:f>IF($D54="USD",K53*'Donnees SOMIDA'!$B$5,IF($D54="JPY",K53*'Donnees SOMIDA'!$B$6,0))</x:f>
        <x:v>56923200</x:v>
      </x:c>
      <x:c r="L54" s="32" t="n">
        <x:f>IF($D54="USD",L53*'Donnees SOMIDA'!$B$5,IF($D54="JPY",L53*'Donnees SOMIDA'!$B$6,0))</x:f>
        <x:v>44708430</x:v>
      </x:c>
      <x:c r="M54" s="32" t="n">
        <x:f>IF($D54="USD",M53*'Donnees SOMIDA'!$B$5,IF($D54="JPY",M53*'Donnees SOMIDA'!$B$6,0))</x:f>
        <x:v>57239440.00000001</x:v>
      </x:c>
      <x:c r="N54" s="32" t="n">
        <x:f>IF($D54="USD",N53*'Donnees SOMIDA'!$B$5,IF($D54="JPY",N53*'Donnees SOMIDA'!$B$6,0))</x:f>
        <x:v>54156100</x:v>
      </x:c>
      <x:c r="O54" s="32" t="n">
        <x:f>IF($D54="USD",O53*'Donnees SOMIDA'!$B$5,IF($D54="JPY",O53*'Donnees SOMIDA'!$B$6,0))</x:f>
        <x:v>37632560</x:v>
      </x:c>
      <x:c r="P54" s="32" t="n">
        <x:f>IF($D54="USD",P53*'Donnees SOMIDA'!$B$5,IF($D54="JPY",P53*'Donnees SOMIDA'!$B$6,0))</x:f>
        <x:v>51942420</x:v>
      </x:c>
      <x:c r="Q54" s="32" t="n">
        <x:f>IF($D54="USD",Q53*'Donnees SOMIDA'!$B$5,IF($D54="JPY",Q53*'Donnees SOMIDA'!$B$6,0))</x:f>
        <x:v>36090890</x:v>
      </x:c>
      <x:c r="R54" s="32" t="n">
        <x:f>IF($D54="USD",R53*'Donnees SOMIDA'!$B$5,IF($D54="JPY",R53*'Donnees SOMIDA'!$B$6,0))</x:f>
        <x:v>40715900</x:v>
      </x:c>
      <x:c r="S54" s="32" t="n">
        <x:f>SUM(G54:R54)</x:f>
        <x:v>570180720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7225537</x:v>
      </x:c>
      <x:c r="F2" s="4" t="n">
        <x:v>6221094</x:v>
      </x:c>
      <x:c r="G2" s="4" t="n">
        <x:v>5844837</x:v>
      </x:c>
      <x:c r="H2" s="4" t="n">
        <x:v>6795996</x:v>
      </x:c>
      <x:c r="I2" s="4" t="n">
        <x:v>6822170</x:v>
      </x:c>
      <x:c r="J2" s="4" t="n">
        <x:v>6612308</x:v>
      </x:c>
      <x:c r="K2" s="4" t="n">
        <x:v>6947434</x:v>
      </x:c>
      <x:c r="L2" s="4" t="n">
        <x:v>6462272</x:v>
      </x:c>
      <x:c r="M2" s="4" t="n">
        <x:v>6053765</x:v>
      </x:c>
      <x:c r="N2" s="4" t="n">
        <x:v>7590576</x:v>
      </x:c>
      <x:c r="O2" s="4" t="n">
        <x:v>5744346</x:v>
      </x:c>
      <x:c r="P2" s="4" t="n">
        <x:v>6056569</x:v>
      </x:c>
      <x:c r="Q2" s="4" t="n">
        <x:f>SUM(E2:P2)</x:f>
        <x:v>78376904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2864695</x:v>
      </x:c>
      <x:c r="F3" s="4" t="n">
        <x:v>3141863</x:v>
      </x:c>
      <x:c r="G3" s="4" t="n">
        <x:v>3368552</x:v>
      </x:c>
      <x:c r="H3" s="4" t="n">
        <x:v>3149341</x:v>
      </x:c>
      <x:c r="I3" s="4" t="n">
        <x:v>2586124</x:v>
      </x:c>
      <x:c r="J3" s="4" t="n">
        <x:v>2789443</x:v>
      </x:c>
      <x:c r="K3" s="4" t="n">
        <x:v>3064742</x:v>
      </x:c>
      <x:c r="L3" s="4" t="n">
        <x:v>3026882</x:v>
      </x:c>
      <x:c r="M3" s="4" t="n">
        <x:v>3265256</x:v>
      </x:c>
      <x:c r="N3" s="4" t="n">
        <x:v>3048383</x:v>
      </x:c>
      <x:c r="O3" s="4" t="n">
        <x:v>3487739</x:v>
      </x:c>
      <x:c r="P3" s="4" t="n">
        <x:v>3154483</x:v>
      </x:c>
      <x:c r="Q3" s="4" t="n">
        <x:f>SUM(E3:P3)</x:f>
        <x:v>36947503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3971965</x:v>
      </x:c>
      <x:c r="F4" s="4" t="n">
        <x:v>4209404</x:v>
      </x:c>
      <x:c r="G4" s="4" t="n">
        <x:v>3562523</x:v>
      </x:c>
      <x:c r="H4" s="4" t="n">
        <x:v>4319711</x:v>
      </x:c>
      <x:c r="I4" s="4" t="n">
        <x:v>3912138</x:v>
      </x:c>
      <x:c r="J4" s="4" t="n">
        <x:v>4004683</x:v>
      </x:c>
      <x:c r="K4" s="4" t="n">
        <x:v>3616274</x:v>
      </x:c>
      <x:c r="L4" s="4" t="n">
        <x:v>3906062</x:v>
      </x:c>
      <x:c r="M4" s="4" t="n">
        <x:v>4532378</x:v>
      </x:c>
      <x:c r="N4" s="4" t="n">
        <x:v>4396364</x:v>
      </x:c>
      <x:c r="O4" s="4" t="n">
        <x:v>3843430</x:v>
      </x:c>
      <x:c r="P4" s="4" t="n">
        <x:v>4610901</x:v>
      </x:c>
      <x:c r="Q4" s="4" t="n">
        <x:f>SUM(E4:P4)</x:f>
        <x:v>48885833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20598785</x:v>
      </x:c>
      <x:c r="F5" s="4" t="n">
        <x:v>24336583</x:v>
      </x:c>
      <x:c r="G5" s="4" t="n">
        <x:v>23909847</x:v>
      </x:c>
      <x:c r="H5" s="4" t="n">
        <x:v>20375836</x:v>
      </x:c>
      <x:c r="I5" s="4" t="n">
        <x:v>23777105</x:v>
      </x:c>
      <x:c r="J5" s="4" t="n">
        <x:v>24327703</x:v>
      </x:c>
      <x:c r="K5" s="4" t="n">
        <x:v>22252447</x:v>
      </x:c>
      <x:c r="L5" s="4" t="n">
        <x:v>26240303</x:v>
      </x:c>
      <x:c r="M5" s="4" t="n">
        <x:v>19809814</x:v>
      </x:c>
      <x:c r="N5" s="4" t="n">
        <x:v>24103351</x:v>
      </x:c>
      <x:c r="O5" s="4" t="n">
        <x:v>24423052</x:v>
      </x:c>
      <x:c r="P5" s="4" t="n">
        <x:v>22292643</x:v>
      </x:c>
      <x:c r="Q5" s="4" t="n">
        <x:f>SUM(E5:P5)</x:f>
        <x:v>276447469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1915405</x:v>
      </x:c>
      <x:c r="F6" s="4" t="n">
        <x:v>2457122</x:v>
      </x:c>
      <x:c r="G6" s="4" t="n">
        <x:v>2466470</x:v>
      </x:c>
      <x:c r="H6" s="4" t="n">
        <x:v>2433752</x:v>
      </x:c>
      <x:c r="I6" s="4" t="n">
        <x:v>2471144</x:v>
      </x:c>
      <x:c r="J6" s="4" t="n">
        <x:v>2272499</x:v>
      </x:c>
      <x:c r="K6" s="4" t="n">
        <x:v>2444502</x:v>
      </x:c>
      <x:c r="L6" s="4" t="n">
        <x:v>2514612</x:v>
      </x:c>
      <x:c r="M6" s="4" t="n">
        <x:v>2023842</x:v>
      </x:c>
      <x:c r="N6" s="4" t="n">
        <x:v>2311293</x:v>
      </x:c>
      <x:c r="O6" s="4" t="n">
        <x:v>2485633</x:v>
      </x:c>
      <x:c r="P6" s="4" t="n">
        <x:v>2058430</x:v>
      </x:c>
      <x:c r="Q6" s="4" t="n">
        <x:f>SUM(E6:P6)</x:f>
        <x:v>27854704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1454081</x:v>
      </x:c>
      <x:c r="F7" s="4" t="n">
        <x:v>1315731</x:v>
      </x:c>
      <x:c r="G7" s="4" t="n">
        <x:v>1484930</x:v>
      </x:c>
      <x:c r="H7" s="4" t="n">
        <x:v>1507832</x:v>
      </x:c>
      <x:c r="I7" s="4" t="n">
        <x:v>1596171</x:v>
      </x:c>
      <x:c r="J7" s="4" t="n">
        <x:v>1319003</x:v>
      </x:c>
      <x:c r="K7" s="4" t="n">
        <x:v>1331623</x:v>
      </x:c>
      <x:c r="L7" s="4" t="n">
        <x:v>1732652</x:v>
      </x:c>
      <x:c r="M7" s="4" t="n">
        <x:v>1702738</x:v>
      </x:c>
      <x:c r="N7" s="4" t="n">
        <x:v>1337699</x:v>
      </x:c>
      <x:c r="O7" s="4" t="n">
        <x:v>1400330</x:v>
      </x:c>
      <x:c r="P7" s="4" t="n">
        <x:v>1400330</x:v>
      </x:c>
      <x:c r="Q7" s="4" t="n">
        <x:f>SUM(E7:P7)</x:f>
        <x:v>17583120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6620721</x:v>
      </x:c>
      <x:c r="F8" s="4" t="n">
        <x:v>7121774</x:v>
      </x:c>
      <x:c r="G8" s="4" t="n">
        <x:v>7349865</x:v>
      </x:c>
      <x:c r="H8" s="4" t="n">
        <x:v>7188145</x:v>
      </x:c>
      <x:c r="I8" s="4" t="n">
        <x:v>6131821</x:v>
      </x:c>
      <x:c r="J8" s="4" t="n">
        <x:v>7935050</x:v>
      </x:c>
      <x:c r="K8" s="4" t="n">
        <x:v>6312704</x:v>
      </x:c>
      <x:c r="L8" s="4" t="n">
        <x:v>6348227</x:v>
      </x:c>
      <x:c r="M8" s="4" t="n">
        <x:v>7618153</x:v>
      </x:c>
      <x:c r="N8" s="4" t="n">
        <x:v>7833624</x:v>
      </x:c>
      <x:c r="O8" s="4" t="n">
        <x:v>7970572</x:v>
      </x:c>
      <x:c r="P8" s="4" t="n">
        <x:v>7769590</x:v>
      </x:c>
      <x:c r="Q8" s="4" t="n">
        <x:f>SUM(E8:P8)</x:f>
        <x:v>86200246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3591034</x:v>
      </x:c>
      <x:c r="F9" s="4" t="n">
        <x:v>3395194</x:v>
      </x:c>
      <x:c r="G9" s="4" t="n">
        <x:v>3682177</x:v>
      </x:c>
      <x:c r="H9" s="4" t="n">
        <x:v>3552707</x:v>
      </x:c>
      <x:c r="I9" s="4" t="n">
        <x:v>3292833</x:v>
      </x:c>
      <x:c r="J9" s="4" t="n">
        <x:v>2834314</x:v>
      </x:c>
      <x:c r="K9" s="4" t="n">
        <x:v>2913304</x:v>
      </x:c>
      <x:c r="L9" s="4" t="n">
        <x:v>3360606</x:v>
      </x:c>
      <x:c r="M9" s="4" t="n">
        <x:v>3659742</x:v>
      </x:c>
      <x:c r="N9" s="4" t="n">
        <x:v>2867499</x:v>
      </x:c>
      <x:c r="O9" s="4" t="n">
        <x:v>2859086</x:v>
      </x:c>
      <x:c r="P9" s="4" t="n">
        <x:v>3768646</x:v>
      </x:c>
      <x:c r="Q9" s="4" t="n">
        <x:f>SUM(E9:P9)</x:f>
        <x:v>39777142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3945323</x:v>
      </x:c>
      <x:c r="F10" s="4" t="n">
        <x:v>4388419</x:v>
      </x:c>
      <x:c r="G10" s="4" t="n">
        <x:v>4864699</x:v>
      </x:c>
      <x:c r="H10" s="4" t="n">
        <x:v>3921019</x:v>
      </x:c>
      <x:c r="I10" s="4" t="n">
        <x:v>3959813</x:v>
      </x:c>
      <x:c r="J10" s="4" t="n">
        <x:v>4937614</x:v>
      </x:c>
      <x:c r="K10" s="4" t="n">
        <x:v>4926396</x:v>
      </x:c>
      <x:c r="L10" s="4" t="n">
        <x:v>4390288</x:v>
      </x:c>
      <x:c r="M10" s="4" t="n">
        <x:v>4882928</x:v>
      </x:c>
      <x:c r="N10" s="4" t="n">
        <x:v>4846938</x:v>
      </x:c>
      <x:c r="O10" s="4" t="n">
        <x:v>4856753</x:v>
      </x:c>
      <x:c r="P10" s="4" t="n">
        <x:v>5137661</x:v>
      </x:c>
      <x:c r="Q10" s="4" t="n">
        <x:f>SUM(E10:P10)</x:f>
        <x:v>55057851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21687827</x:v>
      </x:c>
      <x:c r="F11" s="4" t="n">
        <x:v>24975519</x:v>
      </x:c>
      <x:c r="G11" s="4" t="n">
        <x:v>28841384</x:v>
      </x:c>
      <x:c r="H11" s="4" t="n">
        <x:v>22185141</x:v>
      </x:c>
      <x:c r="I11" s="4" t="n">
        <x:v>24251516</x:v>
      </x:c>
      <x:c r="J11" s="4" t="n">
        <x:v>22424450</x:v>
      </x:c>
      <x:c r="K11" s="4" t="n">
        <x:v>27094711</x:v>
      </x:c>
      <x:c r="L11" s="4" t="n">
        <x:v>22683857</x:v>
      </x:c>
      <x:c r="M11" s="4" t="n">
        <x:v>26131399</x:v>
      </x:c>
      <x:c r="N11" s="4" t="n">
        <x:v>27048905</x:v>
      </x:c>
      <x:c r="O11" s="4" t="n">
        <x:v>22486614</x:v>
      </x:c>
      <x:c r="P11" s="4" t="n">
        <x:v>28306211</x:v>
      </x:c>
      <x:c r="Q11" s="4" t="n">
        <x:f>SUM(E11:P11)</x:f>
        <x:v>298117534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2068245</x:v>
      </x:c>
      <x:c r="F12" s="4" t="n">
        <x:v>2393088</x:v>
      </x:c>
      <x:c r="G12" s="4" t="n">
        <x:v>2248661</x:v>
      </x:c>
      <x:c r="H12" s="4" t="n">
        <x:v>2552004</x:v>
      </x:c>
      <x:c r="I12" s="4" t="n">
        <x:v>2659506</x:v>
      </x:c>
      <x:c r="J12" s="4" t="n">
        <x:v>2292130</x:v>
      </x:c>
      <x:c r="K12" s="4" t="n">
        <x:v>2054223</x:v>
      </x:c>
      <x:c r="L12" s="4" t="n">
        <x:v>2438893</x:v>
      </x:c>
      <x:c r="M12" s="4" t="n">
        <x:v>2388881</x:v>
      </x:c>
      <x:c r="N12" s="4" t="n">
        <x:v>2623984</x:v>
      </x:c>
      <x:c r="O12" s="4" t="n">
        <x:v>2644549</x:v>
      </x:c>
      <x:c r="P12" s="4" t="n">
        <x:v>2043940</x:v>
      </x:c>
      <x:c r="Q12" s="4" t="n">
        <x:f>SUM(E12:P12)</x:f>
        <x:v>28408104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1567660</x:v>
      </x:c>
      <x:c r="F13" s="4" t="n">
        <x:v>1879883</x:v>
      </x:c>
      <x:c r="G13" s="4" t="n">
        <x:v>1857448</x:v>
      </x:c>
      <x:c r="H13" s="4" t="n">
        <x:v>1607856</x:v>
      </x:c>
      <x:c r="I13" s="4" t="n">
        <x:v>1644313</x:v>
      </x:c>
      <x:c r="J13" s="4" t="n">
        <x:v>1487267</x:v>
      </x:c>
      <x:c r="K13" s="4" t="n">
        <x:v>1773783</x:v>
      </x:c>
      <x:c r="L13" s="4" t="n">
        <x:v>1687314</x:v>
      </x:c>
      <x:c r="M13" s="4" t="n">
        <x:v>1523724</x:v>
      </x:c>
      <x:c r="N13" s="4" t="n">
        <x:v>1623748</x:v>
      </x:c>
      <x:c r="O13" s="4" t="n">
        <x:v>1532605</x:v>
      </x:c>
      <x:c r="P13" s="4" t="n">
        <x:v>1800425</x:v>
      </x:c>
      <x:c r="Q13" s="4" t="n">
        <x:f>SUM(E13:P13)</x:f>
        <x:v>19986026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5374633</x:v>
      </x:c>
      <x:c r="F14" s="4" t="n">
        <x:v>6628667</x:v>
      </x:c>
      <x:c r="G14" s="4" t="n">
        <x:v>5862598</x:v>
      </x:c>
      <x:c r="H14" s="4" t="n">
        <x:v>6133690</x:v>
      </x:c>
      <x:c r="I14" s="4" t="n">
        <x:v>6335140</x:v>
      </x:c>
      <x:c r="J14" s="4" t="n">
        <x:v>5012865</x:v>
      </x:c>
      <x:c r="K14" s="4" t="n">
        <x:v>5705552</x:v>
      </x:c>
      <x:c r="L14" s="4" t="n">
        <x:v>6256616</x:v>
      </x:c>
      <x:c r="M14" s="4" t="n">
        <x:v>6209409</x:v>
      </x:c>
      <x:c r="N14" s="4" t="n">
        <x:v>6480034</x:v>
      </x:c>
      <x:c r="O14" s="4" t="n">
        <x:v>5771923</x:v>
      </x:c>
      <x:c r="P14" s="4" t="n">
        <x:v>5325556</x:v>
      </x:c>
      <x:c r="Q14" s="4" t="n">
        <x:f>SUM(E14:P14)</x:f>
        <x:v>71096683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2642212</x:v>
      </x:c>
      <x:c r="F15" s="4" t="n">
        <x:v>2687550</x:v>
      </x:c>
      <x:c r="G15" s="4" t="n">
        <x:v>2647354</x:v>
      </x:c>
      <x:c r="H15" s="4" t="n">
        <x:v>2336533</x:v>
      </x:c>
      <x:c r="I15" s="4" t="n">
        <x:v>2854412</x:v>
      </x:c>
      <x:c r="J15" s="4" t="n">
        <x:v>2328587</x:v>
      </x:c>
      <x:c r="K15" s="4" t="n">
        <x:v>2432350</x:v>
      </x:c>
      <x:c r="L15" s="4" t="n">
        <x:v>2752519</x:v>
      </x:c>
      <x:c r="M15" s="4" t="n">
        <x:v>2672593</x:v>
      </x:c>
      <x:c r="N15" s="4" t="n">
        <x:v>2580515</x:v>
      </x:c>
      <x:c r="O15" s="4" t="n">
        <x:v>2380936</x:v>
      </x:c>
      <x:c r="P15" s="4" t="n">
        <x:v>3096992</x:v>
      </x:c>
      <x:c r="Q15" s="4" t="n">
        <x:f>SUM(E15:P15)</x:f>
        <x:v>31412553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3350323</x:v>
      </x:c>
      <x:c r="F16" s="4" t="n">
        <x:v>3334899</x:v>
      </x:c>
      <x:c r="G16" s="4" t="n">
        <x:v>3168972</x:v>
      </x:c>
      <x:c r="H16" s="4" t="n">
        <x:v>4189774</x:v>
      </x:c>
      <x:c r="I16" s="4" t="n">
        <x:v>3943454</x:v>
      </x:c>
      <x:c r="J16" s="4" t="n">
        <x:v>3481195</x:v>
      </x:c>
      <x:c r="K16" s="4" t="n">
        <x:v>3490543</x:v>
      </x:c>
      <x:c r="L16" s="4" t="n">
        <x:v>3906997</x:v>
      </x:c>
      <x:c r="M16" s="4" t="n">
        <x:v>3494750</x:v>
      </x:c>
      <x:c r="N16" s="4" t="n">
        <x:v>3598980</x:v>
      </x:c>
      <x:c r="O16" s="4" t="n">
        <x:v>3897181</x:v>
      </x:c>
      <x:c r="P16" s="4" t="n">
        <x:v>3571871</x:v>
      </x:c>
      <x:c r="Q16" s="4" t="n">
        <x:f>SUM(E16:P16)</x:f>
        <x:v>43428939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21470954</x:v>
      </x:c>
      <x:c r="F17" s="4" t="n">
        <x:v>21258754</x:v>
      </x:c>
      <x:c r="G17" s="4" t="n">
        <x:v>22459037</x:v>
      </x:c>
      <x:c r="H17" s="4" t="n">
        <x:v>18191675</x:v>
      </x:c>
      <x:c r="I17" s="4" t="n">
        <x:v>22208511</x:v>
      </x:c>
      <x:c r="J17" s="4" t="n">
        <x:v>23085821</x:v>
      </x:c>
      <x:c r="K17" s="4" t="n">
        <x:v>17924790</x:v>
      </x:c>
      <x:c r="L17" s="4" t="n">
        <x:v>22474462</x:v>
      </x:c>
      <x:c r="M17" s="4" t="n">
        <x:v>22097737</x:v>
      </x:c>
      <x:c r="N17" s="4" t="n">
        <x:v>20530545</x:v>
      </x:c>
      <x:c r="O17" s="4" t="n">
        <x:v>19320914</x:v>
      </x:c>
      <x:c r="P17" s="4" t="n">
        <x:v>21657446</x:v>
      </x:c>
      <x:c r="Q17" s="4" t="n">
        <x:f>SUM(E17:P17)</x:f>
        <x:v>252680646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1871937</x:v>
      </x:c>
      <x:c r="F18" s="4" t="n">
        <x:v>1701803</x:v>
      </x:c>
      <x:c r="G18" s="4" t="n">
        <x:v>1690586</x:v>
      </x:c>
      <x:c r="H18" s="4" t="n">
        <x:v>1934569</x:v>
      </x:c>
      <x:c r="I18" s="4" t="n">
        <x:v>2028049</x:v>
      </x:c>
      <x:c r="J18" s="4" t="n">
        <x:v>1951395</x:v>
      </x:c>
      <x:c r="K18" s="4" t="n">
        <x:v>1793414</x:v>
      </x:c>
      <x:c r="L18" s="4" t="n">
        <x:v>1706945</x:v>
      </x:c>
      <x:c r="M18" s="4" t="n">
        <x:v>1722836</x:v>
      </x:c>
      <x:c r="N18" s="4" t="n">
        <x:v>1873807</x:v>
      </x:c>
      <x:c r="O18" s="4" t="n">
        <x:v>2224357</x:v>
      </x:c>
      <x:c r="P18" s="4" t="n">
        <x:v>2175747</x:v>
      </x:c>
      <x:c r="Q18" s="4" t="n">
        <x:f>SUM(E18:P18)</x:f>
        <x:v>22675445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1381634</x:v>
      </x:c>
      <x:c r="F19" s="4" t="n">
        <x:v>1441462</x:v>
      </x:c>
      <x:c r="G19" s="4" t="n">
        <x:v>1267121</x:v>
      </x:c>
      <x:c r="H19" s="4" t="n">
        <x:v>1182055</x:v>
      </x:c>
      <x:c r="I19" s="4" t="n">
        <x:v>1168967</x:v>
      </x:c>
      <x:c r="J19" s="4" t="n">
        <x:v>1199816</x:v>
      </x:c>
      <x:c r="K19" s="4" t="n">
        <x:v>1197479</x:v>
      </x:c>
      <x:c r="L19" s="4" t="n">
        <x:v>1486332</x:v>
      </x:c>
      <x:c r="M19" s="4" t="n">
        <x:v>1180185</x:v>
      </x:c>
      <x:c r="N19" s="4" t="n">
        <x:v>1189533</x:v>
      </x:c>
      <x:c r="O19" s="4" t="n">
        <x:v>1411548</x:v>
      </x:c>
      <x:c r="P19" s="4" t="n">
        <x:v>1559714</x:v>
      </x:c>
      <x:c r="Q19" s="4" t="n">
        <x:f>SUM(E19:P19)</x:f>
        <x:v>15665846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1285335081</x:v>
      </x:c>
      <x:c r="D2" s="4" t="n">
        <x:f>SUMIF(Exportations!$E$10:$E$80,"Chiffre d'affaires MGA",Exportations!$H$10:$H$80)</x:f>
        <x:v>1274933164</x:v>
      </x:c>
      <x:c r="E2" s="4" t="n">
        <x:f>SUMIF(Exportations!$E$10:$E$80,"Chiffre d'affaires MGA",Exportations!$I$10:$I$80)</x:f>
        <x:v>1261277497</x:v>
      </x:c>
      <x:c r="F2" s="4" t="n">
        <x:f>SUMIF(Exportations!$E$10:$E$80,"Chiffre d'affaires MGA",Exportations!$J$10:$J$80)</x:f>
        <x:v>1126542025</x:v>
      </x:c>
      <x:c r="G2" s="4" t="n">
        <x:f>SUMIF(Exportations!$E$10:$E$80,"Chiffre d'affaires MGA",Exportations!$K$10:$K$80)</x:f>
        <x:v>1237981782</x:v>
      </x:c>
      <x:c r="H2" s="4" t="n">
        <x:f>SUMIF(Exportations!$E$10:$E$80,"Chiffre d'affaires MGA",Exportations!$L$10:$L$80)</x:f>
        <x:v>1244108663</x:v>
      </x:c>
      <x:c r="I2" s="4" t="n">
        <x:f>SUMIF(Exportations!$E$10:$E$80,"Chiffre d'affaires MGA",Exportations!$M$10:$M$80)</x:f>
        <x:v>1222303793</x:v>
      </x:c>
      <x:c r="J2" s="4" t="n">
        <x:f>SUMIF(Exportations!$E$10:$E$80,"Chiffre d'affaires MGA",Exportations!$N$10:$N$80)</x:f>
        <x:v>1296670846</x:v>
      </x:c>
      <x:c r="K2" s="4" t="n">
        <x:f>SUMIF(Exportations!$E$10:$E$80,"Chiffre d'affaires MGA",Exportations!$O$10:$O$80)</x:f>
        <x:v>1169978583</x:v>
      </x:c>
      <x:c r="L2" s="4" t="n">
        <x:f>SUMIF(Exportations!$E$10:$E$80,"Chiffre d'affaires MGA",Exportations!$P$10:$P$80)</x:f>
        <x:v>1242562518</x:v>
      </x:c>
      <x:c r="M2" s="4" t="n">
        <x:f>SUMIF(Exportations!$E$10:$E$80,"Chiffre d'affaires MGA",Exportations!$Q$10:$Q$80)</x:f>
        <x:v>1104314445</x:v>
      </x:c>
      <x:c r="N2" s="4" t="n">
        <x:f>SUMIF(Exportations!$E$10:$E$80,"Chiffre d'affaires MGA",Exportations!$R$10:$R$80)</x:f>
        <x:v>1279728774</x:v>
      </x:c>
      <x:c r="O2" s="4" t="n">
        <x:f>SUM(C2:N2)</x:f>
        <x:v>14745737171</x:v>
      </x:c>
    </x:row>
    <x:row r="3">
      <x:c r="A3" t="s">
        <x:v>87</x:v>
      </x:c>
      <x:c r="B3" t="s">
        <x:v>77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265889040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273647880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282032580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258103410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280861230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261039480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265292250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268250550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252384030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260625660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274376340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270530550</x:v>
      </x:c>
      <x:c r="O3" s="4" t="n">
        <x:f>SUM(C3:N3)</x:f>
        <x:v>3213033000</x:v>
      </x:c>
    </x:row>
    <x:row r="4">
      <x:c r="A4" t="s">
        <x:v>88</x:v>
      </x:c>
      <x:c r="B4" t="s">
        <x:v>77</x:v>
      </x:c>
      <x:c r="C4" s="4" t="n">
        <x:f>SUM('Frais Export'!E2:E50)</x:f>
        <x:v>113602971</x:v>
      </x:c>
      <x:c r="D4" s="4" t="n">
        <x:f>SUM('Frais Export'!F2:F50)</x:f>
        <x:v>122888809</x:v>
      </x:c>
      <x:c r="E4" s="4" t="n">
        <x:f>SUM('Frais Export'!G2:G50)</x:f>
        <x:v>126577061</x:v>
      </x:c>
      <x:c r="F4" s="4" t="n">
        <x:f>SUM('Frais Export'!H2:H50)</x:f>
        <x:v>113557636</x:v>
      </x:c>
      <x:c r="G4" s="4" t="n">
        <x:f>SUM('Frais Export'!I2:I50)</x:f>
        <x:v>121643187</x:v>
      </x:c>
      <x:c r="H4" s="4" t="n">
        <x:f>SUM('Frais Export'!J2:J50)</x:f>
        <x:v>120296143</x:v>
      </x:c>
      <x:c r="I4" s="4" t="n">
        <x:f>SUM('Frais Export'!K2:K50)</x:f>
        <x:v>117276271</x:v>
      </x:c>
      <x:c r="J4" s="4" t="n">
        <x:f>SUM('Frais Export'!L2:L50)</x:f>
        <x:v>123375839</x:v>
      </x:c>
      <x:c r="K4" s="4" t="n">
        <x:f>SUM('Frais Export'!M2:M50)</x:f>
        <x:v>120970130</x:v>
      </x:c>
      <x:c r="L4" s="4" t="n">
        <x:f>SUM('Frais Export'!N2:N50)</x:f>
        <x:v>125885778</x:v>
      </x:c>
      <x:c r="M4" s="4" t="n">
        <x:f>SUM('Frais Export'!O2:O50)</x:f>
        <x:v>118741568</x:v>
      </x:c>
      <x:c r="N4" s="4" t="n">
        <x:f>SUM('Frais Export'!P2:P50)</x:f>
        <x:v>125787155</x:v>
      </x:c>
      <x:c r="O4" s="4" t="n">
        <x:f>SUM(C4:N4)</x:f>
        <x:v>1450602548</x:v>
      </x:c>
    </x:row>
    <x:row r="5">
      <x:c r="A5" t="s">
        <x:v>89</x:v>
      </x:c>
      <x:c r="B5" t="s">
        <x:v>77</x:v>
      </x:c>
      <x:c r="C5" s="4" t="n">
        <x:f>SUM(Employes!$I$2:$I$100)</x:f>
        <x:v>193401800</x:v>
      </x:c>
      <x:c r="D5" s="4" t="n">
        <x:f>SUM(Employes!$I$2:$I$100)</x:f>
        <x:v>193401800</x:v>
      </x:c>
      <x:c r="E5" s="4" t="n">
        <x:f>SUM(Employes!$I$2:$I$100)</x:f>
        <x:v>193401800</x:v>
      </x:c>
      <x:c r="F5" s="4" t="n">
        <x:f>SUM(Employes!$I$2:$I$100)</x:f>
        <x:v>193401800</x:v>
      </x:c>
      <x:c r="G5" s="4" t="n">
        <x:f>SUM(Employes!$I$2:$I$100)</x:f>
        <x:v>193401800</x:v>
      </x:c>
      <x:c r="H5" s="4" t="n">
        <x:f>SUM(Employes!$I$2:$I$100)</x:f>
        <x:v>193401800</x:v>
      </x:c>
      <x:c r="I5" s="4" t="n">
        <x:f>SUM(Employes!$I$2:$I$100)</x:f>
        <x:v>193401800</x:v>
      </x:c>
      <x:c r="J5" s="4" t="n">
        <x:f>SUM(Employes!$I$2:$I$100)</x:f>
        <x:v>193401800</x:v>
      </x:c>
      <x:c r="K5" s="4" t="n">
        <x:f>SUM(Employes!$I$2:$I$100)</x:f>
        <x:v>193401800</x:v>
      </x:c>
      <x:c r="L5" s="4" t="n">
        <x:f>SUM(Employes!$I$2:$I$100)</x:f>
        <x:v>193401800</x:v>
      </x:c>
      <x:c r="M5" s="4" t="n">
        <x:f>SUM(Employes!$I$2:$I$100)</x:f>
        <x:v>193401800</x:v>
      </x:c>
      <x:c r="N5" s="4" t="n">
        <x:f>SUM(Employes!$I$2:$I$100)</x:f>
        <x:v>193401800</x:v>
      </x:c>
      <x:c r="O5" s="4" t="n">
        <x:f>SUM(C5:N5)</x:f>
        <x:v>2320821600</x:v>
      </x:c>
    </x:row>
    <x:row r="6">
      <x:c r="A6" t="str">
        <x:v>Amortissements</x:v>
      </x:c>
      <x:c r="B6" t="str">
        <x:v>MGA</x:v>
      </x:c>
      <x:c r="C6" s="4" t="n">
        <x:f t="shared" ref="C6:N6" si="0">SUM(Amortissements!E2:E40)</x:f>
        <x:v>3359631.6772167967</x:v>
      </x:c>
      <x:c r="D6" s="4" t="n">
        <x:f t="shared" si="0">SUM(Amortissements!F2:F40)</x:f>
        <x:v>6530256.677216797</x:v>
      </x:c>
      <x:c r="E6" s="4" t="n">
        <x:f t="shared" si="0">SUM(Amortissements!G2:G40)</x:f>
        <x:v>6530256.677216797</x:v>
      </x:c>
      <x:c r="F6" s="4" t="n">
        <x:f t="shared" si="0">SUM(Amortissements!H2:H40)</x:f>
        <x:v>6530256.677216797</x:v>
      </x:c>
      <x:c r="G6" s="4" t="n">
        <x:f t="shared" si="0">SUM(Amortissements!I2:I40)</x:f>
        <x:v>6530256.677216797</x:v>
      </x:c>
      <x:c r="H6" s="4" t="n">
        <x:f t="shared" si="0">SUM(Amortissements!J2:J40)</x:f>
        <x:v>6530256.677216797</x:v>
      </x:c>
      <x:c r="I6" s="4" t="n">
        <x:f t="shared" si="0">SUM(Amortissements!K2:K40)</x:f>
        <x:v>6530256.677216797</x:v>
      </x:c>
      <x:c r="J6" s="4" t="n">
        <x:f t="shared" si="0">SUM(Amortissements!L2:L40)</x:f>
        <x:v>6530256.677216797</x:v>
      </x:c>
      <x:c r="K6" s="4" t="n">
        <x:f t="shared" si="0">SUM(Amortissements!M2:M40)</x:f>
        <x:v>6530256.677216797</x:v>
      </x:c>
      <x:c r="L6" s="4" t="n">
        <x:f t="shared" si="0">SUM(Amortissements!N2:N40)</x:f>
        <x:v>6530256.677216797</x:v>
      </x:c>
      <x:c r="M6" s="4" t="n">
        <x:f t="shared" si="0">SUM(Amortissements!O2:O40)</x:f>
        <x:v>6530256.677216797</x:v>
      </x:c>
      <x:c r="N6" s="4" t="n">
        <x:f t="shared" si="0">SUM(Amortissements!P2:P40)</x:f>
        <x:v>6530256.677216797</x:v>
      </x:c>
      <x:c r="O6" s="4" t="n">
        <x:f>SUM(C6:N6)</x:f>
        <x:v>75192455.12660156</x:v>
      </x:c>
    </x:row>
    <x:row r="7">
      <x:c r="A7" t="str">
        <x:v>Résultat opérationnel</x:v>
      </x:c>
      <x:c r="B7" t="str">
        <x:v>MGA</x:v>
      </x:c>
      <x:c r="C7" s="6" t="n">
        <x:f t="shared" ref="C7:O7" si="1">C2-C3-C4-C5-C6</x:f>
        <x:v>709081638.3227832</x:v>
      </x:c>
      <x:c r="D7" s="6" t="n">
        <x:f t="shared" si="1">D2-D3-D4-D5-D6</x:f>
        <x:v>678464418.3227832</x:v>
      </x:c>
      <x:c r="E7" s="6" t="n">
        <x:f t="shared" si="1">E2-E3-E4-E5-E6</x:f>
        <x:v>652735799.3227832</x:v>
      </x:c>
      <x:c r="F7" s="6" t="n">
        <x:f t="shared" si="1">F2-F3-F4-F5-F6</x:f>
        <x:v>554948922.3227832</x:v>
      </x:c>
      <x:c r="G7" s="6" t="n">
        <x:f t="shared" si="1">G2-G3-G4-G5-G6</x:f>
        <x:v>635545308.3227832</x:v>
      </x:c>
      <x:c r="H7" s="6" t="n">
        <x:f t="shared" si="1">H2-H3-H4-H5-H6</x:f>
        <x:v>662840983.3227832</x:v>
      </x:c>
      <x:c r="I7" s="6" t="n">
        <x:f t="shared" si="1">I2-I3-I4-I5-I6</x:f>
        <x:v>639803215.3227832</x:v>
      </x:c>
      <x:c r="J7" s="6" t="n">
        <x:f t="shared" si="1">J2-J3-J4-J5-J6</x:f>
        <x:v>705112400.3227832</x:v>
      </x:c>
      <x:c r="K7" s="6" t="n">
        <x:f t="shared" si="1">K2-K3-K4-K5-K6</x:f>
        <x:v>596692366.3227832</x:v>
      </x:c>
      <x:c r="L7" s="6" t="n">
        <x:f t="shared" si="1">L2-L3-L4-L5-L6</x:f>
        <x:v>656119023.3227832</x:v>
      </x:c>
      <x:c r="M7" s="6" t="n">
        <x:f t="shared" si="1">M2-M3-M4-M5-M6</x:f>
        <x:v>511264480.32278323</x:v>
      </x:c>
      <x:c r="N7" s="6" t="n">
        <x:f t="shared" si="1">N2-N3-N4-N5-N6</x:f>
        <x:v>683479012.3227832</x:v>
      </x:c>
      <x:c r="O7" s="6" t="n">
        <x:f t="shared" si="1">SUM(C7:N7)</x:f>
        <x:v>7686087567.873401</x:v>
      </x:c>
    </x:row>
    <x:row r="8">
      <x:c r="A8" t="str">
        <x:v>Marge opérationnelle</x:v>
      </x:c>
      <x:c r="B8" t="str">
        <x:v>%</x:v>
      </x:c>
      <x:c r="C8" t="n">
        <x:f>IFERROR(C7/C2,0)</x:f>
        <x:v>0.5516706490039256</x:v>
      </x:c>
      <x:c r="D8" t="n">
        <x:f>IFERROR(D7/D2,0)</x:f>
        <x:v>0.5321568514181213</x:v>
      </x:c>
      <x:c r="E8" t="n">
        <x:f>IFERROR(E7/E2,0)</x:f>
        <x:v>0.5175195790580122</x:v>
      </x:c>
      <x:c r="F8" t="n">
        <x:f>IFERROR(F7/F2,0)</x:f>
        <x:v>0.49261271218247116</x:v>
      </x:c>
      <x:c r="G8" t="n">
        <x:f>IFERROR(G7/G2,0)</x:f>
        <x:v>0.5133721009173811</x:v>
      </x:c>
      <x:c r="H8" t="n">
        <x:f>IFERROR(H7/H2,0)</x:f>
        <x:v>0.5327838339493849</x:v>
      </x:c>
      <x:c r="I8" t="n">
        <x:f>IFERROR(I7/I2,0)</x:f>
        <x:v>0.5234404237202455</x:v>
      </x:c>
      <x:c r="J8" t="n">
        <x:f>IFERROR(J7/J2,0)</x:f>
        <x:v>0.5437867308406988</x:v>
      </x:c>
      <x:c r="K8" t="n">
        <x:f>IFERROR(K7/K2,0)</x:f>
        <x:v>0.5100028111564016</x:v>
      </x:c>
      <x:c r="L8" t="n">
        <x:f>IFERROR(L7/L2,0)</x:f>
        <x:v>0.5280370313912714</x:v>
      </x:c>
      <x:c r="M8" t="n">
        <x:f>IFERROR(M7/M2,0)</x:f>
        <x:v>0.4629700196693372</x:v>
      </x:c>
      <x:c r="N8" t="n">
        <x:f>IFERROR(N7/N2,0)</x:f>
        <x:v>0.5340811476688601</x:v>
      </x:c>
      <x:c r="O8" t="n">
        <x:f>IFERROR(O7/O2,0)</x:f>
        <x:v>0.5212413241020869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2016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Synthese!C2</x:f>
        <x:v>1285335081</x:v>
      </x:c>
      <x:c r="C5" s="89" t="n">
        <x:f>Synthese!D2</x:f>
        <x:v>1274933164</x:v>
      </x:c>
      <x:c r="D5" s="89" t="n">
        <x:f>Synthese!E2</x:f>
        <x:v>1261277497</x:v>
      </x:c>
      <x:c r="E5" s="89" t="n">
        <x:f>Synthese!F2</x:f>
        <x:v>1126542025</x:v>
      </x:c>
      <x:c r="F5" s="89" t="n">
        <x:f>Synthese!G2</x:f>
        <x:v>1237981782</x:v>
      </x:c>
      <x:c r="G5" s="89" t="n">
        <x:f>Synthese!H2</x:f>
        <x:v>1244108663</x:v>
      </x:c>
      <x:c r="H5" s="89" t="n">
        <x:f>Synthese!I2</x:f>
        <x:v>1222303793</x:v>
      </x:c>
      <x:c r="I5" s="89" t="n">
        <x:f>Synthese!J2</x:f>
        <x:v>1296670846</x:v>
      </x:c>
      <x:c r="J5" s="89" t="n">
        <x:f>Synthese!K2</x:f>
        <x:v>1169978583</x:v>
      </x:c>
      <x:c r="K5" s="89" t="n">
        <x:f>Synthese!L2</x:f>
        <x:v>1242562518</x:v>
      </x:c>
      <x:c r="L5" s="89" t="n">
        <x:f>Synthese!M2</x:f>
        <x:v>1104314445</x:v>
      </x:c>
      <x:c r="M5" s="89" t="n">
        <x:f>Synthese!N2</x:f>
        <x:v>1279728774</x:v>
      </x:c>
      <x:c r="N5" s="89" t="n">
        <x:f>SUM(B5:M5)</x:f>
        <x:v>14745737171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1285335081</x:v>
      </x:c>
      <x:c r="C8" s="92" t="n">
        <x:f>SUM(C5:C7)</x:f>
        <x:v>1274933164</x:v>
      </x:c>
      <x:c r="D8" s="92" t="n">
        <x:f>SUM(D5:D7)</x:f>
        <x:v>1261277497</x:v>
      </x:c>
      <x:c r="E8" s="92" t="n">
        <x:f>SUM(E5:E7)</x:f>
        <x:v>1126542025</x:v>
      </x:c>
      <x:c r="F8" s="92" t="n">
        <x:f>SUM(F5:F7)</x:f>
        <x:v>1237981782</x:v>
      </x:c>
      <x:c r="G8" s="92" t="n">
        <x:f>SUM(G5:G7)</x:f>
        <x:v>1244108663</x:v>
      </x:c>
      <x:c r="H8" s="92" t="n">
        <x:f>SUM(H5:H7)</x:f>
        <x:v>1222303793</x:v>
      </x:c>
      <x:c r="I8" s="92" t="n">
        <x:f>SUM(I5:I7)</x:f>
        <x:v>1296670846</x:v>
      </x:c>
      <x:c r="J8" s="92" t="n">
        <x:f>SUM(J5:J7)</x:f>
        <x:v>1169978583</x:v>
      </x:c>
      <x:c r="K8" s="92" t="n">
        <x:f>SUM(K5:K7)</x:f>
        <x:v>1242562518</x:v>
      </x:c>
      <x:c r="L8" s="92" t="n">
        <x:f>SUM(L5:L7)</x:f>
        <x:v>1104314445</x:v>
      </x:c>
      <x:c r="M8" s="92" t="n">
        <x:f>SUM(M5:M7)</x:f>
        <x:v>1279728774</x:v>
      </x:c>
      <x:c r="N8" s="92" t="n">
        <x:f>SUM(B8:M8)</x:f>
        <x:v>14745737171</x:v>
      </x:c>
    </x:row>
    <x:row r="9">
      <x:c r="A9" t="str">
        <x:v>Achats consommés / charges directes de production</x:v>
      </x:c>
      <x:c r="B9" s="89" t="n">
        <x:f>SUMIF(Charges!$A$2:$A$40,"PRODUCTION",Charges!$E$2:$E$40)</x:f>
        <x:v>185089260</x:v>
      </x:c>
      <x:c r="C9" s="89" t="n">
        <x:f>SUMIF(Charges!$A$2:$A$40,"PRODUCTION",Charges!$F$2:$F$40)</x:f>
        <x:v>192802500</x:v>
      </x:c>
      <x:c r="D9" s="89" t="n">
        <x:f>SUMIF(Charges!$A$2:$A$40,"PRODUCTION",Charges!$G$2:$G$40)</x:f>
        <x:v>198720240</x:v>
      </x:c>
      <x:c r="E9" s="89" t="n">
        <x:f>SUMIF(Charges!$A$2:$A$40,"PRODUCTION",Charges!$H$2:$H$40)</x:f>
        <x:v>179467350</x:v>
      </x:c>
      <x:c r="F9" s="89" t="n">
        <x:f>SUMIF(Charges!$A$2:$A$40,"PRODUCTION",Charges!$I$2:$I$40)</x:f>
        <x:v>200843490</x:v>
      </x:c>
      <x:c r="G9" s="89" t="n">
        <x:f>SUMIF(Charges!$A$2:$A$40,"PRODUCTION",Charges!$J$2:$J$40)</x:f>
        <x:v>180276180</x:v>
      </x:c>
      <x:c r="H9" s="89" t="n">
        <x:f>SUMIF(Charges!$A$2:$A$40,"PRODUCTION",Charges!$K$2:$K$40)</x:f>
        <x:v>188678550</x:v>
      </x:c>
      <x:c r="I9" s="89" t="n">
        <x:f>SUMIF(Charges!$A$2:$A$40,"PRODUCTION",Charges!$L$2:$L$40)</x:f>
        <x:v>188671140</x:v>
      </x:c>
      <x:c r="J9" s="89" t="n">
        <x:f>SUMIF(Charges!$A$2:$A$40,"PRODUCTION",Charges!$M$2:$M$40)</x:f>
        <x:v>173838600</x:v>
      </x:c>
      <x:c r="K9" s="89" t="n">
        <x:f>SUMIF(Charges!$A$2:$A$40,"PRODUCTION",Charges!$N$2:$N$40)</x:f>
        <x:v>184914840</x:v>
      </x:c>
      <x:c r="L9" s="89" t="n">
        <x:f>SUMIF(Charges!$A$2:$A$40,"PRODUCTION",Charges!$O$2:$O$40)</x:f>
        <x:v>199451550</x:v>
      </x:c>
      <x:c r="M9" s="89" t="n">
        <x:f>SUMIF(Charges!$A$2:$A$40,"PRODUCTION",Charges!$P$2:$P$40)</x:f>
        <x:v>188496720</x:v>
      </x:c>
      <x:c r="N9" s="89" t="n">
        <x:f>SUM(B9:M9)</x:f>
        <x:v>2261250420</x:v>
      </x:c>
    </x:row>
    <x:row r="10">
      <x:c r="A10" t="str">
        <x:v>Services extérieurs et autres consommations</x:v>
      </x:c>
      <x:c r="B10" s="89" t="n">
        <x:f>SUMIF(Charges!$A$2:$A$40,"ADMINISTRATION",Charges!$E$2:$E$40)+SUMIF(Charges!$A$2:$A$40,"LOGISTIQUE",Charges!$E$2:$E$40)+SUMIF(Charges!$A$2:$A$40,"SECURITE",Charges!$E$2:$E$40)+SUM('Frais Export'!$E$2:$E$50)</x:f>
        <x:v>178841181</x:v>
      </x:c>
      <x:c r="C10" s="89" t="n">
        <x:f>SUMIF(Charges!$A$2:$A$40,"ADMINISTRATION",Charges!$F$2:$F$40)+SUMIF(Charges!$A$2:$A$40,"LOGISTIQUE",Charges!$F$2:$F$40)+SUMIF(Charges!$A$2:$A$40,"SECURITE",Charges!$F$2:$F$40)+SUM('Frais Export'!$F$2:$F$50)</x:f>
        <x:v>186623359</x:v>
      </x:c>
      <x:c r="D10" s="89" t="n">
        <x:f>SUMIF(Charges!$A$2:$A$40,"ADMINISTRATION",Charges!$G$2:$G$40)+SUMIF(Charges!$A$2:$A$40,"LOGISTIQUE",Charges!$G$2:$G$40)+SUMIF(Charges!$A$2:$A$40,"SECURITE",Charges!$G$2:$G$40)+SUM('Frais Export'!$G$2:$G$50)</x:f>
        <x:v>193611911</x:v>
      </x:c>
      <x:c r="E10" s="89" t="n">
        <x:f>SUMIF(Charges!$A$2:$A$40,"ADMINISTRATION",Charges!$H$2:$H$40)+SUMIF(Charges!$A$2:$A$40,"LOGISTIQUE",Charges!$H$2:$H$40)+SUMIF(Charges!$A$2:$A$40,"SECURITE",Charges!$H$2:$H$40)+SUM('Frais Export'!$H$2:$H$50)</x:f>
        <x:v>177000346</x:v>
      </x:c>
      <x:c r="F10" s="89" t="n">
        <x:f>SUMIF(Charges!$A$2:$A$40,"ADMINISTRATION",Charges!$I$2:$I$40)+SUMIF(Charges!$A$2:$A$40,"LOGISTIQUE",Charges!$I$2:$I$40)+SUMIF(Charges!$A$2:$A$40,"SECURITE",Charges!$I$2:$I$40)+SUM('Frais Export'!$I$2:$I$50)</x:f>
        <x:v>185218707</x:v>
      </x:c>
      <x:c r="G10" s="89" t="n">
        <x:f>SUMIF(Charges!$A$2:$A$40,"ADMINISTRATION",Charges!$J$2:$J$40)+SUMIF(Charges!$A$2:$A$40,"LOGISTIQUE",Charges!$J$2:$J$40)+SUMIF(Charges!$A$2:$A$40,"SECURITE",Charges!$J$2:$J$40)+SUM('Frais Export'!$J$2:$J$50)</x:f>
        <x:v>186789493</x:v>
      </x:c>
      <x:c r="H10" s="89" t="n">
        <x:f>SUMIF(Charges!$A$2:$A$40,"ADMINISTRATION",Charges!$K$2:$K$40)+SUMIF(Charges!$A$2:$A$40,"LOGISTIQUE",Charges!$K$2:$K$40)+SUMIF(Charges!$A$2:$A$40,"SECURITE",Charges!$K$2:$K$40)+SUM('Frais Export'!$K$2:$K$50)</x:f>
        <x:v>177260791</x:v>
      </x:c>
      <x:c r="I10" s="89" t="n">
        <x:f>SUMIF(Charges!$A$2:$A$40,"ADMINISTRATION",Charges!$L$2:$L$40)+SUMIF(Charges!$A$2:$A$40,"LOGISTIQUE",Charges!$L$2:$L$40)+SUMIF(Charges!$A$2:$A$40,"SECURITE",Charges!$L$2:$L$40)+SUM('Frais Export'!$L$2:$L$50)</x:f>
        <x:v>188373509</x:v>
      </x:c>
      <x:c r="J10" s="89" t="n">
        <x:f>SUMIF(Charges!$A$2:$A$40,"ADMINISTRATION",Charges!$M$2:$M$40)+SUMIF(Charges!$A$2:$A$40,"LOGISTIQUE",Charges!$M$2:$M$40)+SUMIF(Charges!$A$2:$A$40,"SECURITE",Charges!$M$2:$M$40)+SUM('Frais Export'!$M$2:$M$50)</x:f>
        <x:v>185560250</x:v>
      </x:c>
      <x:c r="K10" s="89" t="n">
        <x:f>SUMIF(Charges!$A$2:$A$40,"ADMINISTRATION",Charges!$N$2:$N$40)+SUMIF(Charges!$A$2:$A$40,"LOGISTIQUE",Charges!$N$2:$N$40)+SUMIF(Charges!$A$2:$A$40,"SECURITE",Charges!$N$2:$N$40)+SUM('Frais Export'!$N$2:$N$50)</x:f>
        <x:v>187427538</x:v>
      </x:c>
      <x:c r="L10" s="89" t="n">
        <x:f>SUMIF(Charges!$A$2:$A$40,"ADMINISTRATION",Charges!$O$2:$O$40)+SUMIF(Charges!$A$2:$A$40,"LOGISTIQUE",Charges!$O$2:$O$40)+SUMIF(Charges!$A$2:$A$40,"SECURITE",Charges!$O$2:$O$40)+SUM('Frais Export'!$O$2:$O$50)</x:f>
        <x:v>179240798</x:v>
      </x:c>
      <x:c r="M10" s="89" t="n">
        <x:f>SUMIF(Charges!$A$2:$A$40,"ADMINISTRATION",Charges!$P$2:$P$40)+SUMIF(Charges!$A$2:$A$40,"LOGISTIQUE",Charges!$P$2:$P$40)+SUMIF(Charges!$A$2:$A$40,"SECURITE",Charges!$P$2:$P$40)+SUM('Frais Export'!$P$2:$P$50)</x:f>
        <x:v>190835555</x:v>
      </x:c>
      <x:c r="N10" s="89" t="n">
        <x:f>SUM(B10:M10)</x:f>
        <x:v>2216783438</x:v>
      </x:c>
    </x:row>
    <x:row r="11">
      <x:c r="A11" s="106" t="str">
        <x:v>II. CONSOMMATION DE L'EXERCICE</x:v>
      </x:c>
      <x:c r="B11" s="92" t="n">
        <x:f>SUM(B9:B10)</x:f>
        <x:v>363930441</x:v>
      </x:c>
      <x:c r="C11" s="92" t="n">
        <x:f>SUM(C9:C10)</x:f>
        <x:v>379425859</x:v>
      </x:c>
      <x:c r="D11" s="92" t="n">
        <x:f>SUM(D9:D10)</x:f>
        <x:v>392332151</x:v>
      </x:c>
      <x:c r="E11" s="92" t="n">
        <x:f>SUM(E9:E10)</x:f>
        <x:v>356467696</x:v>
      </x:c>
      <x:c r="F11" s="92" t="n">
        <x:f>SUM(F9:F10)</x:f>
        <x:v>386062197</x:v>
      </x:c>
      <x:c r="G11" s="92" t="n">
        <x:f>SUM(G9:G10)</x:f>
        <x:v>367065673</x:v>
      </x:c>
      <x:c r="H11" s="92" t="n">
        <x:f>SUM(H9:H10)</x:f>
        <x:v>365939341</x:v>
      </x:c>
      <x:c r="I11" s="92" t="n">
        <x:f>SUM(I9:I10)</x:f>
        <x:v>377044649</x:v>
      </x:c>
      <x:c r="J11" s="92" t="n">
        <x:f>SUM(J9:J10)</x:f>
        <x:v>359398850</x:v>
      </x:c>
      <x:c r="K11" s="92" t="n">
        <x:f>SUM(K9:K10)</x:f>
        <x:v>372342378</x:v>
      </x:c>
      <x:c r="L11" s="92" t="n">
        <x:f>SUM(L9:L10)</x:f>
        <x:v>378692348</x:v>
      </x:c>
      <x:c r="M11" s="92" t="n">
        <x:f>SUM(M9:M10)</x:f>
        <x:v>379332275</x:v>
      </x:c>
      <x:c r="N11" s="92" t="n">
        <x:f>SUM(B11:M11)</x:f>
        <x:v>4478033858</x:v>
      </x:c>
    </x:row>
    <x:row r="12">
      <x:c r="A12" s="106" t="str">
        <x:v>III. VALEUR AJOUTÉE D'EXPLOITATION (I-II)</x:v>
      </x:c>
      <x:c r="B12" s="92" t="n">
        <x:f>B8-B11</x:f>
        <x:v>921404640</x:v>
      </x:c>
      <x:c r="C12" s="92" t="n">
        <x:f>C8-C11</x:f>
        <x:v>895507305</x:v>
      </x:c>
      <x:c r="D12" s="92" t="n">
        <x:f>D8-D11</x:f>
        <x:v>868945346</x:v>
      </x:c>
      <x:c r="E12" s="92" t="n">
        <x:f>E8-E11</x:f>
        <x:v>770074329</x:v>
      </x:c>
      <x:c r="F12" s="92" t="n">
        <x:f>F8-F11</x:f>
        <x:v>851919585</x:v>
      </x:c>
      <x:c r="G12" s="92" t="n">
        <x:f>G8-G11</x:f>
        <x:v>877042990</x:v>
      </x:c>
      <x:c r="H12" s="92" t="n">
        <x:f>H8-H11</x:f>
        <x:v>856364452</x:v>
      </x:c>
      <x:c r="I12" s="92" t="n">
        <x:f>I8-I11</x:f>
        <x:v>919626197</x:v>
      </x:c>
      <x:c r="J12" s="92" t="n">
        <x:f>J8-J11</x:f>
        <x:v>810579733</x:v>
      </x:c>
      <x:c r="K12" s="92" t="n">
        <x:f>K8-K11</x:f>
        <x:v>870220140</x:v>
      </x:c>
      <x:c r="L12" s="92" t="n">
        <x:f>L8-L11</x:f>
        <x:v>725622097</x:v>
      </x:c>
      <x:c r="M12" s="92" t="n">
        <x:f>M8-M11</x:f>
        <x:v>900396499</x:v>
      </x:c>
      <x:c r="N12" s="92" t="n">
        <x:f>SUM(B12:M12)</x:f>
        <x:v>10267703313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SUMIF(Charges!$A$2:$A$40,"FISCAL",Charges!$E$2:$E$40)</x:f>
        <x:v>15561570</x:v>
      </x:c>
      <x:c r="C14" s="89" t="n">
        <x:f>SUMIF(Charges!$A$2:$A$40,"FISCAL",Charges!$F$2:$F$40)</x:f>
        <x:v>17110830</x:v>
      </x:c>
      <x:c r="D14" s="89" t="n">
        <x:f>SUMIF(Charges!$A$2:$A$40,"FISCAL",Charges!$G$2:$G$40)</x:f>
        <x:v>16277490</x:v>
      </x:c>
      <x:c r="E14" s="89" t="n">
        <x:f>SUMIF(Charges!$A$2:$A$40,"FISCAL",Charges!$H$2:$H$40)</x:f>
        <x:v>15193350</x:v>
      </x:c>
      <x:c r="F14" s="89" t="n">
        <x:f>SUMIF(Charges!$A$2:$A$40,"FISCAL",Charges!$I$2:$I$40)</x:f>
        <x:v>16442220</x:v>
      </x:c>
      <x:c r="G14" s="89" t="n">
        <x:f>SUMIF(Charges!$A$2:$A$40,"FISCAL",Charges!$J$2:$J$40)</x:f>
        <x:v>14269950</x:v>
      </x:c>
      <x:c r="H14" s="89" t="n">
        <x:f>SUMIF(Charges!$A$2:$A$40,"FISCAL",Charges!$K$2:$K$40)</x:f>
        <x:v>16629180</x:v>
      </x:c>
      <x:c r="I14" s="89" t="n">
        <x:f>SUMIF(Charges!$A$2:$A$40,"FISCAL",Charges!$L$2:$L$40)</x:f>
        <x:v>14581740</x:v>
      </x:c>
      <x:c r="J14" s="89" t="n">
        <x:f>SUMIF(Charges!$A$2:$A$40,"FISCAL",Charges!$M$2:$M$40)</x:f>
        <x:v>13955310</x:v>
      </x:c>
      <x:c r="K14" s="89" t="n">
        <x:f>SUMIF(Charges!$A$2:$A$40,"FISCAL",Charges!$N$2:$N$40)</x:f>
        <x:v>14169060</x:v>
      </x:c>
      <x:c r="L14" s="89" t="n">
        <x:f>SUMIF(Charges!$A$2:$A$40,"FISCAL",Charges!$O$2:$O$40)</x:f>
        <x:v>14425560</x:v>
      </x:c>
      <x:c r="M14" s="89" t="n">
        <x:f>SUMIF(Charges!$A$2:$A$40,"FISCAL",Charges!$P$2:$P$40)</x:f>
        <x:v>16985430</x:v>
      </x:c>
      <x:c r="N14" s="89" t="n">
        <x:f>SUM(B14:M14)</x:f>
        <x:v>185601690</x:v>
      </x:c>
    </x:row>
    <x:row r="15">
      <x:c r="A15" t="str">
        <x:v>Charges de personnel</x:v>
      </x:c>
      <x:c r="B15" s="89" t="n">
        <x:f>Synthese!C5</x:f>
        <x:v>193401800</x:v>
      </x:c>
      <x:c r="C15" s="89" t="n">
        <x:f>Synthese!D5</x:f>
        <x:v>193401800</x:v>
      </x:c>
      <x:c r="D15" s="89" t="n">
        <x:f>Synthese!E5</x:f>
        <x:v>193401800</x:v>
      </x:c>
      <x:c r="E15" s="89" t="n">
        <x:f>Synthese!F5</x:f>
        <x:v>193401800</x:v>
      </x:c>
      <x:c r="F15" s="89" t="n">
        <x:f>Synthese!G5</x:f>
        <x:v>193401800</x:v>
      </x:c>
      <x:c r="G15" s="89" t="n">
        <x:f>Synthese!H5</x:f>
        <x:v>193401800</x:v>
      </x:c>
      <x:c r="H15" s="89" t="n">
        <x:f>Synthese!I5</x:f>
        <x:v>193401800</x:v>
      </x:c>
      <x:c r="I15" s="89" t="n">
        <x:f>Synthese!J5</x:f>
        <x:v>193401800</x:v>
      </x:c>
      <x:c r="J15" s="89" t="n">
        <x:f>Synthese!K5</x:f>
        <x:v>193401800</x:v>
      </x:c>
      <x:c r="K15" s="89" t="n">
        <x:f>Synthese!L5</x:f>
        <x:v>193401800</x:v>
      </x:c>
      <x:c r="L15" s="89" t="n">
        <x:f>Synthese!M5</x:f>
        <x:v>193401800</x:v>
      </x:c>
      <x:c r="M15" s="89" t="n">
        <x:f>Synthese!N5</x:f>
        <x:v>193401800</x:v>
      </x:c>
      <x:c r="N15" s="89" t="n">
        <x:f>SUM(B15:M15)</x:f>
        <x:v>2320821600</x:v>
      </x:c>
    </x:row>
    <x:row r="16">
      <x:c r="A16" s="106" t="str">
        <x:v>IV. EXCÉDENT BRUT D'EXPLOITATION</x:v>
      </x:c>
      <x:c r="B16" s="92" t="n">
        <x:f>B12+B13-B14-B15</x:f>
        <x:v>712441270</x:v>
      </x:c>
      <x:c r="C16" s="92" t="n">
        <x:f>C12+C13-C14-C15</x:f>
        <x:v>684994675</x:v>
      </x:c>
      <x:c r="D16" s="92" t="n">
        <x:f>D12+D13-D14-D15</x:f>
        <x:v>659266056</x:v>
      </x:c>
      <x:c r="E16" s="92" t="n">
        <x:f>E12+E13-E14-E15</x:f>
        <x:v>561479179</x:v>
      </x:c>
      <x:c r="F16" s="92" t="n">
        <x:f>F12+F13-F14-F15</x:f>
        <x:v>642075565</x:v>
      </x:c>
      <x:c r="G16" s="92" t="n">
        <x:f>G12+G13-G14-G15</x:f>
        <x:v>669371240</x:v>
      </x:c>
      <x:c r="H16" s="92" t="n">
        <x:f>H12+H13-H14-H15</x:f>
        <x:v>646333472</x:v>
      </x:c>
      <x:c r="I16" s="92" t="n">
        <x:f>I12+I13-I14-I15</x:f>
        <x:v>711642657</x:v>
      </x:c>
      <x:c r="J16" s="92" t="n">
        <x:f>J12+J13-J14-J15</x:f>
        <x:v>603222623</x:v>
      </x:c>
      <x:c r="K16" s="92" t="n">
        <x:f>K12+K13-K14-K15</x:f>
        <x:v>662649280</x:v>
      </x:c>
      <x:c r="L16" s="92" t="n">
        <x:f>L12+L13-L14-L15</x:f>
        <x:v>517794737</x:v>
      </x:c>
      <x:c r="M16" s="92" t="n">
        <x:f>M12+M13-M14-M15</x:f>
        <x:v>690009269</x:v>
      </x:c>
      <x:c r="N16" s="92" t="n">
        <x:f>SUM(B16:M16)</x:f>
        <x:v>7761280023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SUM(Amortissements!E2:E40)</x:f>
        <x:v>3359631.6772167967</x:v>
      </x:c>
      <x:c r="C19" s="89" t="n">
        <x:f>SUM(Amortissements!F2:F40)</x:f>
        <x:v>6530256.677216797</x:v>
      </x:c>
      <x:c r="D19" s="89" t="n">
        <x:f>SUM(Amortissements!G2:G40)</x:f>
        <x:v>6530256.677216797</x:v>
      </x:c>
      <x:c r="E19" s="89" t="n">
        <x:f>SUM(Amortissements!H2:H40)</x:f>
        <x:v>6530256.677216797</x:v>
      </x:c>
      <x:c r="F19" s="89" t="n">
        <x:f>SUM(Amortissements!I2:I40)</x:f>
        <x:v>6530256.677216797</x:v>
      </x:c>
      <x:c r="G19" s="89" t="n">
        <x:f>SUM(Amortissements!J2:J40)</x:f>
        <x:v>6530256.677216797</x:v>
      </x:c>
      <x:c r="H19" s="89" t="n">
        <x:f>SUM(Amortissements!K2:K40)</x:f>
        <x:v>6530256.677216797</x:v>
      </x:c>
      <x:c r="I19" s="89" t="n">
        <x:f>SUM(Amortissements!L2:L40)</x:f>
        <x:v>6530256.677216797</x:v>
      </x:c>
      <x:c r="J19" s="89" t="n">
        <x:f>SUM(Amortissements!M2:M40)</x:f>
        <x:v>6530256.677216797</x:v>
      </x:c>
      <x:c r="K19" s="89" t="n">
        <x:f>SUM(Amortissements!N2:N40)</x:f>
        <x:v>6530256.677216797</x:v>
      </x:c>
      <x:c r="L19" s="89" t="n">
        <x:f>SUM(Amortissements!O2:O40)</x:f>
        <x:v>6530256.677216797</x:v>
      </x:c>
      <x:c r="M19" s="89" t="n">
        <x:f>SUM(Amortissements!P2:P40)</x:f>
        <x:v>6530256.677216797</x:v>
      </x:c>
      <x:c r="N19" s="89" t="n">
        <x:f>SUM(B19:M19)</x:f>
        <x:v>75192455.12660156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709081638.3227832</x:v>
      </x:c>
      <x:c r="C22" s="92" t="n">
        <x:f>C16+C17-C18-C19-C20+C21</x:f>
        <x:v>678464418.3227832</x:v>
      </x:c>
      <x:c r="D22" s="92" t="n">
        <x:f>D16+D17-D18-D19-D20+D21</x:f>
        <x:v>652735799.3227832</x:v>
      </x:c>
      <x:c r="E22" s="92" t="n">
        <x:f>E16+E17-E18-E19-E20+E21</x:f>
        <x:v>554948922.3227832</x:v>
      </x:c>
      <x:c r="F22" s="92" t="n">
        <x:f>F16+F17-F18-F19-F20+F21</x:f>
        <x:v>635545308.3227832</x:v>
      </x:c>
      <x:c r="G22" s="92" t="n">
        <x:f>G16+G17-G18-G19-G20+G21</x:f>
        <x:v>662840983.3227832</x:v>
      </x:c>
      <x:c r="H22" s="92" t="n">
        <x:f>H16+H17-H18-H19-H20+H21</x:f>
        <x:v>639803215.3227832</x:v>
      </x:c>
      <x:c r="I22" s="92" t="n">
        <x:f>I16+I17-I18-I19-I20+I21</x:f>
        <x:v>705112400.3227832</x:v>
      </x:c>
      <x:c r="J22" s="92" t="n">
        <x:f>J16+J17-J18-J19-J20+J21</x:f>
        <x:v>596692366.3227832</x:v>
      </x:c>
      <x:c r="K22" s="92" t="n">
        <x:f>K16+K17-K18-K19-K20+K21</x:f>
        <x:v>656119023.3227832</x:v>
      </x:c>
      <x:c r="L22" s="92" t="n">
        <x:f>L16+L17-L18-L19-L20+L21</x:f>
        <x:v>511264480.32278323</x:v>
      </x:c>
      <x:c r="M22" s="92" t="n">
        <x:f>M16+M17-M18-M19-M20+M21</x:f>
        <x:v>683479012.3227832</x:v>
      </x:c>
      <x:c r="N22" s="92" t="n">
        <x:f>SUM(B22:M22)</x:f>
        <x:v>7686087567.873401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SUMIF(Charges!$A$2:$A$40,"FINANCE",Charges!$E$2:$E$40)</x:f>
        <x:v>5946240</x:v>
      </x:c>
      <x:c r="C24" s="89" t="n">
        <x:f>SUMIF(Charges!$A$2:$A$40,"FINANCE",Charges!$F$2:$F$40)</x:f>
        <x:v>5636730</x:v>
      </x:c>
      <x:c r="D24" s="89" t="n">
        <x:f>SUMIF(Charges!$A$2:$A$40,"FINANCE",Charges!$G$2:$G$40)</x:f>
        <x:v>7030950</x:v>
      </x:c>
      <x:c r="E24" s="89" t="n">
        <x:f>SUMIF(Charges!$A$2:$A$40,"FINANCE",Charges!$H$2:$H$40)</x:f>
        <x:v>6840000</x:v>
      </x:c>
      <x:c r="F24" s="89" t="n">
        <x:f>SUMIF(Charges!$A$2:$A$40,"FINANCE",Charges!$I$2:$I$40)</x:f>
        <x:v>5909760</x:v>
      </x:c>
      <x:c r="G24" s="89" t="n">
        <x:f>SUMIF(Charges!$A$2:$A$40,"FINANCE",Charges!$J$2:$J$40)</x:f>
        <x:v>6928920</x:v>
      </x:c>
      <x:c r="H24" s="89" t="n">
        <x:f>SUMIF(Charges!$A$2:$A$40,"FINANCE",Charges!$K$2:$K$40)</x:f>
        <x:v>7050900</x:v>
      </x:c>
      <x:c r="I24" s="89" t="n">
        <x:f>SUMIF(Charges!$A$2:$A$40,"FINANCE",Charges!$L$2:$L$40)</x:f>
        <x:v>5647560</x:v>
      </x:c>
      <x:c r="J24" s="89" t="n">
        <x:f>SUMIF(Charges!$A$2:$A$40,"FINANCE",Charges!$M$2:$M$40)</x:f>
        <x:v>6097860</x:v>
      </x:c>
      <x:c r="K24" s="89" t="n">
        <x:f>SUMIF(Charges!$A$2:$A$40,"FINANCE",Charges!$N$2:$N$40)</x:f>
        <x:v>5784360</x:v>
      </x:c>
      <x:c r="L24" s="89" t="n">
        <x:f>SUMIF(Charges!$A$2:$A$40,"FINANCE",Charges!$O$2:$O$40)</x:f>
        <x:v>6082470</x:v>
      </x:c>
      <x:c r="M24" s="89" t="n">
        <x:f>SUMIF(Charges!$A$2:$A$40,"FINANCE",Charges!$P$2:$P$40)</x:f>
        <x:v>6746520</x:v>
      </x:c>
      <x:c r="N24" s="89" t="n">
        <x:f>SUM(B24:M24)</x:f>
        <x:v>75702270</x:v>
      </x:c>
    </x:row>
    <x:row r="25">
      <x:c r="A25" s="106" t="str">
        <x:v>VI. RÉSULTAT FINANCIER</x:v>
      </x:c>
      <x:c r="B25" s="92" t="n">
        <x:f>B23-B24</x:f>
        <x:v>-5946240</x:v>
      </x:c>
      <x:c r="C25" s="92" t="n">
        <x:f>C23-C24</x:f>
        <x:v>-5636730</x:v>
      </x:c>
      <x:c r="D25" s="92" t="n">
        <x:f>D23-D24</x:f>
        <x:v>-7030950</x:v>
      </x:c>
      <x:c r="E25" s="92" t="n">
        <x:f>E23-E24</x:f>
        <x:v>-6840000</x:v>
      </x:c>
      <x:c r="F25" s="92" t="n">
        <x:f>F23-F24</x:f>
        <x:v>-5909760</x:v>
      </x:c>
      <x:c r="G25" s="92" t="n">
        <x:f>G23-G24</x:f>
        <x:v>-6928920</x:v>
      </x:c>
      <x:c r="H25" s="92" t="n">
        <x:f>H23-H24</x:f>
        <x:v>-7050900</x:v>
      </x:c>
      <x:c r="I25" s="92" t="n">
        <x:f>I23-I24</x:f>
        <x:v>-5647560</x:v>
      </x:c>
      <x:c r="J25" s="92" t="n">
        <x:f>J23-J24</x:f>
        <x:v>-6097860</x:v>
      </x:c>
      <x:c r="K25" s="92" t="n">
        <x:f>K23-K24</x:f>
        <x:v>-5784360</x:v>
      </x:c>
      <x:c r="L25" s="92" t="n">
        <x:f>L23-L24</x:f>
        <x:v>-6082470</x:v>
      </x:c>
      <x:c r="M25" s="92" t="n">
        <x:f>M23-M24</x:f>
        <x:v>-6746520</x:v>
      </x:c>
      <x:c r="N25" s="92" t="n">
        <x:f>SUM(B25:M25)</x:f>
        <x:v>-75702270</x:v>
      </x:c>
    </x:row>
    <x:row r="26">
      <x:c r="A26" s="106" t="str">
        <x:v>VII. RÉSULTAT AVANT IMPÔTS (V+VI)</x:v>
      </x:c>
      <x:c r="B26" s="92" t="n">
        <x:f>B22+B25</x:f>
        <x:v>703135398.3227832</x:v>
      </x:c>
      <x:c r="C26" s="92" t="n">
        <x:f>C22+C25</x:f>
        <x:v>672827688.3227832</x:v>
      </x:c>
      <x:c r="D26" s="92" t="n">
        <x:f>D22+D25</x:f>
        <x:v>645704849.3227832</x:v>
      </x:c>
      <x:c r="E26" s="92" t="n">
        <x:f>E22+E25</x:f>
        <x:v>548108922.3227832</x:v>
      </x:c>
      <x:c r="F26" s="92" t="n">
        <x:f>F22+F25</x:f>
        <x:v>629635548.3227832</x:v>
      </x:c>
      <x:c r="G26" s="92" t="n">
        <x:f>G22+G25</x:f>
        <x:v>655912063.3227832</x:v>
      </x:c>
      <x:c r="H26" s="92" t="n">
        <x:f>H22+H25</x:f>
        <x:v>632752315.3227832</x:v>
      </x:c>
      <x:c r="I26" s="92" t="n">
        <x:f>I22+I25</x:f>
        <x:v>699464840.3227832</x:v>
      </x:c>
      <x:c r="J26" s="92" t="n">
        <x:f>J22+J25</x:f>
        <x:v>590594506.3227832</x:v>
      </x:c>
      <x:c r="K26" s="92" t="n">
        <x:f>K22+K25</x:f>
        <x:v>650334663.3227832</x:v>
      </x:c>
      <x:c r="L26" s="92" t="n">
        <x:f>L22+L25</x:f>
        <x:v>505182010.32278323</x:v>
      </x:c>
      <x:c r="M26" s="92" t="n">
        <x:f>M22+M25</x:f>
        <x:v>676732492.3227832</x:v>
      </x:c>
      <x:c r="N26" s="92" t="n">
        <x:f>SUM(B26:M26)</x:f>
        <x:v>7610385297.873401</x:v>
      </x:c>
    </x:row>
    <x:row r="27">
      <x:c r="A27" t="str">
        <x:v>Impôt exigible sur les résultats (20%)</x:v>
      </x:c>
      <x:c r="B27" s="89" t="n">
        <x:f>IF(B26&gt;0,B26*20%,0)</x:f>
        <x:v>140627079.66455665</x:v>
      </x:c>
      <x:c r="C27" s="89" t="n">
        <x:f>IF(C26&gt;0,C26*20%,0)</x:f>
        <x:v>134565537.66455665</x:v>
      </x:c>
      <x:c r="D27" s="89" t="n">
        <x:f>IF(D26&gt;0,D26*20%,0)</x:f>
        <x:v>129140969.86455666</x:v>
      </x:c>
      <x:c r="E27" s="89" t="n">
        <x:f>IF(E26&gt;0,E26*20%,0)</x:f>
        <x:v>109621784.46455665</x:v>
      </x:c>
      <x:c r="F27" s="89" t="n">
        <x:f>IF(F26&gt;0,F26*20%,0)</x:f>
        <x:v>125927109.66455665</x:v>
      </x:c>
      <x:c r="G27" s="89" t="n">
        <x:f>IF(G26&gt;0,G26*20%,0)</x:f>
        <x:v>131182412.66455665</x:v>
      </x:c>
      <x:c r="H27" s="89" t="n">
        <x:f>IF(H26&gt;0,H26*20%,0)</x:f>
        <x:v>126550463.06455666</x:v>
      </x:c>
      <x:c r="I27" s="89" t="n">
        <x:f>IF(I26&gt;0,I26*20%,0)</x:f>
        <x:v>139892968.06455666</x:v>
      </x:c>
      <x:c r="J27" s="89" t="n">
        <x:f>IF(J26&gt;0,J26*20%,0)</x:f>
        <x:v>118118901.26455665</x:v>
      </x:c>
      <x:c r="K27" s="89" t="n">
        <x:f>IF(K26&gt;0,K26*20%,0)</x:f>
        <x:v>130066932.66455665</x:v>
      </x:c>
      <x:c r="L27" s="89" t="n">
        <x:f>IF(L26&gt;0,L26*20%,0)</x:f>
        <x:v>101036402.06455666</x:v>
      </x:c>
      <x:c r="M27" s="89" t="n">
        <x:f>IF(M26&gt;0,M26*20%,0)</x:f>
        <x:v>135346498.46455666</x:v>
      </x:c>
      <x:c r="N27" s="89" t="n">
        <x:f>SUM(B27:M27)</x:f>
        <x:v>1522077059.5746799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562508318.6582266</x:v>
      </x:c>
      <x:c r="C29" s="92" t="n">
        <x:f>C26-C27-C28</x:f>
        <x:v>538262150.6582266</x:v>
      </x:c>
      <x:c r="D29" s="92" t="n">
        <x:f>D26-D27-D28</x:f>
        <x:v>516563879.45822656</x:v>
      </x:c>
      <x:c r="E29" s="92" t="n">
        <x:f>E26-E27-E28</x:f>
        <x:v>438487137.8582266</x:v>
      </x:c>
      <x:c r="F29" s="92" t="n">
        <x:f>F26-F27-F28</x:f>
        <x:v>503708438.6582266</x:v>
      </x:c>
      <x:c r="G29" s="92" t="n">
        <x:f>G26-G27-G28</x:f>
        <x:v>524729650.6582266</x:v>
      </x:c>
      <x:c r="H29" s="92" t="n">
        <x:f>H26-H27-H28</x:f>
        <x:v>506201852.2582266</x:v>
      </x:c>
      <x:c r="I29" s="92" t="n">
        <x:f>I26-I27-I28</x:f>
        <x:v>559571872.2582266</x:v>
      </x:c>
      <x:c r="J29" s="92" t="n">
        <x:f>J26-J27-J28</x:f>
        <x:v>472475605.0582266</x:v>
      </x:c>
      <x:c r="K29" s="92" t="n">
        <x:f>K26-K27-K28</x:f>
        <x:v>520267730.6582266</x:v>
      </x:c>
      <x:c r="L29" s="92" t="n">
        <x:f>L26-L27-L28</x:f>
        <x:v>404145608.2582266</x:v>
      </x:c>
      <x:c r="M29" s="92" t="n">
        <x:f>M26-M27-M28</x:f>
        <x:v>541385993.8582265</x:v>
      </x:c>
      <x:c r="N29" s="92" t="n">
        <x:f>SUM(B29:M29)</x:f>
        <x:v>6088308238.298719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562508318.6582266</x:v>
      </x:c>
      <x:c r="C33" s="113" t="n">
        <x:f>C29+C32</x:f>
        <x:v>538262150.6582266</x:v>
      </x:c>
      <x:c r="D33" s="113" t="n">
        <x:f>D29+D32</x:f>
        <x:v>516563879.45822656</x:v>
      </x:c>
      <x:c r="E33" s="113" t="n">
        <x:f>E29+E32</x:f>
        <x:v>438487137.8582266</x:v>
      </x:c>
      <x:c r="F33" s="113" t="n">
        <x:f>F29+F32</x:f>
        <x:v>503708438.6582266</x:v>
      </x:c>
      <x:c r="G33" s="113" t="n">
        <x:f>G29+G32</x:f>
        <x:v>524729650.6582266</x:v>
      </x:c>
      <x:c r="H33" s="113" t="n">
        <x:f>H29+H32</x:f>
        <x:v>506201852.2582266</x:v>
      </x:c>
      <x:c r="I33" s="113" t="n">
        <x:f>I29+I32</x:f>
        <x:v>559571872.2582266</x:v>
      </x:c>
      <x:c r="J33" s="113" t="n">
        <x:f>J29+J32</x:f>
        <x:v>472475605.0582266</x:v>
      </x:c>
      <x:c r="K33" s="113" t="n">
        <x:f>K29+K32</x:f>
        <x:v>520267730.6582266</x:v>
      </x:c>
      <x:c r="L33" s="113" t="n">
        <x:f>L29+L32</x:f>
        <x:v>404145608.2582266</x:v>
      </x:c>
      <x:c r="M33" s="113" t="n">
        <x:f>M29+M32</x:f>
        <x:v>541385993.8582265</x:v>
      </x:c>
      <x:c r="N33" s="113" t="n">
        <x:f>SUM(B33:M33)</x:f>
        <x:v>6088308238.298719</x:v>
      </x:c>
    </x:row>
    <x:row r="34">
      <x:c r="A34" t="str">
        <x:v>Marge nette</x:v>
      </x:c>
      <x:c r="B34" s="115" t="n">
        <x:f>IFERROR(B33/B5,0)</x:f>
        <x:v>0.43763554498224</x:v>
      </x:c>
      <x:c r="C34" s="115" t="n">
        <x:f>IFERROR(C33/C5,0)</x:f>
        <x:v>0.42218852396110906</x:v>
      </x:c>
      <x:c r="D34" s="115" t="n">
        <x:f>IFERROR(D33/D5,0)</x:f>
        <x:v>0.40955608950995703</x:v>
      </x:c>
      <x:c r="E34" s="115" t="n">
        <x:f>IFERROR(E33/E5,0)</x:f>
        <x:v>0.3892328276508163</x:v>
      </x:c>
      <x:c r="F34" s="115" t="n">
        <x:f>IFERROR(F33/F5,0)</x:f>
        <x:v>0.406878716619294</x:v>
      </x:c>
      <x:c r="G34" s="115" t="n">
        <x:f>IFERROR(G33/G5,0)</x:f>
        <x:v>0.4217715592405827</x:v>
      </x:c>
      <x:c r="H34" s="115" t="n">
        <x:f>IFERROR(H33/H5,0)</x:f>
        <x:v>0.4141375124230074</x:v>
      </x:c>
      <x:c r="I34" s="115" t="n">
        <x:f>IFERROR(I33/I5,0)</x:f>
        <x:v>0.4315450401190146</x:v>
      </x:c>
      <x:c r="J34" s="115" t="n">
        <x:f>IFERROR(J33/J5,0)</x:f>
        <x:v>0.4038326956778375</x:v>
      </x:c>
      <x:c r="K34" s="115" t="n">
        <x:f>IFERROR(K33/K5,0)</x:f>
        <x:v>0.41870547607989783</x:v>
      </x:c>
      <x:c r="L34" s="115" t="n">
        <x:f>IFERROR(L33/L5,0)</x:f>
        <x:v>0.3659696838052558</x:v>
      </x:c>
      <x:c r="M34" s="115" t="n">
        <x:f>IFERROR(M33/M5,0)</x:f>
        <x:v>0.42304744947324796</x:v>
      </x:c>
      <x:c r="N34" s="115" t="n">
        <x:f>IFERROR(N33/N5,0)</x:f>
        <x:v>0.41288598648512553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 t="str">
        <x:v>GENERAL</x:v>
      </x:c>
      <x:c r="D2" s="175" t="str">
        <x:v>MGA</x:v>
      </x:c>
      <x:c r="E2" s="176" t="n">
        <x:v>761235.5015999998</x:v>
      </x:c>
      <x:c r="F2" s="176" t="n">
        <x:v>761235.5015999998</x:v>
      </x:c>
      <x:c r="G2" s="176" t="n">
        <x:v>761235.5015999998</x:v>
      </x:c>
      <x:c r="H2" s="176" t="n">
        <x:v>761235.5015999998</x:v>
      </x:c>
      <x:c r="I2" s="176" t="n">
        <x:v>761235.5015999998</x:v>
      </x:c>
      <x:c r="J2" s="176" t="n">
        <x:v>761235.5015999998</x:v>
      </x:c>
      <x:c r="K2" s="176" t="n">
        <x:v>761235.5015999998</x:v>
      </x:c>
      <x:c r="L2" s="176" t="n">
        <x:v>761235.5015999998</x:v>
      </x:c>
      <x:c r="M2" s="176" t="n">
        <x:v>761235.5015999998</x:v>
      </x:c>
      <x:c r="N2" s="176" t="n">
        <x:v>761235.5015999998</x:v>
      </x:c>
      <x:c r="O2" s="176" t="n">
        <x:v>761235.5015999998</x:v>
      </x:c>
      <x:c r="P2" s="176" t="n">
        <x:v>761235.5015999998</x:v>
      </x:c>
      <x:c r="Q2" s="176" t="n">
        <x:v>9134826.019199997</x:v>
      </x:c>
    </x:row>
    <x:row r="3" ht="21" customHeight="1">
      <x:c r="A3" s="173" t="str">
        <x:v>AMORTISSEMENT</x:v>
      </x:c>
      <x:c r="B3" s="173" t="str">
        <x:v>DOT.AMORT.VEHICULE UTILITAIRE</x:v>
      </x:c>
      <x:c r="C3" s="173" t="str">
        <x:v>GENERAL</x:v>
      </x:c>
      <x:c r="D3" s="173" t="str">
        <x:v>MGA</x:v>
      </x:c>
      <x:c r="E3" s="174" t="n">
        <x:v>1283536.6875</x:v>
      </x:c>
      <x:c r="F3" s="174" t="n">
        <x:v>1283536.6875</x:v>
      </x:c>
      <x:c r="G3" s="174" t="n">
        <x:v>1283536.6875</x:v>
      </x:c>
      <x:c r="H3" s="174" t="n">
        <x:v>1283536.6875</x:v>
      </x:c>
      <x:c r="I3" s="174" t="n">
        <x:v>1283536.6875</x:v>
      </x:c>
      <x:c r="J3" s="174" t="n">
        <x:v>1283536.6875</x:v>
      </x:c>
      <x:c r="K3" s="174" t="n">
        <x:v>1283536.6875</x:v>
      </x:c>
      <x:c r="L3" s="174" t="n">
        <x:v>1283536.6875</x:v>
      </x:c>
      <x:c r="M3" s="174" t="n">
        <x:v>1283536.6875</x:v>
      </x:c>
      <x:c r="N3" s="174" t="n">
        <x:v>1283536.6875</x:v>
      </x:c>
      <x:c r="O3" s="174" t="n">
        <x:v>1283536.6875</x:v>
      </x:c>
      <x:c r="P3" s="174" t="n">
        <x:v>1283536.6875</x:v>
      </x:c>
      <x:c r="Q3" s="174" t="n">
        <x:v>15402440.25</x:v>
      </x:c>
    </x:row>
    <x:row r="4" ht="21" customHeight="1">
      <x:c r="A4" s="175" t="str">
        <x:v>AMORTISSEMENT</x:v>
      </x:c>
      <x:c r="B4" s="175" t="str">
        <x:v>Autres immobilisations 1</x:v>
      </x:c>
      <x:c r="C4" s="175" t="str">
        <x:v>GENERAL</x:v>
      </x:c>
      <x:c r="D4" s="175" t="str">
        <x:v>MGA</x:v>
      </x:c>
      <x:c r="E4" s="176" t="n">
        <x:v>0</x:v>
      </x:c>
      <x:c r="F4" s="176" t="n">
        <x:v>189999.99999999997</x:v>
      </x:c>
      <x:c r="G4" s="176" t="n">
        <x:v>189999.99999999997</x:v>
      </x:c>
      <x:c r="H4" s="176" t="n">
        <x:v>189999.99999999997</x:v>
      </x:c>
      <x:c r="I4" s="176" t="n">
        <x:v>189999.99999999997</x:v>
      </x:c>
      <x:c r="J4" s="176" t="n">
        <x:v>189999.99999999997</x:v>
      </x:c>
      <x:c r="K4" s="176" t="n">
        <x:v>189999.99999999997</x:v>
      </x:c>
      <x:c r="L4" s="176" t="n">
        <x:v>189999.99999999997</x:v>
      </x:c>
      <x:c r="M4" s="176" t="n">
        <x:v>189999.99999999997</x:v>
      </x:c>
      <x:c r="N4" s="176" t="n">
        <x:v>189999.99999999997</x:v>
      </x:c>
      <x:c r="O4" s="176" t="n">
        <x:v>189999.99999999997</x:v>
      </x:c>
      <x:c r="P4" s="176" t="n">
        <x:v>189999.99999999997</x:v>
      </x:c>
      <x:c r="Q4" s="176" t="n">
        <x:v>2089999.9999999998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 t="str">
        <x:v>GENERAL</x:v>
      </x:c>
      <x:c r="D5" s="173" t="str">
        <x:v>MGA</x:v>
      </x:c>
      <x:c r="E5" s="174" t="n">
        <x:v>0</x:v>
      </x:c>
      <x:c r="F5" s="174" t="n">
        <x:v>2849999.9999999995</x:v>
      </x:c>
      <x:c r="G5" s="174" t="n">
        <x:v>2849999.9999999995</x:v>
      </x:c>
      <x:c r="H5" s="174" t="n">
        <x:v>2849999.9999999995</x:v>
      </x:c>
      <x:c r="I5" s="174" t="n">
        <x:v>2849999.9999999995</x:v>
      </x:c>
      <x:c r="J5" s="174" t="n">
        <x:v>2849999.9999999995</x:v>
      </x:c>
      <x:c r="K5" s="174" t="n">
        <x:v>2849999.9999999995</x:v>
      </x:c>
      <x:c r="L5" s="174" t="n">
        <x:v>2849999.9999999995</x:v>
      </x:c>
      <x:c r="M5" s="174" t="n">
        <x:v>2849999.9999999995</x:v>
      </x:c>
      <x:c r="N5" s="174" t="n">
        <x:v>2849999.9999999995</x:v>
      </x:c>
      <x:c r="O5" s="174" t="n">
        <x:v>2849999.9999999995</x:v>
      </x:c>
      <x:c r="P5" s="174" t="n">
        <x:v>2849999.9999999995</x:v>
      </x:c>
      <x:c r="Q5" s="174" t="n">
        <x:v>31349999.999999996</x:v>
      </x:c>
    </x:row>
    <x:row r="6" ht="21" customHeight="1">
      <x:c r="A6" s="175" t="str">
        <x:v>AMORTISSEMENT</x:v>
      </x:c>
      <x:c r="B6" s="175" t="str">
        <x:v>Autres immobilisations 2</x:v>
      </x:c>
      <x:c r="C6" s="175" t="str">
        <x:v>GENERAL</x:v>
      </x:c>
      <x:c r="D6" s="175" t="str">
        <x:v>MGA</x:v>
      </x:c>
      <x:c r="E6" s="176" t="n">
        <x:v>0</x:v>
      </x:c>
      <x:c r="F6" s="176" t="n">
        <x:v>47499.99999999999</x:v>
      </x:c>
      <x:c r="G6" s="176" t="n">
        <x:v>47499.99999999999</x:v>
      </x:c>
      <x:c r="H6" s="176" t="n">
        <x:v>47499.99999999999</x:v>
      </x:c>
      <x:c r="I6" s="176" t="n">
        <x:v>47499.99999999999</x:v>
      </x:c>
      <x:c r="J6" s="176" t="n">
        <x:v>47499.99999999999</x:v>
      </x:c>
      <x:c r="K6" s="176" t="n">
        <x:v>47499.99999999999</x:v>
      </x:c>
      <x:c r="L6" s="176" t="n">
        <x:v>47499.99999999999</x:v>
      </x:c>
      <x:c r="M6" s="176" t="n">
        <x:v>47499.99999999999</x:v>
      </x:c>
      <x:c r="N6" s="176" t="n">
        <x:v>47499.99999999999</x:v>
      </x:c>
      <x:c r="O6" s="176" t="n">
        <x:v>47499.99999999999</x:v>
      </x:c>
      <x:c r="P6" s="176" t="n">
        <x:v>47499.99999999999</x:v>
      </x:c>
      <x:c r="Q6" s="176" t="n">
        <x:v>522499.99999999994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 t="str">
        <x:v>GENERAL</x:v>
      </x:c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 t="str">
        <x:v>GENERAL</x:v>
      </x:c>
      <x:c r="D8" s="175" t="str">
        <x:v>MGA</x:v>
      </x:c>
      <x:c r="E8" s="176" t="n">
        <x:v>6745.501124999999</x:v>
      </x:c>
      <x:c r="F8" s="176" t="n">
        <x:v>6745.501124999999</x:v>
      </x:c>
      <x:c r="G8" s="176" t="n">
        <x:v>6745.501124999999</x:v>
      </x:c>
      <x:c r="H8" s="176" t="n">
        <x:v>6745.501124999999</x:v>
      </x:c>
      <x:c r="I8" s="176" t="n">
        <x:v>6745.501124999999</x:v>
      </x:c>
      <x:c r="J8" s="176" t="n">
        <x:v>6745.501124999999</x:v>
      </x:c>
      <x:c r="K8" s="176" t="n">
        <x:v>6745.501124999999</x:v>
      </x:c>
      <x:c r="L8" s="176" t="n">
        <x:v>6745.501124999999</x:v>
      </x:c>
      <x:c r="M8" s="176" t="n">
        <x:v>6745.501124999999</x:v>
      </x:c>
      <x:c r="N8" s="176" t="n">
        <x:v>6745.501124999999</x:v>
      </x:c>
      <x:c r="O8" s="176" t="n">
        <x:v>6745.501124999999</x:v>
      </x:c>
      <x:c r="P8" s="176" t="n">
        <x:v>6745.501124999999</x:v>
      </x:c>
      <x:c r="Q8" s="176" t="n">
        <x:v>80946.01349999999</x:v>
      </x:c>
    </x:row>
    <x:row r="9" ht="21" customHeight="1">
      <x:c r="A9" s="173" t="str">
        <x:v>AMORTISSEMENT</x:v>
      </x:c>
      <x:c r="B9" s="173" t="str">
        <x:v>DOT.AMORT.MATERIEL DE BUREAU</x:v>
      </x:c>
      <x:c r="C9" s="173" t="str">
        <x:v>GENERAL</x:v>
      </x:c>
      <x:c r="D9" s="173" t="str">
        <x:v>MGA</x:v>
      </x:c>
      <x:c r="E9" s="174" t="n">
        <x:v>1064990.43069375</x:v>
      </x:c>
      <x:c r="F9" s="174" t="n">
        <x:v>1064990.43069375</x:v>
      </x:c>
      <x:c r="G9" s="174" t="n">
        <x:v>1064990.43069375</x:v>
      </x:c>
      <x:c r="H9" s="174" t="n">
        <x:v>1064990.43069375</x:v>
      </x:c>
      <x:c r="I9" s="174" t="n">
        <x:v>1064990.43069375</x:v>
      </x:c>
      <x:c r="J9" s="174" t="n">
        <x:v>1064990.43069375</x:v>
      </x:c>
      <x:c r="K9" s="174" t="n">
        <x:v>1064990.43069375</x:v>
      </x:c>
      <x:c r="L9" s="174" t="n">
        <x:v>1064990.43069375</x:v>
      </x:c>
      <x:c r="M9" s="174" t="n">
        <x:v>1064990.43069375</x:v>
      </x:c>
      <x:c r="N9" s="174" t="n">
        <x:v>1064990.43069375</x:v>
      </x:c>
      <x:c r="O9" s="174" t="n">
        <x:v>1064990.43069375</x:v>
      </x:c>
      <x:c r="P9" s="174" t="n">
        <x:v>1064990.43069375</x:v>
      </x:c>
      <x:c r="Q9" s="174" t="n">
        <x:v>12779885.168325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 t="str">
        <x:v>GENERAL</x:v>
      </x:c>
      <x:c r="D10" s="175" t="str">
        <x:v>MGA</x:v>
      </x:c>
      <x:c r="E10" s="176" t="n">
        <x:v>91710.02718281245</x:v>
      </x:c>
      <x:c r="F10" s="176" t="n">
        <x:v>91710.02718281245</x:v>
      </x:c>
      <x:c r="G10" s="176" t="n">
        <x:v>91710.02718281245</x:v>
      </x:c>
      <x:c r="H10" s="176" t="n">
        <x:v>91710.02718281245</x:v>
      </x:c>
      <x:c r="I10" s="176" t="n">
        <x:v>91710.02718281245</x:v>
      </x:c>
      <x:c r="J10" s="176" t="n">
        <x:v>91710.02718281245</x:v>
      </x:c>
      <x:c r="K10" s="176" t="n">
        <x:v>91710.02718281245</x:v>
      </x:c>
      <x:c r="L10" s="176" t="n">
        <x:v>91710.02718281245</x:v>
      </x:c>
      <x:c r="M10" s="176" t="n">
        <x:v>91710.02718281245</x:v>
      </x:c>
      <x:c r="N10" s="176" t="n">
        <x:v>91710.02718281245</x:v>
      </x:c>
      <x:c r="O10" s="176" t="n">
        <x:v>91710.02718281245</x:v>
      </x:c>
      <x:c r="P10" s="176" t="n">
        <x:v>91710.02718281245</x:v>
      </x:c>
      <x:c r="Q10" s="176" t="n">
        <x:v>1100520.3261937494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 t="str">
        <x:v>GENERAL</x:v>
      </x:c>
      <x:c r="D11" s="173" t="str">
        <x:v>MGA</x:v>
      </x:c>
      <x:c r="E11" s="174" t="n">
        <x:v>151413.52911523433</x:v>
      </x:c>
      <x:c r="F11" s="174" t="n">
        <x:v>151413.52911523433</x:v>
      </x:c>
      <x:c r="G11" s="174" t="n">
        <x:v>151413.52911523433</x:v>
      </x:c>
      <x:c r="H11" s="174" t="n">
        <x:v>151413.52911523433</x:v>
      </x:c>
      <x:c r="I11" s="174" t="n">
        <x:v>151413.52911523433</x:v>
      </x:c>
      <x:c r="J11" s="174" t="n">
        <x:v>151413.52911523433</x:v>
      </x:c>
      <x:c r="K11" s="174" t="n">
        <x:v>151413.52911523433</x:v>
      </x:c>
      <x:c r="L11" s="174" t="n">
        <x:v>151413.52911523433</x:v>
      </x:c>
      <x:c r="M11" s="174" t="n">
        <x:v>151413.52911523433</x:v>
      </x:c>
      <x:c r="N11" s="174" t="n">
        <x:v>151413.52911523433</x:v>
      </x:c>
      <x:c r="O11" s="174" t="n">
        <x:v>151413.52911523433</x:v>
      </x:c>
      <x:c r="P11" s="174" t="n">
        <x:v>151413.52911523433</x:v>
      </x:c>
      <x:c r="Q11" s="174" t="n">
        <x:v>1816962.349382812</x:v>
      </x:c>
    </x:row>
    <x:row r="12" ht="21" customHeight="1">
      <x:c r="A12" s="175" t="str">
        <x:v>AMORTISSEMENT</x:v>
      </x:c>
      <x:c r="B12" s="175" t="str">
        <x:v>Autres amortissements</x:v>
      </x:c>
      <x:c r="C12" s="175" t="str">
        <x:v>GENERAL</x:v>
      </x:c>
      <x:c r="D12" s="175" t="str">
        <x:v>MGA</x:v>
      </x:c>
      <x:c r="E12" s="176" t="n">
        <x:v>0</x:v>
      </x:c>
      <x:c r="F12" s="176" t="n">
        <x:v>83125</x:v>
      </x:c>
      <x:c r="G12" s="176" t="n">
        <x:v>83125</x:v>
      </x:c>
      <x:c r="H12" s="176" t="n">
        <x:v>83125</x:v>
      </x:c>
      <x:c r="I12" s="176" t="n">
        <x:v>83125</x:v>
      </x:c>
      <x:c r="J12" s="176" t="n">
        <x:v>83125</x:v>
      </x:c>
      <x:c r="K12" s="176" t="n">
        <x:v>83125</x:v>
      </x:c>
      <x:c r="L12" s="176" t="n">
        <x:v>83125</x:v>
      </x:c>
      <x:c r="M12" s="176" t="n">
        <x:v>83125</x:v>
      </x:c>
      <x:c r="N12" s="176" t="n">
        <x:v>83125</x:v>
      </x:c>
      <x:c r="O12" s="176" t="n">
        <x:v>83125</x:v>
      </x:c>
      <x:c r="P12" s="176" t="n">
        <x:v>83125</x:v>
      </x:c>
      <x:c r="Q12" s="176" t="n">
        <x:v>914375</x:v>
      </x:c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