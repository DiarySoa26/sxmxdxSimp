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46fe88560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5ace4805b56145f0"/>
    <x:sheet xmlns:r="http://schemas.openxmlformats.org/officeDocument/2006/relationships" name="Employes" sheetId="2" r:id="R3f7e5ffaccc14563"/>
    <x:sheet xmlns:r="http://schemas.openxmlformats.org/officeDocument/2006/relationships" name="Production" sheetId="3" r:id="R460f536139ca430b"/>
    <x:sheet xmlns:r="http://schemas.openxmlformats.org/officeDocument/2006/relationships" name="Charges" sheetId="4" r:id="R7d2fb8c2b7854deb"/>
    <x:sheet xmlns:r="http://schemas.openxmlformats.org/officeDocument/2006/relationships" name="Exportations" sheetId="5" r:id="R91a7569ee1694e18"/>
    <x:sheet xmlns:r="http://schemas.openxmlformats.org/officeDocument/2006/relationships" name="Frais Export" sheetId="6" r:id="Ra7ff6dc07a524561"/>
    <x:sheet xmlns:r="http://schemas.openxmlformats.org/officeDocument/2006/relationships" name="Synthese" sheetId="7" r:id="Re552fc0098b6481e"/>
    <x:sheet xmlns:r="http://schemas.openxmlformats.org/officeDocument/2006/relationships" name="CR" sheetId="8" r:id="Ree0b287dfb6942fb"/>
    <x:sheet xmlns:r="http://schemas.openxmlformats.org/officeDocument/2006/relationships" name="Amortissements" sheetId="9" r:id="R65ea10846b00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;[Red](#,##0);-"/>
    <x:numFmt numFmtId="202" formatCode="#,##0.00;[Red](#,##0.00);-"/>
    <x:numFmt numFmtId="203" formatCode="0.0%;[Red](0.0%);-"/>
    <x:numFmt numFmtId="204" formatCode="#,##0.00 &quot;t&quot;;[Red](#,##0.00);-"/>
    <x:numFmt numFmtId="205" formatCode="0.00%;[Red](0.00%);-"/>
    <x:numFmt numFmtId="206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3">
    <x:border/>
    <x:border/>
    <x:border>
      <x:top style="medium">
        <x:color rgb="FF17365D"/>
      </x:top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202" fontId="4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2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202" fontId="7" fillId="3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202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2" fontId="8" fillId="8" borderId="2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202" fontId="8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202" fontId="8" fillId="9" borderId="2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2" fontId="8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202" fontId="8" fillId="10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202" fontId="10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202" fontId="5" fillId="7" borderId="0" xfId="0" applyNumberFormat="1" applyFont="1" applyFill="1" applyBorder="1" applyAlignment="1">
      <x:alignment horizontal="right" vertical="center" wrapText="1"/>
    </x:xf>
    <x:xf numFmtId="202" fontId="8" fillId="8" borderId="2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2" fontId="10" fillId="8" borderId="0" xfId="0" applyNumberFormat="1" applyFont="1" applyFill="1" applyBorder="1" applyAlignment="1">
      <x:alignment horizontal="right" vertical="center"/>
    </x:xf>
    <x:xf numFmtId="202" fontId="8" fillId="9" borderId="2" xfId="0" applyNumberFormat="1" applyFont="1" applyFill="1" applyBorder="1" applyAlignment="1">
      <x:alignment horizontal="right" vertical="center"/>
    </x:xf>
    <x:xf numFmtId="202" fontId="8" fillId="9" borderId="0" xfId="0" applyNumberFormat="1" applyFont="1" applyFill="1" applyBorder="1" applyAlignment="1">
      <x:alignment horizontal="right" vertical="center"/>
    </x:xf>
    <x:xf numFmtId="202" fontId="10" fillId="9" borderId="0" xfId="0" applyNumberFormat="1" applyFont="1" applyFill="1" applyBorder="1" applyAlignment="1">
      <x:alignment horizontal="right" vertical="center"/>
    </x:xf>
    <x:xf numFmtId="202" fontId="8" fillId="10" borderId="2" xfId="0" applyNumberFormat="1" applyFont="1" applyFill="1" applyBorder="1" applyAlignment="1">
      <x:alignment horizontal="right" vertical="center"/>
    </x:xf>
    <x:xf numFmtId="202" fontId="8" fillId="10" borderId="0" xfId="0" applyNumberFormat="1" applyFont="1" applyFill="1" applyBorder="1" applyAlignment="1">
      <x:alignment horizontal="right" vertical="center"/>
    </x:xf>
    <x:xf numFmtId="202" fontId="10" fillId="1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202" fontId="0" fillId="2" borderId="0" xfId="0" applyNumberFormat="1" applyFont="1" applyFill="1" applyBorder="1"/>
    <x:xf numFmtId="0" fontId="7" fillId="2" borderId="0" xfId="0" applyNumberFormat="1" applyFont="1" applyFill="1" applyBorder="1"/>
    <x:xf numFmtId="202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202" fontId="7" fillId="2" borderId="0" xfId="0" applyNumberFormat="1" applyFont="1" applyFill="1" applyBorder="1" applyAlignment="1">
      <x:alignment horizontal="left"/>
    </x:xf>
    <x:xf numFmtId="201" fontId="0" fillId="11" borderId="0" xfId="0" applyNumberFormat="1" applyFont="1" applyFill="1" applyBorder="1"/>
    <x:xf numFmtId="201" fontId="11" fillId="11" borderId="0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201" fontId="1" fillId="12" borderId="0" xfId="0" applyNumberFormat="1" applyFont="1" applyFill="1" applyBorder="1"/>
    <x:xf numFmtId="205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11" fillId="4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201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6" fontId="0" fillId="0" borderId="0" xfId="0" applyNumberFormat="1" applyFont="1" applyFill="1" applyBorder="1"/>
    <x:xf numFmtId="0" fontId="13" fillId="15" borderId="0" xfId="0" applyNumberFormat="1" applyFont="1" applyFill="1" applyBorder="1"/>
    <x:xf numFmtId="206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10a07fdcc4838" /><Relationship Type="http://schemas.openxmlformats.org/officeDocument/2006/relationships/theme" Target="/xl/theme/theme1.xml" Id="R8cbafba47992462f" /><Relationship Type="http://schemas.openxmlformats.org/officeDocument/2006/relationships/sharedStrings" Target="/xl/sharedStrings.xml" Id="Rdc8b46f08416444f" /><Relationship Type="http://schemas.openxmlformats.org/officeDocument/2006/relationships/worksheet" Target="/xl/worksheets/sheet1.xml" Id="R5ace4805b56145f0" /><Relationship Type="http://schemas.openxmlformats.org/officeDocument/2006/relationships/worksheet" Target="/xl/worksheets/sheet2.xml" Id="R3f7e5ffaccc14563" /><Relationship Type="http://schemas.openxmlformats.org/officeDocument/2006/relationships/worksheet" Target="/xl/worksheets/sheet3.xml" Id="R460f536139ca430b" /><Relationship Type="http://schemas.openxmlformats.org/officeDocument/2006/relationships/worksheet" Target="/xl/worksheets/sheet4.xml" Id="R7d2fb8c2b7854deb" /><Relationship Type="http://schemas.openxmlformats.org/officeDocument/2006/relationships/worksheet" Target="/xl/worksheets/sheet5.xml" Id="R91a7569ee1694e18" /><Relationship Type="http://schemas.openxmlformats.org/officeDocument/2006/relationships/worksheet" Target="/xl/worksheets/sheet6.xml" Id="Ra7ff6dc07a524561" /><Relationship Type="http://schemas.openxmlformats.org/officeDocument/2006/relationships/worksheet" Target="/xl/worksheets/sheet7.xml" Id="Re552fc0098b6481e" /><Relationship Type="http://schemas.openxmlformats.org/officeDocument/2006/relationships/worksheet" Target="/xl/worksheets/sheet8.xml" Id="Ree0b287dfb6942fb" /><Relationship Type="http://schemas.openxmlformats.org/officeDocument/2006/relationships/worksheet" Target="/xl/worksheets/sheet9.xml" Id="R65ea10846b0044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.25" hidden="0" customWidth="1"/>
    <x:col min="3" max="3" width="11.25" hidden="0" customWidth="1"/>
    <x:col min="4" max="4" width="40" hidden="0" customWidth="1"/>
  </x:cols>
  <x:sheetData>
    <x:row r="1">
      <x:c r="A1" s="6" t="str">
        <x:v>DONNEES SOMIDA - PARAMETRES ET REFERENTIELS</x:v>
      </x:c>
      <x:c r="B1" s="6"/>
      <x:c r="C1" s="6"/>
      <x:c r="D1" s="6"/>
    </x:row>
    <x:row r="2">
      <x:c r="A2" s="6" t="str">
        <x:v>Paramètre</x:v>
      </x:c>
      <x:c r="B2" s="6" t="str">
        <x:v>Valeur</x:v>
      </x:c>
      <x:c r="C2" s="6" t="str">
        <x:v>Unité / devise</x:v>
      </x:c>
      <x:c r="D2" s="6" t="str">
        <x:v>Commentaire</x:v>
      </x:c>
    </x:row>
    <x:row r="3">
      <x:c r="A3" t="str">
        <x:v>Exercice</x:v>
      </x:c>
      <x:c r="B3" s="12" t="n">
        <x:v>2025</x:v>
      </x:c>
      <x:c r="C3" t="str">
        <x:v>année</x:v>
      </x:c>
      <x:c r="D3" t="str">
        <x:v>Exercice</x:v>
      </x:c>
    </x:row>
    <x:row r="4">
      <x:c r="A4" t="str">
        <x:v>Inflation annuelle</x:v>
      </x:c>
      <x:c r="B4" s="14" t="n">
        <x:v>0.067</x:v>
      </x:c>
      <x:c r="C4" t="str">
        <x:v>%</x:v>
      </x:c>
      <x:c r="D4" t="str">
        <x:v>Paramètre annuel</x:v>
      </x:c>
    </x:row>
    <x:row r="5">
      <x:c r="A5" t="str">
        <x:v>Taux USD/MGA</x:v>
      </x:c>
      <x:c r="B5" s="12" t="n">
        <x:v>4560</x:v>
      </x:c>
      <x:c r="C5" t="str">
        <x:v>MGA/USD</x:v>
      </x:c>
      <x:c r="D5" t="str">
        <x:v>Taux de change</x:v>
      </x:c>
    </x:row>
    <x:row r="6">
      <x:c r="A6" t="str">
        <x:v>Taux JPY/MGA</x:v>
      </x:c>
      <x:c r="B6" s="12" t="n">
        <x:v>31.2</x:v>
      </x:c>
      <x:c r="C6" t="str">
        <x:v>MGA/JPY</x:v>
      </x:c>
      <x:c r="D6" t="str">
        <x:v>Taux de change</x:v>
      </x:c>
    </x:row>
    <x:row r="7">
      <x:c r="A7" t="str">
        <x:v>Augmentation salariale</x:v>
      </x:c>
      <x:c r="B7" s="14" t="n">
        <x:v>0.07500000000000001</x:v>
      </x:c>
      <x:c r="C7" t="str">
        <x:v>%</x:v>
      </x:c>
      <x:c r="D7" t="str">
        <x:v>Évolution salariale</x:v>
      </x:c>
    </x:row>
    <x:row r="8">
      <x:c r="A8" t="str">
        <x:v>TVA</x:v>
      </x:c>
      <x:c r="B8" s="14" t="n">
        <x:v>0.2</x:v>
      </x:c>
      <x:c r="C8" t="str">
        <x:v>%</x:v>
      </x:c>
      <x:c r="D8" t="str">
        <x:v>Paramètre fiscal</x:v>
      </x:c>
    </x:row>
    <x:row r="9">
      <x:c r="A9" t="str">
        <x:v>Site principal</x:v>
      </x:c>
      <x:c r="B9" t="str">
        <x:v>FORT DAUPHIN</x:v>
      </x:c>
      <x:c r="C9" t="str"/>
      <x:c r="D9" t="str">
        <x:v>Administration / export</x:v>
      </x:c>
    </x:row>
    <x:row r="10">
      <x:c r="A10" t="str">
        <x:v>Site production</x:v>
      </x:c>
      <x:c r="B10" t="str">
        <x:v>AMPANDRANDAVA</x:v>
      </x:c>
      <x:c r="C10" t="str"/>
      <x:c r="D10" t="str">
        <x:v>Production</x:v>
      </x:c>
    </x:row>
    <x:row r="11">
      <x:c r="A11"/>
      <x:c r="B11"/>
      <x:c r="C11"/>
      <x:c r="D11"/>
    </x:row>
    <x:row r="12">
      <x:c r="A12" s="6" t="str">
        <x:v>MARCHES EXPORT</x:v>
      </x:c>
      <x:c r="B12" s="6"/>
      <x:c r="C12" s="6"/>
      <x:c r="D12" s="6"/>
    </x:row>
    <x:row r="13">
      <x:c r="A13" s="6" t="str">
        <x:v>Pays</x:v>
      </x:c>
      <x:c r="B13" s="6" t="str">
        <x:v>Entité représentatrice</x:v>
      </x:c>
      <x:c r="C13" s="6" t="str">
        <x:v>Devise</x:v>
      </x:c>
      <x:c r="D13" s="6" t="str">
        <x:v>Observation</x:v>
      </x:c>
    </x:row>
    <x:row r="14">
      <x:c r="A14" t="str">
        <x:v>Japon</x:v>
      </x:c>
      <x:c r="B14" t="str">
        <x:v>GOODEIS</x:v>
      </x:c>
      <x:c r="C14" t="str">
        <x:v>JPY</x:v>
      </x:c>
      <x:c r="D14" t="str">
        <x:v>Marché export</x:v>
      </x:c>
    </x:row>
    <x:row r="15">
      <x:c r="A15" t="str">
        <x:v>Russie</x:v>
      </x:c>
      <x:c r="B15" t="str">
        <x:v>ELINAR</x:v>
      </x:c>
      <x:c r="C15" t="str">
        <x:v>USD</x:v>
      </x:c>
      <x:c r="D15" t="str">
        <x:v>Marché export</x:v>
      </x:c>
    </x:row>
    <x:row r="16">
      <x:c r="A16" t="str">
        <x:v>Chine</x:v>
      </x:c>
      <x:c r="B16" t="str">
        <x:v>REPRESENTANT CHINE</x:v>
      </x:c>
      <x:c r="C16" t="str">
        <x:v>USD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14.75" hidden="0" customWidth="1"/>
    <x:col min="4" max="4" width="11.630000114440918" hidden="0" customWidth="1"/>
    <x:col min="5" max="5" width="26" hidden="0" customWidth="1"/>
    <x:col min="6" max="6" width="22" hidden="0" customWidth="1"/>
    <x:col min="7" max="7" width="18.75" hidden="0" customWidth="1"/>
    <x:col min="8" max="8" width="20.5" hidden="0" customWidth="1"/>
    <x:col min="9" max="9" width="20.5" hidden="0" customWidth="1"/>
    <x:col min="10" max="10" width="5.130000114440918" hidden="0" customWidth="1"/>
  </x:cols>
  <x:sheetData>
    <x:row r="1">
      <x:c r="A1" s="6" t="str">
        <x:v>Matricule</x:v>
      </x:c>
      <x:c r="B1" s="6" t="str">
        <x:v>Nom</x:v>
      </x:c>
      <x:c r="C1" s="6" t="str">
        <x:v>Site</x:v>
      </x:c>
      <x:c r="D1" s="6" t="str">
        <x:v>Département</x:v>
      </x:c>
      <x:c r="E1" s="6" t="str">
        <x:v>Poste</x:v>
      </x:c>
      <x:c r="F1" s="6" t="str">
        <x:v>Salaire base mensuel (MGA)</x:v>
      </x:c>
      <x:c r="G1" s="6" t="str">
        <x:v>Prime mensuelle (MGA)</x:v>
      </x:c>
      <x:c r="H1" s="6" t="str">
        <x:v>Charges patronales (MGA)</x:v>
      </x:c>
      <x:c r="I1" s="6" t="str">
        <x:v>Coût mensuel total (MGA)</x:v>
      </x:c>
      <x:c r="J1" s="6" t="str">
        <x:v>Statut</x:v>
      </x:c>
    </x:row>
    <x:row r="2">
      <x:c r="A2" t="str">
        <x:v>EMP-001</x:v>
      </x:c>
      <x:c r="B2" t="str">
        <x:v>RABE Hery</x:v>
      </x:c>
      <x:c r="C2" t="str">
        <x:v>AMBOASARY</x:v>
      </x:c>
      <x:c r="D2" t="str">
        <x:v>Direction</x:v>
      </x:c>
      <x:c r="E2" t="str">
        <x:v>Directeur Général</x:v>
      </x:c>
      <x:c r="F2" s="16" t="n">
        <x:v>13500000</x:v>
      </x:c>
      <x:c r="G2" s="16" t="n">
        <x:v>1620000</x:v>
      </x:c>
      <x:c r="H2" s="16" t="n">
        <x:v>2430000</x:v>
      </x:c>
      <x:c r="I2" s="16" t="n">
        <x:f>SUM(F2:H2)</x:f>
        <x:v>17550000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AMBOASARY</x:v>
      </x:c>
      <x:c r="D3" t="str">
        <x:v>Direction</x:v>
      </x:c>
      <x:c r="E3" t="str">
        <x:v>DAF</x:v>
      </x:c>
      <x:c r="F3" s="16" t="n">
        <x:v>9680000</x:v>
      </x:c>
      <x:c r="G3" s="16" t="n">
        <x:v>968000</x:v>
      </x:c>
      <x:c r="H3" s="16" t="n">
        <x:v>1742000</x:v>
      </x:c>
      <x:c r="I3" s="16" t="n">
        <x:f>SUM(F3:H3)</x:f>
        <x:v>12390000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16" t="n">
        <x:v>5630000</x:v>
      </x:c>
      <x:c r="G4" s="16" t="n">
        <x:v>282000</x:v>
      </x:c>
      <x:c r="H4" s="16" t="n">
        <x:v>1013000</x:v>
      </x:c>
      <x:c r="I4" s="16" t="n">
        <x:f>SUM(F4:H4)</x:f>
        <x:v>6925000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AMPANDRANDAVA</x:v>
      </x:c>
      <x:c r="D5" t="str">
        <x:v>Finance</x:v>
      </x:c>
      <x:c r="E5" t="str">
        <x:v>Comptable</x:v>
      </x:c>
      <x:c r="F5" s="16" t="n">
        <x:v>3400000</x:v>
      </x:c>
      <x:c r="G5" s="16" t="n">
        <x:v>170000</x:v>
      </x:c>
      <x:c r="H5" s="16" t="n">
        <x:v>612000</x:v>
      </x:c>
      <x:c r="I5" s="16" t="n">
        <x:f>SUM(F5:H5)</x:f>
        <x:v>4182000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FORT DAUPHIN</x:v>
      </x:c>
      <x:c r="D6" t="str">
        <x:v>Finance</x:v>
      </x:c>
      <x:c r="E6" t="str">
        <x:v>Assistant comptable</x:v>
      </x:c>
      <x:c r="F6" s="16" t="n">
        <x:v>2540000</x:v>
      </x:c>
      <x:c r="G6" s="16" t="n">
        <x:v>127000</x:v>
      </x:c>
      <x:c r="H6" s="16" t="n">
        <x:v>457000</x:v>
      </x:c>
      <x:c r="I6" s="16" t="n">
        <x:f>SUM(F6:H6)</x:f>
        <x:v>3124000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16" t="n">
        <x:v>4790000</x:v>
      </x:c>
      <x:c r="G7" s="16" t="n">
        <x:v>240000</x:v>
      </x:c>
      <x:c r="H7" s="16" t="n">
        <x:v>862000</x:v>
      </x:c>
      <x:c r="I7" s="16" t="n">
        <x:f>SUM(F7:H7)</x:f>
        <x:v>5892000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FORT DAUPHIN</x:v>
      </x:c>
      <x:c r="D8" t="str">
        <x:v>Commercial</x:v>
      </x:c>
      <x:c r="E8" t="str">
        <x:v>Responsable commercial export</x:v>
      </x:c>
      <x:c r="F8" s="16" t="n">
        <x:v>5290000</x:v>
      </x:c>
      <x:c r="G8" s="16" t="n">
        <x:v>423000</x:v>
      </x:c>
      <x:c r="H8" s="16" t="n">
        <x:v>952000</x:v>
      </x:c>
      <x:c r="I8" s="16" t="n">
        <x:f>SUM(F8:H8)</x:f>
        <x:v>6665000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AMBOASARY</x:v>
      </x:c>
      <x:c r="D9" t="str">
        <x:v>Commercial</x:v>
      </x:c>
      <x:c r="E9" t="str">
        <x:v>Agent export</x:v>
      </x:c>
      <x:c r="F9" s="16" t="n">
        <x:v>2970000</x:v>
      </x:c>
      <x:c r="G9" s="16" t="n">
        <x:v>356000</x:v>
      </x:c>
      <x:c r="H9" s="16" t="n">
        <x:v>535000</x:v>
      </x:c>
      <x:c r="I9" s="16" t="n">
        <x:f>SUM(F9:H9)</x:f>
        <x:v>3861000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16" t="n">
        <x:v>3450000</x:v>
      </x:c>
      <x:c r="G10" s="16" t="n">
        <x:v>276000</x:v>
      </x:c>
      <x:c r="H10" s="16" t="n">
        <x:v>621000</x:v>
      </x:c>
      <x:c r="I10" s="16" t="n">
        <x:f>SUM(F10:H10)</x:f>
        <x:v>4347000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AMPANDRANDAVA</x:v>
      </x:c>
      <x:c r="D11" t="str">
        <x:v>Production</x:v>
      </x:c>
      <x:c r="E11" t="str">
        <x:v>Contrôleur qualité</x:v>
      </x:c>
      <x:c r="F11" s="16" t="n">
        <x:v>2830000</x:v>
      </x:c>
      <x:c r="G11" s="16" t="n">
        <x:v>142000</x:v>
      </x:c>
      <x:c r="H11" s="16" t="n">
        <x:v>509000</x:v>
      </x:c>
      <x:c r="I11" s="16" t="n">
        <x:f>SUM(F11:H11)</x:f>
        <x:v>3481000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FORT DAUPHIN</x:v>
      </x:c>
      <x:c r="D12" t="str">
        <x:v>Production</x:v>
      </x:c>
      <x:c r="E12" t="str">
        <x:v>Opérateur traitement</x:v>
      </x:c>
      <x:c r="F12" s="16" t="n">
        <x:v>1830000</x:v>
      </x:c>
      <x:c r="G12" s="16" t="n">
        <x:v>183000</x:v>
      </x:c>
      <x:c r="H12" s="16" t="n">
        <x:v>329000</x:v>
      </x:c>
      <x:c r="I12" s="16" t="n">
        <x:f>SUM(F12:H12)</x:f>
        <x:v>2342000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FORT DAUPHIN</x:v>
      </x:c>
      <x:c r="D13" t="str">
        <x:v>Production</x:v>
      </x:c>
      <x:c r="E13" t="str">
        <x:v>Coupeuse / trieuse</x:v>
      </x:c>
      <x:c r="F13" s="16" t="n">
        <x:v>1410000</x:v>
      </x:c>
      <x:c r="G13" s="16" t="n">
        <x:v>141000</x:v>
      </x:c>
      <x:c r="H13" s="16" t="n">
        <x:v>254000</x:v>
      </x:c>
      <x:c r="I13" s="16" t="n">
        <x:f>SUM(F13:H13)</x:f>
        <x:v>1805000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TRANOMARO</x:v>
      </x:c>
      <x:c r="D14" t="str">
        <x:v>Logistique</x:v>
      </x:c>
      <x:c r="E14" t="str">
        <x:v>Responsable logistique</x:v>
      </x:c>
      <x:c r="F14" s="16" t="n">
        <x:v>4580000</x:v>
      </x:c>
      <x:c r="G14" s="16" t="n">
        <x:v>366000</x:v>
      </x:c>
      <x:c r="H14" s="16" t="n">
        <x:v>824000</x:v>
      </x:c>
      <x:c r="I14" s="16" t="n">
        <x:f>SUM(F14:H14)</x:f>
        <x:v>5770000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16" t="n">
        <x:v>1720000</x:v>
      </x:c>
      <x:c r="G15" s="16" t="n">
        <x:v>206000</x:v>
      </x:c>
      <x:c r="H15" s="16" t="n">
        <x:v>310000</x:v>
      </x:c>
      <x:c r="I15" s="16" t="n">
        <x:f>SUM(F15:H15)</x:f>
        <x:v>2236000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16" t="n">
        <x:v>2580000</x:v>
      </x:c>
      <x:c r="G16" s="16" t="n">
        <x:v>310000</x:v>
      </x:c>
      <x:c r="H16" s="16" t="n">
        <x:v>464000</x:v>
      </x:c>
      <x:c r="I16" s="16" t="n">
        <x:f>SUM(F16:H16)</x:f>
        <x:v>3354000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AMPANDRANDAVA</x:v>
      </x:c>
      <x:c r="D17" t="str">
        <x:v>Sécurité</x:v>
      </x:c>
      <x:c r="E17" t="str">
        <x:v>Agent de sécurité</x:v>
      </x:c>
      <x:c r="F17" s="16" t="n">
        <x:v>1340000</x:v>
      </x:c>
      <x:c r="G17" s="16" t="n">
        <x:v>161000</x:v>
      </x:c>
      <x:c r="H17" s="16" t="n">
        <x:v>241000</x:v>
      </x:c>
      <x:c r="I17" s="16" t="n">
        <x:f>SUM(F17:H17)</x:f>
        <x:v>1742000</x:v>
      </x:c>
      <x:c r="J17" t="str">
        <x:v>Actif</x:v>
      </x:c>
    </x:row>
    <x:row r="18">
      <x:c r="A18" t="str">
        <x:v>EMP-019</x:v>
      </x:c>
      <x:c r="B18" t="str">
        <x:v>ANDRIANIRINA Mamy</x:v>
      </x:c>
      <x:c r="C18" t="str">
        <x:v>TRANOMARO</x:v>
      </x:c>
      <x:c r="D18" t="str">
        <x:v>Production</x:v>
      </x:c>
      <x:c r="E18" t="str">
        <x:v>Coupeuse / trieuse</x:v>
      </x:c>
      <x:c r="F18" s="16" t="n">
        <x:v>14100000</x:v>
      </x:c>
      <x:c r="G18" s="16" t="n">
        <x:v>1410000</x:v>
      </x:c>
      <x:c r="H18" s="16" t="n">
        <x:v>2538000</x:v>
      </x:c>
      <x:c r="I18" s="16" t="n">
        <x:f>SUM(F18:H18)</x:f>
        <x:v>18048000</x:v>
      </x:c>
      <x:c r="J18" t="str">
        <x:v>Actif</x:v>
      </x:c>
    </x:row>
    <x:row r="19">
      <x:c r="A19" t="str">
        <x:v>EMP-020</x:v>
      </x:c>
      <x:c r="B19" t="str">
        <x:v>RABENJA Felana</x:v>
      </x:c>
      <x:c r="C19" t="str">
        <x:v>TRANOMARO</x:v>
      </x:c>
      <x:c r="D19" t="str">
        <x:v>Production</x:v>
      </x:c>
      <x:c r="E19" t="str">
        <x:v>Coupeuse / trieuse</x:v>
      </x:c>
      <x:c r="F19" s="16" t="n">
        <x:v>9680000</x:v>
      </x:c>
      <x:c r="G19" s="16" t="n">
        <x:v>968000</x:v>
      </x:c>
      <x:c r="H19" s="16" t="n">
        <x:v>1742000</x:v>
      </x:c>
      <x:c r="I19" s="16" t="n">
        <x:f>SUM(F19:H19)</x:f>
        <x:v>12390000</x:v>
      </x:c>
      <x:c r="J19" t="str">
        <x:v>Actif</x:v>
      </x:c>
    </x:row>
    <x:row r="20">
      <x:c r="A20" t="str">
        <x:v>EMP-021</x:v>
      </x:c>
      <x:c r="B20" t="str">
        <x:v>RAJAONARIVELO Faly</x:v>
      </x:c>
      <x:c r="C20" t="str">
        <x:v>TRANOMARO</x:v>
      </x:c>
      <x:c r="D20" t="str">
        <x:v>Production</x:v>
      </x:c>
      <x:c r="E20" t="str">
        <x:v>Coupeuse / trieuse</x:v>
      </x:c>
      <x:c r="F20" s="16" t="n">
        <x:v>5370000</x:v>
      </x:c>
      <x:c r="G20" s="16" t="n">
        <x:v>537000</x:v>
      </x:c>
      <x:c r="H20" s="16" t="n">
        <x:v>967000</x:v>
      </x:c>
      <x:c r="I20" s="16" t="n">
        <x:f>SUM(F20:H20)</x:f>
        <x:v>6874000</x:v>
      </x:c>
      <x:c r="J20" t="str">
        <x:v>Actif</x:v>
      </x:c>
    </x:row>
    <x:row r="21">
      <x:c r="A21" t="str">
        <x:v>EMP-022</x:v>
      </x:c>
      <x:c r="B21" t="str">
        <x:v>RANORO Haja</x:v>
      </x:c>
      <x:c r="C21" t="str">
        <x:v>ANIVORANO</x:v>
      </x:c>
      <x:c r="D21" t="str">
        <x:v>Production</x:v>
      </x:c>
      <x:c r="E21" t="str">
        <x:v>Coupeuse / trieuse</x:v>
      </x:c>
      <x:c r="F21" s="16" t="n">
        <x:v>3390000</x:v>
      </x:c>
      <x:c r="G21" s="16" t="n">
        <x:v>271000</x:v>
      </x:c>
      <x:c r="H21" s="16" t="n">
        <x:v>610000</x:v>
      </x:c>
      <x:c r="I21" s="16" t="n">
        <x:f>SUM(F21:H21)</x:f>
        <x:v>4271000</x:v>
      </x:c>
      <x:c r="J21" t="str">
        <x:v>Actif</x:v>
      </x:c>
    </x:row>
    <x:row r="22">
      <x:c r="A22" t="str">
        <x:v>EMP-023</x:v>
      </x:c>
      <x:c r="B22" t="str">
        <x:v>RAKOTOARISOA Tsanta</x:v>
      </x:c>
      <x:c r="C22" t="str">
        <x:v>ANIVORANO</x:v>
      </x:c>
      <x:c r="D22" t="str">
        <x:v>Production</x:v>
      </x:c>
      <x:c r="E22" t="str">
        <x:v>Coupeuse / trieuse</x:v>
      </x:c>
      <x:c r="F22" s="16" t="n">
        <x:v>2270000</x:v>
      </x:c>
      <x:c r="G22" s="16" t="n">
        <x:v>227000</x:v>
      </x:c>
      <x:c r="H22" s="16" t="n">
        <x:v>409000</x:v>
      </x:c>
      <x:c r="I22" s="16" t="n">
        <x:f>SUM(F22:H22)</x:f>
        <x:v>2906000</x:v>
      </x:c>
      <x:c r="J22" t="str">
        <x:v>Actif</x:v>
      </x:c>
    </x:row>
    <x:row r="23">
      <x:c r="A23" t="str">
        <x:v>EMP-024</x:v>
      </x:c>
      <x:c r="B23" t="str">
        <x:v>RASOANIRINA Lova</x:v>
      </x:c>
      <x:c r="C23" t="str">
        <x:v>ANIVORANO</x:v>
      </x:c>
      <x:c r="D23" t="str">
        <x:v>Production</x:v>
      </x:c>
      <x:c r="E23" t="str">
        <x:v>Coupeuse / trieuse</x:v>
      </x:c>
      <x:c r="F23" s="16" t="n">
        <x:v>5010000</x:v>
      </x:c>
      <x:c r="G23" s="16" t="n">
        <x:v>250000</x:v>
      </x:c>
      <x:c r="H23" s="16" t="n">
        <x:v>902000</x:v>
      </x:c>
      <x:c r="I23" s="16" t="n">
        <x:f>SUM(F23:H23)</x:f>
        <x:v>6162000</x:v>
      </x:c>
      <x:c r="J23" t="str">
        <x:v>Actif</x:v>
      </x:c>
    </x:row>
    <x:row r="24">
      <x:c r="A24" t="str">
        <x:v>EMP-025</x:v>
      </x:c>
      <x:c r="B24" t="str">
        <x:v>ANDRIAMAHENINA Onja</x:v>
      </x:c>
      <x:c r="C24" t="str">
        <x:v>ANIVORANO</x:v>
      </x:c>
      <x:c r="D24" t="str">
        <x:v>Production</x:v>
      </x:c>
      <x:c r="E24" t="str">
        <x:v>Coupeuse / trieuse</x:v>
      </x:c>
      <x:c r="F24" s="16" t="n">
        <x:v>5770000</x:v>
      </x:c>
      <x:c r="G24" s="16" t="n">
        <x:v>462000</x:v>
      </x:c>
      <x:c r="H24" s="16" t="n">
        <x:v>1039000</x:v>
      </x:c>
      <x:c r="I24" s="16" t="n">
        <x:f>SUM(F24:H24)</x:f>
        <x:v>7271000</x:v>
      </x:c>
      <x:c r="J24" t="str">
        <x:v>Actif</x:v>
      </x:c>
    </x:row>
    <x:row r="25">
      <x:c r="A25" t="str">
        <x:v>EMP-026</x:v>
      </x:c>
      <x:c r="B25" t="str">
        <x:v>RAKOTOMANGA Fitia</x:v>
      </x:c>
      <x:c r="C25" t="str">
        <x:v>ANIVORANO</x:v>
      </x:c>
      <x:c r="D25" t="str">
        <x:v>Production</x:v>
      </x:c>
      <x:c r="E25" t="str">
        <x:v>Coupeuse / trieuse</x:v>
      </x:c>
      <x:c r="F25" s="16" t="n">
        <x:v>3050000</x:v>
      </x:c>
      <x:c r="G25" s="16" t="n">
        <x:v>305000</x:v>
      </x:c>
      <x:c r="H25" s="16" t="n">
        <x:v>549000</x:v>
      </x:c>
      <x:c r="I25" s="16" t="n">
        <x:f>SUM(F25:H25)</x:f>
        <x:v>3904000</x:v>
      </x:c>
      <x:c r="J25" t="str">
        <x:v>Actif</x:v>
      </x:c>
    </x:row>
    <x:row r="26">
      <x:c r="A26" t="str">
        <x:v>EMP-028</x:v>
      </x:c>
      <x:c r="B26" t="str">
        <x:v>RANDRIANASOLO Mendrika</x:v>
      </x:c>
      <x:c r="C26" t="str">
        <x:v>ANIVORANO</x:v>
      </x:c>
      <x:c r="D26" t="str">
        <x:v>Production</x:v>
      </x:c>
      <x:c r="E26" t="str">
        <x:v>Coupeuse / trieuse</x:v>
      </x:c>
      <x:c r="F26" s="16" t="n">
        <x:v>3460000</x:v>
      </x:c>
      <x:c r="G26" s="16" t="n">
        <x:v>173000</x:v>
      </x:c>
      <x:c r="H26" s="16" t="n">
        <x:v>623000</x:v>
      </x:c>
      <x:c r="I26" s="16" t="n">
        <x:f>SUM(F26:H26)</x:f>
        <x:v>4256000</x:v>
      </x:c>
      <x:c r="J26" t="str">
        <x:v>Actif</x:v>
      </x:c>
    </x:row>
    <x:row r="27">
      <x:c r="A27" t="str">
        <x:v>EMP-029</x:v>
      </x:c>
      <x:c r="B27" t="str">
        <x:v>RAVELO Aro</x:v>
      </x:c>
      <x:c r="C27" t="str">
        <x:v>FORT DAUPHIN</x:v>
      </x:c>
      <x:c r="D27" t="str">
        <x:v>Production</x:v>
      </x:c>
      <x:c r="E27" t="str">
        <x:v>Coupeuse / trieuse</x:v>
      </x:c>
      <x:c r="F27" s="16" t="n">
        <x:v>2650000</x:v>
      </x:c>
      <x:c r="G27" s="16" t="n">
        <x:v>212000</x:v>
      </x:c>
      <x:c r="H27" s="16" t="n">
        <x:v>477000</x:v>
      </x:c>
      <x:c r="I27" s="16" t="n">
        <x:f>SUM(F27:H27)</x:f>
        <x:v>3339000</x:v>
      </x:c>
      <x:c r="J27" t="str">
        <x:v>Actif</x:v>
      </x:c>
    </x:row>
    <x:row r="28">
      <x:c r="A28" t="str">
        <x:v>EMP-030</x:v>
      </x:c>
      <x:c r="B28" t="str">
        <x:v>RAZAFIMAHATRATRA Vola</x:v>
      </x:c>
      <x:c r="C28" t="str">
        <x:v>FORT DAUPHIN</x:v>
      </x:c>
      <x:c r="D28" t="str">
        <x:v>Production</x:v>
      </x:c>
      <x:c r="E28" t="str">
        <x:v>Coupeuse / trieuse</x:v>
      </x:c>
      <x:c r="F28" s="16" t="n">
        <x:v>1920000</x:v>
      </x:c>
      <x:c r="G28" s="16" t="n">
        <x:v>154000</x:v>
      </x:c>
      <x:c r="H28" s="16" t="n">
        <x:v>346000</x:v>
      </x:c>
      <x:c r="I28" s="16" t="n">
        <x:f>SUM(F28:H28)</x:f>
        <x:v>2420000</x:v>
      </x:c>
      <x:c r="J28" t="str">
        <x:v>Actif</x:v>
      </x:c>
    </x:row>
    <x:row r="29">
      <x:c r="A29" t="str">
        <x:v>EMP-031</x:v>
      </x:c>
      <x:c r="B29" t="str">
        <x:v>RAKOTOVOLOLONA Rado</x:v>
      </x:c>
      <x:c r="C29" t="str">
        <x:v>FORT DAUPHIN</x:v>
      </x:c>
      <x:c r="D29" t="str">
        <x:v>Production</x:v>
      </x:c>
      <x:c r="E29" t="str">
        <x:v>Coupeuse / trieuse</x:v>
      </x:c>
      <x:c r="F29" s="16" t="n">
        <x:v>1280000</x:v>
      </x:c>
      <x:c r="G29" s="16" t="n">
        <x:v>154000</x:v>
      </x:c>
      <x:c r="H29" s="16" t="n">
        <x:v>230000</x:v>
      </x:c>
      <x:c r="I29" s="16" t="n">
        <x:f>SUM(F29:H29)</x:f>
        <x:v>1664000</x:v>
      </x:c>
      <x:c r="J29" t="str">
        <x:v>Actif</x:v>
      </x:c>
    </x:row>
    <x:row r="30">
      <x:c r="A30" t="str">
        <x:v>EMP-032</x:v>
      </x:c>
      <x:c r="B30" t="str">
        <x:v>RABEMANANJARA Hery</x:v>
      </x:c>
      <x:c r="C30" t="str">
        <x:v>FORT DAUPHIN</x:v>
      </x:c>
      <x:c r="D30" t="str">
        <x:v>Production</x:v>
      </x:c>
      <x:c r="E30" t="str">
        <x:v>Coupeuse / trieuse</x:v>
      </x:c>
      <x:c r="F30" s="16" t="n">
        <x:v>4040000</x:v>
      </x:c>
      <x:c r="G30" s="16" t="n">
        <x:v>323000</x:v>
      </x:c>
      <x:c r="H30" s="16" t="n">
        <x:v>727000</x:v>
      </x:c>
      <x:c r="I30" s="16" t="n">
        <x:f>SUM(F30:H30)</x:f>
        <x:v>5090000</x:v>
      </x:c>
      <x:c r="J30" t="str">
        <x:v>Actif</x:v>
      </x:c>
    </x:row>
    <x:row r="31">
      <x:c r="A31" t="str">
        <x:v>EMP-033</x:v>
      </x:c>
      <x:c r="B31" t="str">
        <x:v>RAKOTOZAFY Mialy</x:v>
      </x:c>
      <x:c r="C31" t="str">
        <x:v>FORT DAUPHIN</x:v>
      </x:c>
      <x:c r="D31" t="str">
        <x:v>Production</x:v>
      </x:c>
      <x:c r="E31" t="str">
        <x:v>Coupeuse / trieuse</x:v>
      </x:c>
      <x:c r="F31" s="16" t="n">
        <x:v>1690000</x:v>
      </x:c>
      <x:c r="G31" s="16" t="n">
        <x:v>169000</x:v>
      </x:c>
      <x:c r="H31" s="16" t="n">
        <x:v>304000</x:v>
      </x:c>
      <x:c r="I31" s="16" t="n">
        <x:f>SUM(F31:H31)</x:f>
        <x:v>2163000</x:v>
      </x:c>
      <x:c r="J31" t="str">
        <x:v>Actif</x:v>
      </x:c>
    </x:row>
    <x:row r="32">
      <x:c r="A32" t="str">
        <x:v>EMP-034</x:v>
      </x:c>
      <x:c r="B32" t="str">
        <x:v>RAZAFINDRAKOTOA Ando</x:v>
      </x:c>
      <x:c r="C32" t="str">
        <x:v>FORT DAUPHIN</x:v>
      </x:c>
      <x:c r="D32" t="str">
        <x:v>Production</x:v>
      </x:c>
      <x:c r="E32" t="str">
        <x:v>Coupeuse / trieuse</x:v>
      </x:c>
      <x:c r="F32" s="16" t="n">
        <x:v>2620000</x:v>
      </x:c>
      <x:c r="G32" s="16" t="n">
        <x:v>210000</x:v>
      </x:c>
      <x:c r="H32" s="16" t="n">
        <x:v>472000</x:v>
      </x:c>
      <x:c r="I32" s="16" t="n">
        <x:f>SUM(F32:H32)</x:f>
        <x:v>3302000</x:v>
      </x:c>
      <x:c r="J32" t="str">
        <x:v>Actif</x:v>
      </x:c>
    </x:row>
    <x:row r="33">
      <x:c r="A33" t="str">
        <x:v>EMP-035</x:v>
      </x:c>
      <x:c r="B33" t="str">
        <x:v>RANAIVO Nantenaina</x:v>
      </x:c>
      <x:c r="C33" t="str">
        <x:v>FORT DAUPHIN</x:v>
      </x:c>
      <x:c r="D33" t="str">
        <x:v>Production</x:v>
      </x:c>
      <x:c r="E33" t="str">
        <x:v>Coupeuse / trieuse</x:v>
      </x:c>
      <x:c r="F33" s="16" t="n">
        <x:v>1250000</x:v>
      </x:c>
      <x:c r="G33" s="16" t="n">
        <x:v>125000</x:v>
      </x:c>
      <x:c r="H33" s="16" t="n">
        <x:v>225000</x:v>
      </x:c>
      <x:c r="I33" s="16" t="n">
        <x:f>SUM(F33:H33)</x:f>
        <x:v>1600000</x:v>
      </x:c>
      <x:c r="J33" t="str">
        <x:v>Actif</x:v>
      </x:c>
    </x:row>
    <x:row r="34">
      <x:c r="A34" t="str">
        <x:v>EMP-036</x:v>
      </x:c>
      <x:c r="B34" t="str">
        <x:v>RABEHARISOA Nirina</x:v>
      </x:c>
      <x:c r="C34" t="str">
        <x:v>AMPANDRANDAVA</x:v>
      </x:c>
      <x:c r="D34" t="str">
        <x:v>Production</x:v>
      </x:c>
      <x:c r="E34" t="str">
        <x:v>Coupeuse / trieuse</x:v>
      </x:c>
      <x:c r="F34" s="16" t="n">
        <x:v>2180000</x:v>
      </x:c>
      <x:c r="G34" s="16" t="n">
        <x:v>174000</x:v>
      </x:c>
      <x:c r="H34" s="16" t="n">
        <x:v>392000</x:v>
      </x:c>
      <x:c r="I34" s="16" t="n">
        <x:f>SUM(F34:H34)</x:f>
        <x:v>2746000</x:v>
      </x:c>
      <x:c r="J34" t="str">
        <x:v>Actif</x:v>
      </x:c>
    </x:row>
    <x:row r="35">
      <x:c r="A35" t="str">
        <x:v>EMP-037</x:v>
      </x:c>
      <x:c r="B35" t="str">
        <x:v>RAKOTOMIARANA Toky</x:v>
      </x:c>
      <x:c r="C35" t="str">
        <x:v>AMPANDRANDAVA</x:v>
      </x:c>
      <x:c r="D35" t="str">
        <x:v>Production</x:v>
      </x:c>
      <x:c r="E35" t="str">
        <x:v>Coupeuse / trieuse</x:v>
      </x:c>
      <x:c r="F35" s="16" t="n">
        <x:v>13270000</x:v>
      </x:c>
      <x:c r="G35" s="16" t="n">
        <x:v>1062000</x:v>
      </x:c>
      <x:c r="H35" s="16" t="n">
        <x:v>2389000</x:v>
      </x:c>
      <x:c r="I35" s="16" t="n">
        <x:f>SUM(F35:H35)</x:f>
        <x:v>16721000</x:v>
      </x:c>
      <x:c r="J35" t="str">
        <x:v>Actif</x:v>
      </x:c>
    </x:row>
    <x:row r="36">
      <x:c r="A36" t="str">
        <x:v>EMP-038</x:v>
      </x:c>
      <x:c r="B36" t="str">
        <x:v>ANDRIATSIMBA Tiana</x:v>
      </x:c>
      <x:c r="C36" t="str">
        <x:v>AMPANDRANDAVA</x:v>
      </x:c>
      <x:c r="D36" t="str">
        <x:v>Production</x:v>
      </x:c>
      <x:c r="E36" t="str">
        <x:v>Coupeuse / trieuse</x:v>
      </x:c>
      <x:c r="F36" s="16" t="n">
        <x:v>9650000</x:v>
      </x:c>
      <x:c r="G36" s="16" t="n">
        <x:v>772000</x:v>
      </x:c>
      <x:c r="H36" s="16" t="n">
        <x:v>1737000</x:v>
      </x:c>
      <x:c r="I36" s="16" t="n">
        <x:f>SUM(F36:H36)</x:f>
        <x:v>12159000</x:v>
      </x:c>
      <x:c r="J36" t="str">
        <x:v>Actif</x:v>
      </x:c>
    </x:row>
    <x:row r="37">
      <x:c r="A37" t="str">
        <x:v>EMP-040</x:v>
      </x:c>
      <x:c r="B37" t="str">
        <x:v>RAZAFINDRABE Aina</x:v>
      </x:c>
      <x:c r="C37" t="str">
        <x:v>AMPANDRANDAVA</x:v>
      </x:c>
      <x:c r="D37" t="str">
        <x:v>Production</x:v>
      </x:c>
      <x:c r="E37" t="str">
        <x:v>Coupeuse / trieuse</x:v>
      </x:c>
      <x:c r="F37" s="16" t="n">
        <x:v>3790000</x:v>
      </x:c>
      <x:c r="G37" s="16" t="n">
        <x:v>379000</x:v>
      </x:c>
      <x:c r="H37" s="16" t="n">
        <x:v>682000</x:v>
      </x:c>
      <x:c r="I37" s="16" t="n">
        <x:f>SUM(F37:H37)</x:f>
        <x:v>4851000</x:v>
      </x:c>
      <x:c r="J37" t="str">
        <x:v>Actif</x:v>
      </x:c>
    </x:row>
    <x:row r="38">
      <x:c r="A38" t="str">
        <x:v>EMP-041</x:v>
      </x:c>
      <x:c r="B38" t="str">
        <x:v>RATSIMANDRESY Fanja</x:v>
      </x:c>
      <x:c r="C38" t="str">
        <x:v>AMPANDRANDAVA</x:v>
      </x:c>
      <x:c r="D38" t="str">
        <x:v>Production</x:v>
      </x:c>
      <x:c r="E38" t="str">
        <x:v>Coupeuse / trieuse</x:v>
      </x:c>
      <x:c r="F38" s="16" t="n">
        <x:v>2340000</x:v>
      </x:c>
      <x:c r="G38" s="16" t="n">
        <x:v>234000</x:v>
      </x:c>
      <x:c r="H38" s="16" t="n">
        <x:v>421000</x:v>
      </x:c>
      <x:c r="I38" s="16" t="n">
        <x:f>SUM(F38:H38)</x:f>
        <x:v>2995000</x:v>
      </x:c>
      <x:c r="J38" t="str">
        <x:v>Actif</x:v>
      </x:c>
    </x:row>
    <x:row r="39">
      <x:c r="A39" t="str">
        <x:v>EMP-042</x:v>
      </x:c>
      <x:c r="B39" t="str">
        <x:v>RAKOTONIRINA Miora</x:v>
      </x:c>
      <x:c r="C39" t="str">
        <x:v>AMPANDRANDAVA</x:v>
      </x:c>
      <x:c r="D39" t="str">
        <x:v>Production</x:v>
      </x:c>
      <x:c r="E39" t="str">
        <x:v>Coupeuse / trieuse</x:v>
      </x:c>
      <x:c r="F39" s="16" t="n">
        <x:v>5080000</x:v>
      </x:c>
      <x:c r="G39" s="16" t="n">
        <x:v>406000</x:v>
      </x:c>
      <x:c r="H39" s="16" t="n">
        <x:v>914000</x:v>
      </x:c>
      <x:c r="I39" s="16" t="n">
        <x:f>SUM(F39:H39)</x:f>
        <x:v>6400000</x:v>
      </x:c>
      <x:c r="J39" t="str">
        <x:v>Actif</x:v>
      </x:c>
    </x:row>
    <x:row r="40">
      <x:c r="A40" t="str">
        <x:v>EMP-043</x:v>
      </x:c>
      <x:c r="B40" t="str">
        <x:v>RANDRIAMIHAMINA Hasina</x:v>
      </x:c>
      <x:c r="C40" t="str">
        <x:v>TRANOMARO</x:v>
      </x:c>
      <x:c r="D40" t="str">
        <x:v>Production</x:v>
      </x:c>
      <x:c r="E40" t="str">
        <x:v>Coupeuse / trieuse</x:v>
      </x:c>
      <x:c r="F40" s="16" t="n">
        <x:v>5570000</x:v>
      </x:c>
      <x:c r="G40" s="16" t="n">
        <x:v>668000</x:v>
      </x:c>
      <x:c r="H40" s="16" t="n">
        <x:v>1003000</x:v>
      </x:c>
      <x:c r="I40" s="16" t="n">
        <x:f>SUM(F40:H40)</x:f>
        <x:v>7241000</x:v>
      </x:c>
      <x:c r="J40" t="str">
        <x:v>Actif</x:v>
      </x:c>
    </x:row>
    <x:row r="41">
      <x:c r="A41" t="str">
        <x:v>EMP-044</x:v>
      </x:c>
      <x:c r="B41" t="str">
        <x:v>RABEZAFY Feno</x:v>
      </x:c>
      <x:c r="C41" t="str">
        <x:v>TRANOMARO</x:v>
      </x:c>
      <x:c r="D41" t="str">
        <x:v>Production</x:v>
      </x:c>
      <x:c r="E41" t="str">
        <x:v>Coupeuse / trieuse</x:v>
      </x:c>
      <x:c r="F41" s="16" t="n">
        <x:v>3060000</x:v>
      </x:c>
      <x:c r="G41" s="16" t="n">
        <x:v>306000</x:v>
      </x:c>
      <x:c r="H41" s="16" t="n">
        <x:v>551000</x:v>
      </x:c>
      <x:c r="I41" s="16" t="n">
        <x:f>SUM(F41:H41)</x:f>
        <x:v>3917000</x:v>
      </x:c>
      <x:c r="J41" t="str">
        <x:v>Actif</x:v>
      </x:c>
    </x:row>
    <x:row r="42">
      <x:c r="A42" t="str">
        <x:v>EMP-045</x:v>
      </x:c>
      <x:c r="B42" t="str">
        <x:v>RANOMENJANAHARY Kanto</x:v>
      </x:c>
      <x:c r="C42" t="str">
        <x:v>TRANOMARO</x:v>
      </x:c>
      <x:c r="D42" t="str">
        <x:v>Production</x:v>
      </x:c>
      <x:c r="E42" t="str">
        <x:v>Coupeuse / trieuse</x:v>
      </x:c>
      <x:c r="F42" s="16" t="n">
        <x:v>5680000</x:v>
      </x:c>
      <x:c r="G42" s="16" t="n">
        <x:v>454000</x:v>
      </x:c>
      <x:c r="H42" s="16" t="n">
        <x:v>1022000</x:v>
      </x:c>
      <x:c r="I42" s="16" t="n">
        <x:f>SUM(F42:H42)</x:f>
        <x:v>7156000</x:v>
      </x:c>
      <x:c r="J42" t="str">
        <x:v>Actif</x:v>
      </x:c>
    </x:row>
    <x:row r="43">
      <x:c r="A43" t="str">
        <x:v>EMP-046</x:v>
      </x:c>
      <x:c r="B43" t="str">
        <x:v>RAKOTONIAINA Mamy</x:v>
      </x:c>
      <x:c r="C43" t="str">
        <x:v>TRANOMARO</x:v>
      </x:c>
      <x:c r="D43" t="str">
        <x:v>Production</x:v>
      </x:c>
      <x:c r="E43" t="str">
        <x:v>Coupeuse / trieuse</x:v>
      </x:c>
      <x:c r="F43" s="16" t="n">
        <x:v>3650000</x:v>
      </x:c>
      <x:c r="G43" s="16" t="n">
        <x:v>292000</x:v>
      </x:c>
      <x:c r="H43" s="16" t="n">
        <x:v>657000</x:v>
      </x:c>
      <x:c r="I43" s="16" t="n">
        <x:f>SUM(F43:H43)</x:f>
        <x:v>4599000</x:v>
      </x:c>
      <x:c r="J43" t="str">
        <x:v>Actif</x:v>
      </x:c>
    </x:row>
    <x:row r="44">
      <x:c r="A44" t="str">
        <x:v>EMP-047</x:v>
      </x:c>
      <x:c r="B44" t="str">
        <x:v>RASOARIMALALA Tafita</x:v>
      </x:c>
      <x:c r="C44" t="str">
        <x:v>TRANOMARO</x:v>
      </x:c>
      <x:c r="D44" t="str">
        <x:v>Production</x:v>
      </x:c>
      <x:c r="E44" t="str">
        <x:v>Coupeuse / trieuse</x:v>
      </x:c>
      <x:c r="F44" s="16" t="n">
        <x:v>2610000</x:v>
      </x:c>
      <x:c r="G44" s="16" t="n">
        <x:v>209000</x:v>
      </x:c>
      <x:c r="H44" s="16" t="n">
        <x:v>470000</x:v>
      </x:c>
      <x:c r="I44" s="16" t="n">
        <x:f>SUM(F44:H44)</x:f>
        <x:v>3289000</x:v>
      </x:c>
      <x:c r="J44" t="str">
        <x:v>Actif</x:v>
      </x:c>
    </x:row>
    <x:row r="45">
      <x:c r="A45" t="str">
        <x:v>EMP-049</x:v>
      </x:c>
      <x:c r="B45" t="str">
        <x:v>RAKOTOMAHERY Vero</x:v>
      </x:c>
      <x:c r="C45" t="str">
        <x:v>TRANOMARO</x:v>
      </x:c>
      <x:c r="D45" t="str">
        <x:v>Production</x:v>
      </x:c>
      <x:c r="E45" t="str">
        <x:v>Coupeuse / trieuse</x:v>
      </x:c>
      <x:c r="F45" s="16" t="n">
        <x:v>1420000</x:v>
      </x:c>
      <x:c r="G45" s="16" t="n">
        <x:v>71000</x:v>
      </x:c>
      <x:c r="H45" s="16" t="n">
        <x:v>256000</x:v>
      </x:c>
      <x:c r="I45" s="16" t="n">
        <x:f>SUM(F45:H45)</x:f>
        <x:v>1747000</x:v>
      </x:c>
      <x:c r="J45" t="str">
        <x:v>Actif</x:v>
      </x:c>
    </x:row>
    <x:row r="46">
      <x:c r="A46" t="str">
        <x:v>EMP-050</x:v>
      </x:c>
      <x:c r="B46" t="str">
        <x:v>RAKOTONDRAJAO Lanto</x:v>
      </x:c>
      <x:c r="C46" t="str">
        <x:v>ANIVORANO</x:v>
      </x:c>
      <x:c r="D46" t="str">
        <x:v>Production</x:v>
      </x:c>
      <x:c r="E46" t="str">
        <x:v>Coupeuse / trieuse</x:v>
      </x:c>
      <x:c r="F46" s="16" t="n">
        <x:v>4180000</x:v>
      </x:c>
      <x:c r="G46" s="16" t="n">
        <x:v>209000</x:v>
      </x:c>
      <x:c r="H46" s="16" t="n">
        <x:v>752000</x:v>
      </x:c>
      <x:c r="I46" s="16" t="n">
        <x:f>SUM(F46:H46)</x:f>
        <x:v>5141000</x:v>
      </x:c>
      <x:c r="J46" t="str">
        <x:v>Actif</x:v>
      </x:c>
    </x:row>
    <x:row r="47">
      <x:c r="A47" t="str">
        <x:v>EMP-051</x:v>
      </x:c>
      <x:c r="B47" t="str">
        <x:v>RANDRIANANTENAINA Rindra</x:v>
      </x:c>
      <x:c r="C47" t="str">
        <x:v>ANIVORANO</x:v>
      </x:c>
      <x:c r="D47" t="str">
        <x:v>Production</x:v>
      </x:c>
      <x:c r="E47" t="str">
        <x:v>Contrôleur qualité</x:v>
      </x:c>
      <x:c r="F47" s="16" t="n">
        <x:v>1630000</x:v>
      </x:c>
      <x:c r="G47" s="16" t="n">
        <x:v>82000</x:v>
      </x:c>
      <x:c r="H47" s="16" t="n">
        <x:v>293000</x:v>
      </x:c>
      <x:c r="I47" s="16" t="n">
        <x:f>SUM(F47:H47)</x:f>
        <x:v>2005000</x:v>
      </x:c>
      <x:c r="J47" t="str">
        <x:v>Actif</x:v>
      </x:c>
    </x:row>
    <x:row r="48">
      <x:c r="A48" t="str">
        <x:v>EMP-052</x:v>
      </x:c>
      <x:c r="B48" t="str">
        <x:v>RAVAOARISOA Miary</x:v>
      </x:c>
      <x:c r="C48" t="str">
        <x:v>ANIVORANO</x:v>
      </x:c>
      <x:c r="D48" t="str">
        <x:v>Production</x:v>
      </x:c>
      <x:c r="E48" t="str">
        <x:v>Contrôleur qualité</x:v>
      </x:c>
      <x:c r="F48" s="16" t="n">
        <x:v>2500000</x:v>
      </x:c>
      <x:c r="G48" s="16" t="n">
        <x:v>250000</x:v>
      </x:c>
      <x:c r="H48" s="16" t="n">
        <x:v>450000</x:v>
      </x:c>
      <x:c r="I48" s="16" t="n">
        <x:f>SUM(F48:H48)</x:f>
        <x:v>3200000</x:v>
      </x:c>
      <x:c r="J48" t="str">
        <x:v>Actif</x:v>
      </x:c>
    </x:row>
    <x:row r="49">
      <x:c r="A49" t="str">
        <x:v>EMP-053</x:v>
      </x:c>
      <x:c r="B49" t="str">
        <x:v>RAZAFIMANANTSOA Solo</x:v>
      </x:c>
      <x:c r="C49" t="str">
        <x:v>ANIVORANO</x:v>
      </x:c>
      <x:c r="D49" t="str">
        <x:v>Production</x:v>
      </x:c>
      <x:c r="E49" t="str">
        <x:v>Contrôleur qualité</x:v>
      </x:c>
      <x:c r="F49" s="16" t="n">
        <x:v>1230000</x:v>
      </x:c>
      <x:c r="G49" s="16" t="n">
        <x:v>123000</x:v>
      </x:c>
      <x:c r="H49" s="16" t="n">
        <x:v>221000</x:v>
      </x:c>
      <x:c r="I49" s="16" t="n">
        <x:f>SUM(F49:H49)</x:f>
        <x:v>1574000</x:v>
      </x:c>
      <x:c r="J49" t="str">
        <x:v>Actif</x:v>
      </x:c>
    </x:row>
    <x:row r="50">
      <x:c r="A50" t="str">
        <x:v>EMP-054</x:v>
      </x:c>
      <x:c r="B50" t="str">
        <x:v>RAKOTONANAHARY Noro</x:v>
      </x:c>
      <x:c r="C50" t="str">
        <x:v>ANIVORANO</x:v>
      </x:c>
      <x:c r="D50" t="str">
        <x:v>Production</x:v>
      </x:c>
      <x:c r="E50" t="str">
        <x:v>Contrôleur qualité</x:v>
      </x:c>
      <x:c r="F50" s="16" t="n">
        <x:v>1930000</x:v>
      </x:c>
      <x:c r="G50" s="16" t="n">
        <x:v>96000</x:v>
      </x:c>
      <x:c r="H50" s="16" t="n">
        <x:v>347000</x:v>
      </x:c>
      <x:c r="I50" s="16" t="n">
        <x:f>SUM(F50:H50)</x:f>
        <x:v>2373000</x:v>
      </x:c>
      <x:c r="J50" t="str">
        <x:v>Actif</x:v>
      </x:c>
    </x:row>
    <x:row r="51">
      <x:c r="A51" t="str">
        <x:v>EMP-055</x:v>
      </x:c>
      <x:c r="B51" t="str">
        <x:v>RABEFENO Rina</x:v>
      </x:c>
      <x:c r="C51" t="str">
        <x:v>ANIVORANO</x:v>
      </x:c>
      <x:c r="D51" t="str">
        <x:v>Production</x:v>
      </x:c>
      <x:c r="E51" t="str">
        <x:v>Contrôleur qualité</x:v>
      </x:c>
      <x:c r="F51" s="16" t="n">
        <x:v>13500000</x:v>
      </x:c>
      <x:c r="G51" s="16" t="n">
        <x:v>1620000</x:v>
      </x:c>
      <x:c r="H51" s="16" t="n">
        <x:v>2430000</x:v>
      </x:c>
      <x:c r="I51" s="16" t="n">
        <x:f>SUM(F51:H51)</x:f>
        <x:v>17550000</x:v>
      </x:c>
      <x:c r="J51" t="str">
        <x:v>Actif</x:v>
      </x:c>
    </x:row>
    <x:row r="52">
      <x:c r="A52" t="str">
        <x:v>EMP-056</x:v>
      </x:c>
      <x:c r="B52" t="str">
        <x:v>RAKOTOMANANA Tina</x:v>
      </x:c>
      <x:c r="C52" t="str">
        <x:v>ANIVORANO</x:v>
      </x:c>
      <x:c r="D52" t="str">
        <x:v>Production</x:v>
      </x:c>
      <x:c r="E52" t="str">
        <x:v>Contrôleur qualité</x:v>
      </x:c>
      <x:c r="F52" s="16" t="n">
        <x:v>9300000</x:v>
      </x:c>
      <x:c r="G52" s="16" t="n">
        <x:v>930000</x:v>
      </x:c>
      <x:c r="H52" s="16" t="n">
        <x:v>1674000</x:v>
      </x:c>
      <x:c r="I52" s="16" t="n">
        <x:f>SUM(F52:H52)</x:f>
        <x:v>11904000</x:v>
      </x:c>
      <x:c r="J52" t="str">
        <x:v>Actif</x:v>
      </x:c>
    </x:row>
    <x:row r="53">
      <x:c r="A53" t="str">
        <x:v>EMP-058</x:v>
      </x:c>
      <x:c r="B53" t="str">
        <x:v>RANDRIATSARA Rado</x:v>
      </x:c>
      <x:c r="C53" t="str">
        <x:v>FORT DAUPHIN</x:v>
      </x:c>
      <x:c r="D53" t="str">
        <x:v>Production</x:v>
      </x:c>
      <x:c r="E53" t="str">
        <x:v>Contrôleur qualité</x:v>
      </x:c>
      <x:c r="F53" s="16" t="n">
        <x:v>3870000</x:v>
      </x:c>
      <x:c r="G53" s="16" t="n">
        <x:v>194000</x:v>
      </x:c>
      <x:c r="H53" s="16" t="n">
        <x:v>697000</x:v>
      </x:c>
      <x:c r="I53" s="16" t="n">
        <x:f>SUM(F53:H53)</x:f>
        <x:v>4761000</x:v>
      </x:c>
      <x:c r="J53" t="str">
        <x:v>Actif</x:v>
      </x:c>
    </x:row>
    <x:row r="54">
      <x:c r="A54" t="str">
        <x:v>EMP-059</x:v>
      </x:c>
      <x:c r="B54" t="str">
        <x:v>RASOLOFONIAINA Fetra</x:v>
      </x:c>
      <x:c r="C54" t="str">
        <x:v>FORT DAUPHIN</x:v>
      </x:c>
      <x:c r="D54" t="str">
        <x:v>Production</x:v>
      </x:c>
      <x:c r="E54" t="str">
        <x:v>Contrôleur qualité</x:v>
      </x:c>
      <x:c r="F54" s="16" t="n">
        <x:v>2450000</x:v>
      </x:c>
      <x:c r="G54" s="16" t="n">
        <x:v>294000</x:v>
      </x:c>
      <x:c r="H54" s="16" t="n">
        <x:v>441000</x:v>
      </x:c>
      <x:c r="I54" s="16" t="n">
        <x:f>SUM(F54:H54)</x:f>
        <x:v>3185000</x:v>
      </x:c>
      <x:c r="J54" t="str">
        <x:v>Actif</x:v>
      </x:c>
    </x:row>
    <x:row r="55">
      <x:c r="A55" t="str">
        <x:v>EMP-060</x:v>
      </x:c>
      <x:c r="B55" t="str">
        <x:v>RAKOTOVONINA Rova</x:v>
      </x:c>
      <x:c r="C55" t="str">
        <x:v>FORT DAUPHIN</x:v>
      </x:c>
      <x:c r="D55" t="str">
        <x:v>Production</x:v>
      </x:c>
      <x:c r="E55" t="str">
        <x:v>Manutentionnaire</x:v>
      </x:c>
      <x:c r="F55" s="16" t="n">
        <x:v>4860000</x:v>
      </x:c>
      <x:c r="G55" s="16" t="n">
        <x:v>243000</x:v>
      </x:c>
      <x:c r="H55" s="16" t="n">
        <x:v>875000</x:v>
      </x:c>
      <x:c r="I55" s="16" t="n">
        <x:f>SUM(F55:H55)</x:f>
        <x:v>5978000</x:v>
      </x:c>
      <x:c r="J55" t="str">
        <x:v>Actif</x:v>
      </x:c>
    </x:row>
    <x:row r="56">
      <x:c r="A56" t="str">
        <x:v>EMP-061</x:v>
      </x:c>
      <x:c r="B56" t="str">
        <x:v>RAKOTOBE Feno</x:v>
      </x:c>
      <x:c r="C56" t="str">
        <x:v>FORT DAUPHIN</x:v>
      </x:c>
      <x:c r="D56" t="str">
        <x:v>Production</x:v>
      </x:c>
      <x:c r="E56" t="str">
        <x:v>Manutentionnaire</x:v>
      </x:c>
      <x:c r="F56" s="16" t="n">
        <x:v>558000</x:v>
      </x:c>
      <x:c r="G56" s="16" t="n">
        <x:v>45000</x:v>
      </x:c>
      <x:c r="H56" s="16" t="n">
        <x:v>78000</x:v>
      </x:c>
      <x:c r="I56" s="16" t="n">
        <x:f>SUM(F56:H56)</x:f>
        <x:v>681000</x:v>
      </x:c>
      <x:c r="J56" t="str">
        <x:v>Actif</x:v>
      </x:c>
    </x:row>
    <x:row r="57">
      <x:c r="A57" t="str">
        <x:v>EMP-062</x:v>
      </x:c>
      <x:c r="B57" t="str">
        <x:v>RANDRIANARISOA Rindra</x:v>
      </x:c>
      <x:c r="C57" t="str">
        <x:v>FORT DAUPHIN</x:v>
      </x:c>
      <x:c r="D57" t="str">
        <x:v>Production</x:v>
      </x:c>
      <x:c r="E57" t="str">
        <x:v>Manutentionnaire</x:v>
      </x:c>
      <x:c r="F57" s="16" t="n">
        <x:v>558000</x:v>
      </x:c>
      <x:c r="G57" s="16" t="n">
        <x:v>45000</x:v>
      </x:c>
      <x:c r="H57" s="16" t="n">
        <x:v>78000</x:v>
      </x:c>
      <x:c r="I57" s="16" t="n">
        <x:f>SUM(F57:H57)</x:f>
        <x:v>681000</x:v>
      </x:c>
      <x:c r="J57" t="str">
        <x:v>Actif</x:v>
      </x:c>
    </x:row>
    <x:row r="58">
      <x:c r="A58" t="str">
        <x:v>EMP-063</x:v>
      </x:c>
      <x:c r="B58" t="str">
        <x:v>RAZAFITSARA Aina</x:v>
      </x:c>
      <x:c r="C58" t="str">
        <x:v>FORT DAUPHIN</x:v>
      </x:c>
      <x:c r="D58" t="str">
        <x:v>Production</x:v>
      </x:c>
      <x:c r="E58" t="str">
        <x:v>Manutentionnaire</x:v>
      </x:c>
      <x:c r="F58" s="16" t="n">
        <x:v>558000</x:v>
      </x:c>
      <x:c r="G58" s="16" t="n">
        <x:v>45000</x:v>
      </x:c>
      <x:c r="H58" s="16" t="n">
        <x:v>78000</x:v>
      </x:c>
      <x:c r="I58" s="16" t="n">
        <x:f>SUM(F58:H58)</x:f>
        <x:v>681000</x:v>
      </x:c>
      <x:c r="J58" t="str">
        <x:v>Actif</x:v>
      </x:c>
    </x:row>
    <x:row r="59">
      <x:c r="A59" t="str">
        <x:v>EMP-064</x:v>
      </x:c>
      <x:c r="B59" t="str">
        <x:v>RABENARIVO Tiana</x:v>
      </x:c>
      <x:c r="C59" t="str">
        <x:v>AMPANDRANDAVA</x:v>
      </x:c>
      <x:c r="D59" t="str">
        <x:v>Production</x:v>
      </x:c>
      <x:c r="E59" t="str">
        <x:v>Manutentionnaire</x:v>
      </x:c>
      <x:c r="F59" s="16" t="n">
        <x:v>558000</x:v>
      </x:c>
      <x:c r="G59" s="16" t="n">
        <x:v>45000</x:v>
      </x:c>
      <x:c r="H59" s="16" t="n">
        <x:v>78000</x:v>
      </x:c>
      <x:c r="I59" s="16" t="n">
        <x:f>SUM(F59:H59)</x:f>
        <x:v>681000</x:v>
      </x:c>
      <x:c r="J59" t="str">
        <x:v>Actif</x:v>
      </x:c>
    </x:row>
    <x:row r="60">
      <x:c r="A60" t="str">
        <x:v>EMP-065</x:v>
      </x:c>
      <x:c r="B60" t="str">
        <x:v>RAKOTOFENO Lova</x:v>
      </x:c>
      <x:c r="C60" t="str">
        <x:v>AMPANDRANDAVA</x:v>
      </x:c>
      <x:c r="D60" t="str">
        <x:v>Production</x:v>
      </x:c>
      <x:c r="E60" t="str">
        <x:v>Manutentionnaire</x:v>
      </x:c>
      <x:c r="F60" s="16" t="n">
        <x:v>558000</x:v>
      </x:c>
      <x:c r="G60" s="16" t="n">
        <x:v>45000</x:v>
      </x:c>
      <x:c r="H60" s="16" t="n">
        <x:v>78000</x:v>
      </x:c>
      <x:c r="I60" s="16" t="n">
        <x:f>SUM(F60:H60)</x:f>
        <x:v>681000</x:v>
      </x:c>
      <x:c r="J60" t="str">
        <x:v>Actif</x:v>
      </x:c>
    </x:row>
    <x:row r="61">
      <x:c r="A61" t="str">
        <x:v>EMP-067</x:v>
      </x:c>
      <x:c r="B61" t="str">
        <x:v>RATSIMANIRY Miora</x:v>
      </x:c>
      <x:c r="C61" t="str">
        <x:v>AMPANDRANDAVA</x:v>
      </x:c>
      <x:c r="D61" t="str">
        <x:v>Production</x:v>
      </x:c>
      <x:c r="E61" t="str">
        <x:v>Manutentionnaire</x:v>
      </x:c>
      <x:c r="F61" s="16" t="n">
        <x:v>558000</x:v>
      </x:c>
      <x:c r="G61" s="16" t="n">
        <x:v>45000</x:v>
      </x:c>
      <x:c r="H61" s="16" t="n">
        <x:v>78000</x:v>
      </x:c>
      <x:c r="I61" s="16" t="n">
        <x:f>SUM(F61:H61)</x:f>
        <x:v>681000</x:v>
      </x:c>
      <x:c r="J61" t="str">
        <x:v>Actif</x:v>
      </x:c>
    </x:row>
    <x:row r="62">
      <x:c r="A62" t="str">
        <x:v>EMP-068</x:v>
      </x:c>
      <x:c r="B62" t="str">
        <x:v>RAJAOMANANA Fanja</x:v>
      </x:c>
      <x:c r="C62" t="str">
        <x:v>AMPANDRANDAVA</x:v>
      </x:c>
      <x:c r="D62" t="str">
        <x:v>Production</x:v>
      </x:c>
      <x:c r="E62" t="str">
        <x:v>Collecteur de mica</x:v>
      </x:c>
      <x:c r="F62" t="n">
        <x:v>558000</x:v>
      </x:c>
      <x:c r="G62" t="n">
        <x:v>45000</x:v>
      </x:c>
      <x:c r="H62" t="n">
        <x:v>78000</x:v>
      </x:c>
      <x:c r="I62" t="n">
        <x:f>SUM(F62:H62)</x:f>
        <x:v>681000</x:v>
      </x:c>
      <x:c r="J62" t="str">
        <x:v>Actif</x:v>
      </x:c>
    </x:row>
    <x:row r="63">
      <x:c r="A63" t="str">
        <x:v>EMP-069</x:v>
      </x:c>
      <x:c r="B63" t="str">
        <x:v>RAKOTOHARISOA Tovo</x:v>
      </x:c>
      <x:c r="C63" t="str">
        <x:v>AMPANDRANDAVA</x:v>
      </x:c>
      <x:c r="D63" t="str">
        <x:v>Production</x:v>
      </x:c>
      <x:c r="E63" t="str">
        <x:v>Collecteur de mica</x:v>
      </x:c>
      <x:c r="F63" t="n">
        <x:v>558000</x:v>
      </x:c>
      <x:c r="G63" t="n">
        <x:v>45000</x:v>
      </x:c>
      <x:c r="H63" t="n">
        <x:v>78000</x:v>
      </x:c>
      <x:c r="I63" t="n">
        <x:f>SUM(F63:H63)</x:f>
        <x:v>681000</x:v>
      </x:c>
      <x:c r="J63" t="str">
        <x:v>Actif</x:v>
      </x:c>
    </x:row>
    <x:row r="64">
      <x:c r="A64" t="str">
        <x:v>EMP-070</x:v>
      </x:c>
      <x:c r="B64" t="str">
        <x:v>RASOLOMANGA Soa</x:v>
      </x:c>
      <x:c r="C64" t="str">
        <x:v>AMPANDRANDAVA</x:v>
      </x:c>
      <x:c r="D64" t="str">
        <x:v>Production</x:v>
      </x:c>
      <x:c r="E64" t="str">
        <x:v>Collecteur de mica</x:v>
      </x:c>
      <x:c r="F64" t="n">
        <x:v>558000</x:v>
      </x:c>
      <x:c r="G64" t="n">
        <x:v>45000</x:v>
      </x:c>
      <x:c r="H64" t="n">
        <x:v>78000</x:v>
      </x:c>
      <x:c r="I64" t="n">
        <x:f>SUM(F64:H64)</x:f>
        <x:v>681000</x:v>
      </x:c>
      <x:c r="J64" t="str">
        <x:v>Actif</x:v>
      </x:c>
    </x:row>
    <x:row r="65">
      <x:c r="A65" t="str">
        <x:v>EMP-071</x:v>
      </x:c>
      <x:c r="B65" t="str">
        <x:v>RAKOTONIAINA Tahina</x:v>
      </x:c>
      <x:c r="C65" t="str">
        <x:v>TRANOMARO</x:v>
      </x:c>
      <x:c r="D65" t="str">
        <x:v>Production</x:v>
      </x:c>
      <x:c r="E65" t="str">
        <x:v>Collecteur de mica</x:v>
      </x:c>
      <x:c r="F65" t="n">
        <x:v>558000</x:v>
      </x:c>
      <x:c r="G65" t="n">
        <x:v>45000</x:v>
      </x:c>
      <x:c r="H65" t="n">
        <x:v>78000</x:v>
      </x:c>
      <x:c r="I65" t="n">
        <x:f>SUM(F65:H65)</x:f>
        <x:v>681000</x:v>
      </x:c>
      <x:c r="J65" t="str">
        <x:v>Actif</x:v>
      </x:c>
    </x:row>
    <x:row r="66">
      <x:c r="A66" t="str">
        <x:v>EMP-072</x:v>
      </x:c>
      <x:c r="B66" t="str">
        <x:v>RAVOAHANGY Noro</x:v>
      </x:c>
      <x:c r="C66" t="str">
        <x:v>TRANOMARO</x:v>
      </x:c>
      <x:c r="D66" t="str">
        <x:v>Production</x:v>
      </x:c>
      <x:c r="E66" t="str">
        <x:v>Collecteur de mica</x:v>
      </x:c>
      <x:c r="F66" t="n">
        <x:v>558000</x:v>
      </x:c>
      <x:c r="G66" t="n">
        <x:v>45000</x:v>
      </x:c>
      <x:c r="H66" t="n">
        <x:v>78000</x:v>
      </x:c>
      <x:c r="I66" t="n">
        <x:f>SUM(F66:H66)</x:f>
        <x:v>681000</x:v>
      </x:c>
      <x:c r="J66" t="str">
        <x:v>Actif</x:v>
      </x:c>
    </x:row>
    <x:row r="67">
      <x:c r="A67" t="str">
        <x:v>EMP-073</x:v>
      </x:c>
      <x:c r="B67" t="str">
        <x:v>RABESOA Rija</x:v>
      </x:c>
      <x:c r="C67" t="str">
        <x:v>TRANOMARO</x:v>
      </x:c>
      <x:c r="D67" t="str">
        <x:v>Production</x:v>
      </x:c>
      <x:c r="E67" t="str">
        <x:v>Collecteur de mica</x:v>
      </x:c>
      <x:c r="F67" t="n">
        <x:v>558000</x:v>
      </x:c>
      <x:c r="G67" t="n">
        <x:v>45000</x:v>
      </x:c>
      <x:c r="H67" t="n">
        <x:v>78000</x:v>
      </x:c>
      <x:c r="I67" t="n">
        <x:f>SUM(F67:H67)</x:f>
        <x:v>681000</x:v>
      </x:c>
      <x:c r="J67" t="str">
        <x:v>Actif</x:v>
      </x:c>
    </x:row>
    <x:row r="68">
      <x:c r="A68" t="str">
        <x:v>EMP-074</x:v>
      </x:c>
      <x:c r="B68" t="str">
        <x:v>RAKOTOMIRANA Hasina</x:v>
      </x:c>
      <x:c r="C68" t="str">
        <x:v>TRANOMARO</x:v>
      </x:c>
      <x:c r="D68" t="str">
        <x:v>Production</x:v>
      </x:c>
      <x:c r="E68" t="str">
        <x:v>Collecteur de mica</x:v>
      </x:c>
      <x:c r="F68" t="n">
        <x:v>558000</x:v>
      </x:c>
      <x:c r="G68" t="n">
        <x:v>45000</x:v>
      </x:c>
      <x:c r="H68" t="n">
        <x:v>78000</x:v>
      </x:c>
      <x:c r="I68" t="n">
        <x:f>SUM(F68:H68)</x:f>
        <x:v>681000</x:v>
      </x:c>
      <x:c r="J68" t="str">
        <x:v>Actif</x:v>
      </x:c>
    </x:row>
    <x:row r="69">
      <x:c r="A69" t="str">
        <x:v>EMP-076</x:v>
      </x:c>
      <x:c r="B69" t="str">
        <x:v>ANDRIAMALALA Toky</x:v>
      </x:c>
      <x:c r="C69" t="str">
        <x:v>TRANOMARO</x:v>
      </x:c>
      <x:c r="D69" t="str">
        <x:v>Production</x:v>
      </x:c>
      <x:c r="E69" t="str">
        <x:v>Aide collecteur</x:v>
      </x:c>
      <x:c r="F69" t="n">
        <x:v>558000</x:v>
      </x:c>
      <x:c r="G69" t="n">
        <x:v>45000</x:v>
      </x:c>
      <x:c r="H69" t="n">
        <x:v>78000</x:v>
      </x:c>
      <x:c r="I69" t="n">
        <x:f>SUM(F69:H69)</x:f>
        <x:v>681000</x:v>
      </x:c>
      <x:c r="J69" t="str">
        <x:v>Actif</x:v>
      </x:c>
    </x:row>
    <x:row r="70">
      <x:c r="A70" t="str">
        <x:v>EMP-077</x:v>
      </x:c>
      <x:c r="B70" t="str">
        <x:v>RAZAFIMANANA Kanto</x:v>
      </x:c>
      <x:c r="C70" t="str">
        <x:v>TRANOMARO</x:v>
      </x:c>
      <x:c r="D70" t="str">
        <x:v>Production</x:v>
      </x:c>
      <x:c r="E70" t="str">
        <x:v>Aide collecteur</x:v>
      </x:c>
      <x:c r="F70" t="n">
        <x:v>558000</x:v>
      </x:c>
      <x:c r="G70" t="n">
        <x:v>45000</x:v>
      </x:c>
      <x:c r="H70" t="n">
        <x:v>78000</x:v>
      </x:c>
      <x:c r="I70" t="n">
        <x:f>SUM(F70:H70)</x:f>
        <x:v>681000</x:v>
      </x:c>
      <x:c r="J70" t="str">
        <x:v>Actif</x:v>
      </x:c>
    </x:row>
    <x:row r="71">
      <x:c r="A71" t="str">
        <x:v>EMP-078</x:v>
      </x:c>
      <x:c r="B71" t="str">
        <x:v>RAKOTONDRINA Rado</x:v>
      </x:c>
      <x:c r="C71" t="str">
        <x:v>ANIVORANO</x:v>
      </x:c>
      <x:c r="D71" t="str">
        <x:v>Production</x:v>
      </x:c>
      <x:c r="E71" t="str">
        <x:v>Aide collecteur</x:v>
      </x:c>
      <x:c r="F71" t="n">
        <x:v>558000</x:v>
      </x:c>
      <x:c r="G71" t="n">
        <x:v>45000</x:v>
      </x:c>
      <x:c r="H71" t="n">
        <x:v>78000</x:v>
      </x:c>
      <x:c r="I71" t="n">
        <x:f>SUM(F71:H71)</x:f>
        <x:v>681000</x:v>
      </x:c>
      <x:c r="J71" t="str">
        <x:v>Actif</x:v>
      </x:c>
    </x:row>
    <x:row r="72">
      <x:c r="A72" t="str">
        <x:v>EMP-079</x:v>
      </x:c>
      <x:c r="B72" t="str">
        <x:v>RANDRIATSARA Miary</x:v>
      </x:c>
      <x:c r="C72" t="str">
        <x:v>ANIVORANO</x:v>
      </x:c>
      <x:c r="D72" t="str">
        <x:v>Production</x:v>
      </x:c>
      <x:c r="E72" t="str">
        <x:v>Aide collecteur</x:v>
      </x:c>
      <x:c r="F72" t="n">
        <x:v>558000</x:v>
      </x:c>
      <x:c r="G72" t="n">
        <x:v>45000</x:v>
      </x:c>
      <x:c r="H72" t="n">
        <x:v>78000</x:v>
      </x:c>
      <x:c r="I72" t="n">
        <x:f>SUM(F72:H72)</x:f>
        <x:v>681000</x:v>
      </x:c>
      <x:c r="J72" t="str">
        <x:v>Actif</x:v>
      </x:c>
    </x:row>
    <x:row r="73">
      <x:c r="A73" t="str">
        <x:v>EMP-080</x:v>
      </x:c>
      <x:c r="B73" t="str">
        <x:v>RAKOTOMAHERY Mamy</x:v>
      </x:c>
      <x:c r="C73" t="str">
        <x:v>ANIVORANO</x:v>
      </x:c>
      <x:c r="D73" t="str">
        <x:v>Production</x:v>
      </x:c>
      <x:c r="E73" t="str">
        <x:v>Aide collecteur</x:v>
      </x:c>
      <x:c r="F73" t="n">
        <x:v>558000</x:v>
      </x:c>
      <x:c r="G73" t="n">
        <x:v>45000</x:v>
      </x:c>
      <x:c r="H73" t="n">
        <x:v>78000</x:v>
      </x:c>
      <x:c r="I73" t="n">
        <x:f>SUM(F73:H73)</x:f>
        <x:v>681000</x:v>
      </x:c>
      <x:c r="J73" t="str">
        <x:v>Actif</x:v>
      </x:c>
    </x:row>
    <x:row r="74">
      <x:c r="A74" t="str">
        <x:v>EMP-081</x:v>
      </x:c>
      <x:c r="B74" t="str">
        <x:v>RAKOTOFALY Faniry</x:v>
      </x:c>
      <x:c r="C74" t="str">
        <x:v>ANIVORANO</x:v>
      </x:c>
      <x:c r="D74" t="str">
        <x:v>Production</x:v>
      </x:c>
      <x:c r="E74" t="str">
        <x:v>Aide collecteur</x:v>
      </x:c>
      <x:c r="F74" t="n">
        <x:v>558000</x:v>
      </x:c>
      <x:c r="G74" t="n">
        <x:v>45000</x:v>
      </x:c>
      <x:c r="H74" t="n">
        <x:v>78000</x:v>
      </x:c>
      <x:c r="I74" t="n">
        <x:f>SUM(F74:H74)</x:f>
        <x:v>681000</x:v>
      </x:c>
      <x:c r="J74" t="str">
        <x:v>Actif</x:v>
      </x:c>
    </x:row>
    <x:row r="75">
      <x:c r="A75" t="str">
        <x:v>EMP-082</x:v>
      </x:c>
      <x:c r="B75" t="str">
        <x:v>RABENIRINA Onja</x:v>
      </x:c>
      <x:c r="C75" t="str">
        <x:v>ANIVORANO</x:v>
      </x:c>
      <x:c r="D75" t="str">
        <x:v>Production</x:v>
      </x:c>
      <x:c r="E75" t="str">
        <x:v>Aide collecteur</x:v>
      </x:c>
      <x:c r="F75" t="n">
        <x:v>558000</x:v>
      </x:c>
      <x:c r="G75" t="n">
        <x:v>45000</x:v>
      </x:c>
      <x:c r="H75" t="n">
        <x:v>78000</x:v>
      </x:c>
      <x:c r="I75" t="n">
        <x:f>SUM(F75:H75)</x:f>
        <x:v>681000</x:v>
      </x:c>
      <x:c r="J75" t="str">
        <x:v>Actif</x:v>
      </x:c>
    </x:row>
    <x:row r="76">
      <x:c r="A76" t="str">
        <x:v>EMP-083</x:v>
      </x:c>
      <x:c r="B76" t="str">
        <x:v>RATSIMBAZAFY Fetra</x:v>
      </x:c>
      <x:c r="C76" t="str">
        <x:v>ANIVORANO</x:v>
      </x:c>
      <x:c r="D76" t="str">
        <x:v>Exploitation</x:v>
      </x:c>
      <x:c r="E76" t="str">
        <x:v>Agent de sécurité</x:v>
      </x:c>
      <x:c r="F76" t="n">
        <x:v>558000</x:v>
      </x:c>
      <x:c r="G76" t="n">
        <x:v>45000</x:v>
      </x:c>
      <x:c r="H76" t="n">
        <x:v>78000</x:v>
      </x:c>
      <x:c r="I76" t="n">
        <x:f>SUM(F76:H76)</x:f>
        <x:v>681000</x:v>
      </x:c>
      <x:c r="J76" t="str">
        <x:v>Actif</x:v>
      </x:c>
    </x:row>
    <x:row r="77">
      <x:c r="A77" t="str">
        <x:v>EMP-085</x:v>
      </x:c>
      <x:c r="B77" t="str">
        <x:v>RAZAFINDRAVOLA Felana</x:v>
      </x:c>
      <x:c r="C77" t="str">
        <x:v>FORT DAUPHIN</x:v>
      </x:c>
      <x:c r="D77" t="str">
        <x:v>Exploitation</x:v>
      </x:c>
      <x:c r="E77" t="str">
        <x:v>Agent de sécurité</x:v>
      </x:c>
      <x:c r="F77" t="n">
        <x:v>558000</x:v>
      </x:c>
      <x:c r="G77" t="n">
        <x:v>45000</x:v>
      </x:c>
      <x:c r="H77" t="n">
        <x:v>78000</x:v>
      </x:c>
      <x:c r="I77" t="n">
        <x:f>SUM(F77:H77)</x:f>
        <x:v>681000</x:v>
      </x:c>
      <x:c r="J77" t="str">
        <x:v>Actif</x:v>
      </x:c>
    </x:row>
    <x:row r="78">
      <x:c r="A78" t="str">
        <x:v>EMP-086</x:v>
      </x:c>
      <x:c r="B78" t="str">
        <x:v>RABEARISOA Ando</x:v>
      </x:c>
      <x:c r="C78" t="str">
        <x:v>FORT DAUPHIN</x:v>
      </x:c>
      <x:c r="D78" t="str">
        <x:v>Exploitation</x:v>
      </x:c>
      <x:c r="E78" t="str">
        <x:v>Agent de sécurité</x:v>
      </x:c>
      <x:c r="F78" t="n">
        <x:v>558000</x:v>
      </x:c>
      <x:c r="G78" t="n">
        <x:v>45000</x:v>
      </x:c>
      <x:c r="H78" t="n">
        <x:v>78000</x:v>
      </x:c>
      <x:c r="I78" t="n">
        <x:f>SUM(F78:H78)</x:f>
        <x:v>681000</x:v>
      </x:c>
      <x:c r="J78" t="str">
        <x:v>Actif</x:v>
      </x:c>
    </x:row>
    <x:row r="79">
      <x:c r="A79" t="str">
        <x:v>EMP-087</x:v>
      </x:c>
      <x:c r="B79" t="str">
        <x:v>RAKOTOMIALY Tsiory</x:v>
      </x:c>
      <x:c r="C79" t="str">
        <x:v>FORT DAUPHIN</x:v>
      </x:c>
      <x:c r="D79" t="str">
        <x:v>Exploitation</x:v>
      </x:c>
      <x:c r="E79" t="str">
        <x:v>Agent de sécurité</x:v>
      </x:c>
      <x:c r="F79" t="n">
        <x:v>558000</x:v>
      </x:c>
      <x:c r="G79" t="n">
        <x:v>45000</x:v>
      </x:c>
      <x:c r="H79" t="n">
        <x:v>78000</x:v>
      </x:c>
      <x:c r="I79" t="n">
        <x:f>SUM(F79:H79)</x:f>
        <x:v>681000</x:v>
      </x:c>
      <x:c r="J79" t="str">
        <x:v>Actif</x:v>
      </x:c>
    </x:row>
    <x:row r="80">
      <x:c r="A80" t="str">
        <x:v>EMP-088</x:v>
      </x:c>
      <x:c r="B80" t="str">
        <x:v>ANDRIANJAFY Faly</x:v>
      </x:c>
      <x:c r="C80" t="str">
        <x:v>FORT DAUPHIN</x:v>
      </x:c>
      <x:c r="D80" t="str">
        <x:v>Exploitation</x:v>
      </x:c>
      <x:c r="E80" t="str">
        <x:v>Agent d’entretien</x:v>
      </x:c>
      <x:c r="F80" t="n">
        <x:v>558000</x:v>
      </x:c>
      <x:c r="G80" t="n">
        <x:v>45000</x:v>
      </x:c>
      <x:c r="H80" t="n">
        <x:v>78000</x:v>
      </x:c>
      <x:c r="I80" t="n">
        <x:f>SUM(F80:H80)</x:f>
        <x:v>681000</x:v>
      </x:c>
      <x:c r="J80" t="str">
        <x:v>Actif</x:v>
      </x:c>
    </x:row>
    <x:row r="81">
      <x:c r="A81" t="str">
        <x:v>EMP-089</x:v>
      </x:c>
      <x:c r="B81" t="str">
        <x:v>RASOLOFONIAINA Tsanta</x:v>
      </x:c>
      <x:c r="C81" t="str">
        <x:v>FORT DAUPHIN</x:v>
      </x:c>
      <x:c r="D81" t="str">
        <x:v>Exploitation</x:v>
      </x:c>
      <x:c r="E81" t="str">
        <x:v>Agent d’entretien</x:v>
      </x:c>
      <x:c r="F81" t="n">
        <x:v>558000</x:v>
      </x:c>
      <x:c r="G81" t="n">
        <x:v>45000</x:v>
      </x:c>
      <x:c r="H81" t="n">
        <x:v>78000</x:v>
      </x:c>
      <x:c r="I81" t="n">
        <x:f>SUM(F81:H81)</x:f>
        <x:v>681000</x:v>
      </x:c>
      <x:c r="J81" t="str">
        <x:v>Actif</x:v>
      </x:c>
    </x:row>
    <x:row r="82">
      <x:c r="A82" t="str">
        <x:v>EMP-090</x:v>
      </x:c>
      <x:c r="B82" t="str">
        <x:v>RAKOTOMENDRIKA Haja</x:v>
      </x:c>
      <x:c r="C82" t="str">
        <x:v>FORT DAUPHIN</x:v>
      </x:c>
      <x:c r="D82" t="str">
        <x:v>Exploitation</x:v>
      </x:c>
      <x:c r="E82" t="str">
        <x:v>Agent d’entretien</x:v>
      </x:c>
      <x:c r="F82" t="n">
        <x:v>558000</x:v>
      </x:c>
      <x:c r="G82" t="n">
        <x:v>45000</x:v>
      </x:c>
      <x:c r="H82" t="n">
        <x:v>78000</x:v>
      </x:c>
      <x:c r="I82" t="n">
        <x:f>SUM(F82:H82)</x:f>
        <x:v>681000</x:v>
      </x:c>
      <x:c r="J82" t="str">
        <x:v>Actif</x:v>
      </x:c>
    </x:row>
    <x:row r="83">
      <x:c r="A83" t="str">
        <x:v>EMP-091</x:v>
      </x:c>
      <x:c r="B83" t="str">
        <x:v>RAKOTOVAO Nomena</x:v>
      </x:c>
      <x:c r="C83" t="str">
        <x:v>FORT DAUPHIN</x:v>
      </x:c>
      <x:c r="D83" t="str">
        <x:v>Exploitation</x:v>
      </x:c>
      <x:c r="E83" t="str">
        <x:v>Agent d’entretien</x:v>
      </x:c>
      <x:c r="F83" t="n">
        <x:v>806000</x:v>
      </x:c>
      <x:c r="G83" t="n">
        <x:v>64000</x:v>
      </x:c>
      <x:c r="H83" t="n">
        <x:v>113000</x:v>
      </x:c>
      <x:c r="I83" t="n">
        <x:f>SUM(F83:H83)</x:f>
        <x:v>983000</x:v>
      </x:c>
      <x:c r="J83" t="str">
        <x:v>Actif</x:v>
      </x:c>
    </x:row>
    <x:row r="84">
      <x:c r="A84" t="str">
        <x:v>EMP-092</x:v>
      </x:c>
      <x:c r="B84" t="str">
        <x:v>RATSIMAHERY Lalaina</x:v>
      </x:c>
      <x:c r="C84" t="str">
        <x:v>AMPANDRANDAVA</x:v>
      </x:c>
      <x:c r="D84" t="str">
        <x:v>Exploitation</x:v>
      </x:c>
      <x:c r="E84" t="str">
        <x:v>Magasinier</x:v>
      </x:c>
      <x:c r="F84" t="n">
        <x:v>806000</x:v>
      </x:c>
      <x:c r="G84" t="n">
        <x:v>64000</x:v>
      </x:c>
      <x:c r="H84" t="n">
        <x:v>113000</x:v>
      </x:c>
      <x:c r="I84" t="n">
        <x:f>SUM(F84:H84)</x:f>
        <x:v>983000</x:v>
      </x:c>
      <x:c r="J84" t="str">
        <x:v>Actif</x:v>
      </x:c>
    </x:row>
    <x:row r="85">
      <x:c r="A85" t="str">
        <x:v>EMP-094</x:v>
      </x:c>
      <x:c r="B85" t="str">
        <x:v>RABEFANJA Vero</x:v>
      </x:c>
      <x:c r="C85" t="str">
        <x:v>AMPANDRANDAVA</x:v>
      </x:c>
      <x:c r="D85" t="str">
        <x:v>Exploitation</x:v>
      </x:c>
      <x:c r="E85" t="str">
        <x:v>Mécanicien</x:v>
      </x:c>
      <x:c r="F85" t="n">
        <x:v>806000</x:v>
      </x:c>
      <x:c r="G85" t="n">
        <x:v>64000</x:v>
      </x:c>
      <x:c r="H85" t="n">
        <x:v>113000</x:v>
      </x:c>
      <x:c r="I85" t="n">
        <x:f>SUM(F85:H85)</x:f>
        <x:v>983000</x:v>
      </x:c>
      <x:c r="J85" t="str">
        <x:v>Actif</x:v>
      </x:c>
    </x:row>
    <x:row r="86">
      <x:c r="A86" t="str">
        <x:v>EMP-095</x:v>
      </x:c>
      <x:c r="B86" t="str">
        <x:v>RAKOTOMANJAKA Rina</x:v>
      </x:c>
      <x:c r="C86" t="str">
        <x:v>AMPANDRANDAVA</x:v>
      </x:c>
      <x:c r="D86" t="str">
        <x:v>Exploitation</x:v>
      </x:c>
      <x:c r="E86" t="str">
        <x:v>Mécanicien</x:v>
      </x:c>
      <x:c r="F86" t="n">
        <x:v>806000</x:v>
      </x:c>
      <x:c r="G86" t="n">
        <x:v>64000</x:v>
      </x:c>
      <x:c r="H86" t="n">
        <x:v>113000</x:v>
      </x:c>
      <x:c r="I86" t="n">
        <x:f>SUM(F86:H86)</x:f>
        <x:v>983000</x:v>
      </x:c>
      <x:c r="J86" t="str">
        <x:v>Actif</x:v>
      </x:c>
    </x:row>
    <x:row r="87">
      <x:c r="A87" t="str">
        <x:v>EMP-096</x:v>
      </x:c>
      <x:c r="B87" t="str">
        <x:v>RAKOTOTSIORY Mendrika</x:v>
      </x:c>
      <x:c r="C87" t="str">
        <x:v>AMPANDRANDAVA</x:v>
      </x:c>
      <x:c r="D87" t="str">
        <x:v>Exploitation</x:v>
      </x:c>
      <x:c r="E87" t="str">
        <x:v>Aide mécanicien</x:v>
      </x:c>
      <x:c r="F87" t="n">
        <x:v>806000</x:v>
      </x:c>
      <x:c r="G87" t="n">
        <x:v>64000</x:v>
      </x:c>
      <x:c r="H87" t="n">
        <x:v>113000</x:v>
      </x:c>
      <x:c r="I87" t="n">
        <x:f>SUM(F87:H87)</x:f>
        <x:v>983000</x:v>
      </x:c>
      <x:c r="J87" t="str">
        <x:v>Actif</x:v>
      </x:c>
    </x:row>
    <x:row r="88">
      <x:c r="A88" t="str">
        <x:v>EMP-097</x:v>
      </x:c>
      <x:c r="B88" t="str">
        <x:v>RAZAFINIRINA Tina</x:v>
      </x:c>
      <x:c r="C88" t="str">
        <x:v>AMPANDRANDAVA</x:v>
      </x:c>
      <x:c r="D88" t="str">
        <x:v>Exploitation</x:v>
      </x:c>
      <x:c r="E88" t="str">
        <x:v>Aide mécanicien</x:v>
      </x:c>
      <x:c r="F88" t="n">
        <x:v>806000</x:v>
      </x:c>
      <x:c r="G88" t="n">
        <x:v>64000</x:v>
      </x:c>
      <x:c r="H88" t="n">
        <x:v>113000</x:v>
      </x:c>
      <x:c r="I88" t="n">
        <x:f>SUM(F88:H88)</x:f>
        <x:v>983000</x:v>
      </x:c>
      <x:c r="J88" t="str">
        <x:v>Actif</x:v>
      </x:c>
    </x:row>
    <x:row r="89">
      <x:c r="A89" t="str">
        <x:v>EMP-098</x:v>
      </x:c>
      <x:c r="B89" t="str">
        <x:v>RABESITRAKA Vola</x:v>
      </x:c>
      <x:c r="C89" t="str">
        <x:v>AMPANDRANDAVA</x:v>
      </x:c>
      <x:c r="D89" t="str">
        <x:v>Production</x:v>
      </x:c>
      <x:c r="E89" t="str">
        <x:v>Coupeuse / trieuse</x:v>
      </x:c>
      <x:c r="F89" t="n">
        <x:v>806000</x:v>
      </x:c>
      <x:c r="G89" t="n">
        <x:v>64000</x:v>
      </x:c>
      <x:c r="H89" t="n">
        <x:v>113000</x:v>
      </x:c>
      <x:c r="I89" t="n">
        <x:f>SUM(F89:H89)</x:f>
        <x:v>983000</x:v>
      </x:c>
      <x:c r="J89" t="str">
        <x:v>Actif</x:v>
      </x:c>
    </x:row>
    <x:row r="90">
      <x:c r="A90" t="str">
        <x:v>EMP-099</x:v>
      </x:c>
      <x:c r="B90" t="str">
        <x:v>RANDRIAMAMY Harena</x:v>
      </x:c>
      <x:c r="C90" t="str">
        <x:v>TRANOMARO</x:v>
      </x:c>
      <x:c r="D90" t="str">
        <x:v>Production</x:v>
      </x:c>
      <x:c r="E90" t="str">
        <x:v>Coupeuse / trieuse</x:v>
      </x:c>
      <x:c r="F90" t="n">
        <x:v>806000</x:v>
      </x:c>
      <x:c r="G90" t="n">
        <x:v>64000</x:v>
      </x:c>
      <x:c r="H90" t="n">
        <x:v>113000</x:v>
      </x:c>
      <x:c r="I90" t="n">
        <x:f>SUM(F90:H90)</x:f>
        <x:v>983000</x:v>
      </x:c>
      <x:c r="J90" t="str">
        <x:v>Actif</x:v>
      </x:c>
    </x:row>
    <x:row r="91">
      <x:c r="A91" t="str">
        <x:v>EMP-100</x:v>
      </x:c>
      <x:c r="B91" t="str">
        <x:v>RAKOTOVOLA Tafita</x:v>
      </x:c>
      <x:c r="C91" t="str">
        <x:v>TRANOMARO</x:v>
      </x:c>
      <x:c r="D91" t="str">
        <x:v>Production</x:v>
      </x:c>
      <x:c r="E91" t="str">
        <x:v>Coupeuse / trieuse</x:v>
      </x:c>
      <x:c r="F91" t="n">
        <x:v>806000</x:v>
      </x:c>
      <x:c r="G91" t="n">
        <x:v>64000</x:v>
      </x:c>
      <x:c r="H91" t="n">
        <x:v>113000</x:v>
      </x:c>
      <x:c r="I91" t="n">
        <x:f>SUM(F91:H91)</x:f>
        <x:v>983000</x:v>
      </x:c>
      <x:c r="J91" t="str">
        <x:v>Actif</x:v>
      </x:c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" hidden="0" customWidth="1"/>
    <x:col min="3" max="3" width="5.630000114440918" hidden="0" customWidth="1"/>
    <x:col min="4" max="4" width="5.880000114440918" hidden="0" customWidth="1"/>
    <x:col min="5" max="5" width="5.880000114440918" hidden="0" customWidth="1"/>
    <x:col min="6" max="6" width="4.75" hidden="0" customWidth="1"/>
    <x:col min="7" max="7" width="4.75" hidden="0" customWidth="1"/>
    <x:col min="8" max="8" width="4.75" hidden="0" customWidth="1"/>
    <x:col min="9" max="9" width="4.75" hidden="0" customWidth="1"/>
    <x:col min="10" max="10" width="5" hidden="0" customWidth="1"/>
    <x:col min="11" max="11" width="4.75" hidden="0" customWidth="1"/>
    <x:col min="12" max="12" width="8.880000114440918" hidden="0" customWidth="1"/>
    <x:col min="13" max="13" width="6.75" hidden="0" customWidth="1"/>
    <x:col min="14" max="14" width="8.5" hidden="0" customWidth="1"/>
    <x:col min="15" max="15" width="8.380000114440918" hidden="0" customWidth="1"/>
    <x:col min="16" max="16" width="9.880000114440918" hidden="0" customWidth="1"/>
  </x:cols>
  <x:sheetData>
    <x:row r="1">
      <x:c r="A1" s="6" t="str">
        <x:v>Site</x:v>
      </x:c>
      <x:c r="B1" s="6" t="str">
        <x:v>Produit</x:v>
      </x:c>
      <x:c r="C1" s="6" t="str">
        <x:v>Unité</x:v>
      </x:c>
      <x:c r="D1" s="6" t="str">
        <x:v>Janvier</x:v>
      </x:c>
      <x:c r="E1" s="6" t="str">
        <x:v>Février</x:v>
      </x:c>
      <x:c r="F1" s="6" t="str">
        <x:v>Mars</x:v>
      </x:c>
      <x:c r="G1" s="6" t="str">
        <x:v>Avril</x:v>
      </x:c>
      <x:c r="H1" s="6" t="str">
        <x:v>Mai</x:v>
      </x:c>
      <x:c r="I1" s="6" t="str">
        <x:v>Juin</x:v>
      </x:c>
      <x:c r="J1" s="6" t="str">
        <x:v>Juillet</x:v>
      </x:c>
      <x:c r="K1" s="6" t="str">
        <x:v>Août</x:v>
      </x:c>
      <x:c r="L1" s="6" t="str">
        <x:v>Septembre</x:v>
      </x:c>
      <x:c r="M1" s="6" t="str">
        <x:v>Octobre</x:v>
      </x:c>
      <x:c r="N1" s="6" t="str">
        <x:v>Novembre</x:v>
      </x:c>
      <x:c r="O1" s="6" t="str">
        <x:v>Décembre</x:v>
      </x:c>
      <x:c r="P1" s="6" t="str">
        <x:v>Total annuel</x:v>
      </x:c>
    </x:row>
    <x:row r="2">
      <x:c r="A2" t="str">
        <x:v>AMPANDRANDAVA</x:v>
      </x:c>
      <x:c r="B2" t="str">
        <x:v>ABR COUPE</x:v>
      </x:c>
      <x:c r="C2" t="str">
        <x:v>tonnes</x:v>
      </x:c>
      <x:c r="D2" s="18" t="n">
        <x:v>82.94</x:v>
      </x:c>
      <x:c r="E2" s="18" t="n">
        <x:v>73.38</x:v>
      </x:c>
      <x:c r="F2" s="18" t="n">
        <x:v>72.25</x:v>
      </x:c>
      <x:c r="G2" s="18" t="n">
        <x:v>65.5</x:v>
      </x:c>
      <x:c r="H2" s="18" t="n">
        <x:v>66.39</x:v>
      </x:c>
      <x:c r="I2" s="18" t="n">
        <x:v>83.37</x:v>
      </x:c>
      <x:c r="J2" s="18" t="n">
        <x:v>70.86</x:v>
      </x:c>
      <x:c r="K2" s="18" t="n">
        <x:v>82.62</x:v>
      </x:c>
      <x:c r="L2" s="18" t="n">
        <x:v>84.9</x:v>
      </x:c>
      <x:c r="M2" s="18" t="n">
        <x:v>85.34</x:v>
      </x:c>
      <x:c r="N2" s="18" t="n">
        <x:v>74</x:v>
      </x:c>
      <x:c r="O2" s="18" t="n">
        <x:v>76.61</x:v>
      </x:c>
      <x:c r="P2" s="18" t="n">
        <x:v>918.16</x:v>
      </x:c>
    </x:row>
    <x:row r="3">
      <x:c r="A3" t="str">
        <x:v>AMPANDRANDAVA</x:v>
      </x:c>
      <x:c r="B3" t="str">
        <x:v>FP1 COUPE</x:v>
      </x:c>
      <x:c r="C3" t="str">
        <x:v>tonnes</x:v>
      </x:c>
      <x:c r="D3" s="18" t="n">
        <x:v>64.56</x:v>
      </x:c>
      <x:c r="E3" s="18" t="n">
        <x:v>53.54</x:v>
      </x:c>
      <x:c r="F3" s="18" t="n">
        <x:v>54.97</x:v>
      </x:c>
      <x:c r="G3" s="18" t="n">
        <x:v>55.48</x:v>
      </x:c>
      <x:c r="H3" s="18" t="n">
        <x:v>62.21</x:v>
      </x:c>
      <x:c r="I3" s="18" t="n">
        <x:v>49.66</x:v>
      </x:c>
      <x:c r="J3" s="18" t="n">
        <x:v>63.65</x:v>
      </x:c>
      <x:c r="K3" s="18" t="n">
        <x:v>58.54</x:v>
      </x:c>
      <x:c r="L3" s="18" t="n">
        <x:v>57.08</x:v>
      </x:c>
      <x:c r="M3" s="18" t="n">
        <x:v>54.47</x:v>
      </x:c>
      <x:c r="N3" s="18" t="n">
        <x:v>55.1</x:v>
      </x:c>
      <x:c r="O3" s="18" t="n">
        <x:v>53.64</x:v>
      </x:c>
      <x:c r="P3" s="18" t="n">
        <x:v>682.9</x:v>
      </x:c>
    </x:row>
    <x:row r="4">
      <x:c r="A4" t="str">
        <x:v>AMPANDRANDAVA</x:v>
      </x:c>
      <x:c r="B4" t="str">
        <x:v>FP2 COUPE</x:v>
      </x:c>
      <x:c r="C4" t="str">
        <x:v>tonnes</x:v>
      </x:c>
      <x:c r="D4" s="18" t="n">
        <x:v>53.03</x:v>
      </x:c>
      <x:c r="E4" s="18" t="n">
        <x:v>42.95</x:v>
      </x:c>
      <x:c r="F4" s="18" t="n">
        <x:v>52.28</x:v>
      </x:c>
      <x:c r="G4" s="18" t="n">
        <x:v>47.67</x:v>
      </x:c>
      <x:c r="H4" s="18" t="n">
        <x:v>52.66</x:v>
      </x:c>
      <x:c r="I4" s="18" t="n">
        <x:v>43.61</x:v>
      </x:c>
      <x:c r="J4" s="18" t="n">
        <x:v>52.94</x:v>
      </x:c>
      <x:c r="K4" s="18" t="n">
        <x:v>57.43</x:v>
      </x:c>
      <x:c r="L4" s="18" t="n">
        <x:v>47.49</x:v>
      </x:c>
      <x:c r="M4" s="18" t="n">
        <x:v>52.76</x:v>
      </x:c>
      <x:c r="N4" s="18" t="n">
        <x:v>43.49</x:v>
      </x:c>
      <x:c r="O4" s="18" t="n">
        <x:v>55.72</x:v>
      </x:c>
      <x:c r="P4" s="18" t="n">
        <x:v>602.03</x:v>
      </x:c>
    </x:row>
    <x:row r="5">
      <x:c r="A5" t="str">
        <x:v>AMPANDRANDAVA</x:v>
      </x:c>
      <x:c r="B5" t="str">
        <x:v>TRA</x:v>
      </x:c>
      <x:c r="C5" t="str">
        <x:v>tonnes</x:v>
      </x:c>
      <x:c r="D5" s="18" t="n">
        <x:v>64.69</x:v>
      </x:c>
      <x:c r="E5" s="18" t="n">
        <x:v>77.04</x:v>
      </x:c>
      <x:c r="F5" s="18" t="n">
        <x:v>63.85</x:v>
      </x:c>
      <x:c r="G5" s="18" t="n">
        <x:v>64.32</x:v>
      </x:c>
      <x:c r="H5" s="18" t="n">
        <x:v>59.92</x:v>
      </x:c>
      <x:c r="I5" s="18" t="n">
        <x:v>59.97</x:v>
      </x:c>
      <x:c r="J5" s="18" t="n">
        <x:v>69.47</x:v>
      </x:c>
      <x:c r="K5" s="18" t="n">
        <x:v>61.93</x:v>
      </x:c>
      <x:c r="L5" s="18" t="n">
        <x:v>57.8</x:v>
      </x:c>
      <x:c r="M5" s="18" t="n">
        <x:v>67.19</x:v>
      </x:c>
      <x:c r="N5" s="18" t="n">
        <x:v>66.76</x:v>
      </x:c>
      <x:c r="O5" s="18" t="n">
        <x:v>76.66</x:v>
      </x:c>
      <x:c r="P5" s="18" t="n">
        <x:v>789.6</x:v>
      </x:c>
    </x:row>
    <x:row r="6">
      <x:c r="A6" t="str">
        <x:v>AMPANDRANDAVA</x:v>
      </x:c>
      <x:c r="B6" t="str">
        <x:v>BSA</x:v>
      </x:c>
      <x:c r="C6" t="str">
        <x:v>tonnes</x:v>
      </x:c>
      <x:c r="D6" s="18" t="n">
        <x:v>40.2</x:v>
      </x:c>
      <x:c r="E6" s="18" t="n">
        <x:v>45.59</x:v>
      </x:c>
      <x:c r="F6" s="18" t="n">
        <x:v>50.52</x:v>
      </x:c>
      <x:c r="G6" s="18" t="n">
        <x:v>43</x:v>
      </x:c>
      <x:c r="H6" s="18" t="n">
        <x:v>49.52</x:v>
      </x:c>
      <x:c r="I6" s="18" t="n">
        <x:v>39.5</x:v>
      </x:c>
      <x:c r="J6" s="18" t="n">
        <x:v>46.55</x:v>
      </x:c>
      <x:c r="K6" s="18" t="n">
        <x:v>48.35</x:v>
      </x:c>
      <x:c r="L6" s="18" t="n">
        <x:v>40.69</x:v>
      </x:c>
      <x:c r="M6" s="18" t="n">
        <x:v>43.05</x:v>
      </x:c>
      <x:c r="N6" s="18" t="n">
        <x:v>44.51</x:v>
      </x:c>
      <x:c r="O6" s="18" t="n">
        <x:v>39.31</x:v>
      </x:c>
      <x:c r="P6" s="18" t="n">
        <x:v>530.79</x:v>
      </x:c>
    </x:row>
    <x:row r="7">
      <x:c r="A7" t="str">
        <x:v>FORT DAUPHIN</x:v>
      </x:c>
      <x:c r="B7" t="str">
        <x:v>ABR COUPE</x:v>
      </x:c>
      <x:c r="C7" t="str">
        <x:v>tonnes</x:v>
      </x:c>
      <x:c r="D7" s="18" t="n">
        <x:v>78.99</x:v>
      </x:c>
      <x:c r="E7" s="18" t="n">
        <x:v>80.22</x:v>
      </x:c>
      <x:c r="F7" s="18" t="n">
        <x:v>69.08</x:v>
      </x:c>
      <x:c r="G7" s="18" t="n">
        <x:v>75.97</x:v>
      </x:c>
      <x:c r="H7" s="18" t="n">
        <x:v>82.76</x:v>
      </x:c>
      <x:c r="I7" s="18" t="n">
        <x:v>71.63</x:v>
      </x:c>
      <x:c r="J7" s="18" t="n">
        <x:v>75.41</x:v>
      </x:c>
      <x:c r="K7" s="18" t="n">
        <x:v>73.18</x:v>
      </x:c>
      <x:c r="L7" s="18" t="n">
        <x:v>65.55</x:v>
      </x:c>
      <x:c r="M7" s="18" t="n">
        <x:v>71.12</x:v>
      </x:c>
      <x:c r="N7" s="18" t="n">
        <x:v>64.92</x:v>
      </x:c>
      <x:c r="O7" s="18" t="n">
        <x:v>72.3</x:v>
      </x:c>
      <x:c r="P7" s="18" t="n">
        <x:v>881.13</x:v>
      </x:c>
    </x:row>
    <x:row r="8">
      <x:c r="A8" t="str">
        <x:v>FORT DAUPHIN</x:v>
      </x:c>
      <x:c r="B8" t="str">
        <x:v>FP1 COUPE</x:v>
      </x:c>
      <x:c r="C8" t="str">
        <x:v>tonnes</x:v>
      </x:c>
      <x:c r="D8" s="18" t="n">
        <x:v>51.73</x:v>
      </x:c>
      <x:c r="E8" s="18" t="n">
        <x:v>54.13</x:v>
      </x:c>
      <x:c r="F8" s="18" t="n">
        <x:v>62.84</x:v>
      </x:c>
      <x:c r="G8" s="18" t="n">
        <x:v>49.46</x:v>
      </x:c>
      <x:c r="H8" s="18" t="n">
        <x:v>65.87</x:v>
      </x:c>
      <x:c r="I8" s="18" t="n">
        <x:v>65.01</x:v>
      </x:c>
      <x:c r="J8" s="18" t="n">
        <x:v>61.04</x:v>
      </x:c>
      <x:c r="K8" s="18" t="n">
        <x:v>51.58</x:v>
      </x:c>
      <x:c r="L8" s="18" t="n">
        <x:v>51.83</x:v>
      </x:c>
      <x:c r="M8" s="18" t="n">
        <x:v>62.25</x:v>
      </x:c>
      <x:c r="N8" s="18" t="n">
        <x:v>59.8</x:v>
      </x:c>
      <x:c r="O8" s="18" t="n">
        <x:v>65.32</x:v>
      </x:c>
      <x:c r="P8" s="18" t="n">
        <x:v>700.86</x:v>
      </x:c>
    </x:row>
    <x:row r="9">
      <x:c r="A9" t="str">
        <x:v>FORT DAUPHIN</x:v>
      </x:c>
      <x:c r="B9" t="str">
        <x:v>FP2 COUPE</x:v>
      </x:c>
      <x:c r="C9" t="str">
        <x:v>tonnes</x:v>
      </x:c>
      <x:c r="D9" s="18" t="n">
        <x:v>44.37</x:v>
      </x:c>
      <x:c r="E9" s="18" t="n">
        <x:v>43.7</x:v>
      </x:c>
      <x:c r="F9" s="18" t="n">
        <x:v>54.2</x:v>
      </x:c>
      <x:c r="G9" s="18" t="n">
        <x:v>57.56</x:v>
      </x:c>
      <x:c r="H9" s="18" t="n">
        <x:v>45.24</x:v>
      </x:c>
      <x:c r="I9" s="18" t="n">
        <x:v>44.6</x:v>
      </x:c>
      <x:c r="J9" s="18" t="n">
        <x:v>54.55</x:v>
      </x:c>
      <x:c r="K9" s="18" t="n">
        <x:v>45.99</x:v>
      </x:c>
      <x:c r="L9" s="18" t="n">
        <x:v>48.4</x:v>
      </x:c>
      <x:c r="M9" s="18" t="n">
        <x:v>47.63</x:v>
      </x:c>
      <x:c r="N9" s="18" t="n">
        <x:v>53.69</x:v>
      </x:c>
      <x:c r="O9" s="18" t="n">
        <x:v>50.36</x:v>
      </x:c>
      <x:c r="P9" s="18" t="n">
        <x:v>590.29</x:v>
      </x:c>
    </x:row>
    <x:row r="10">
      <x:c r="A10" t="str">
        <x:v>FORT DAUPHIN</x:v>
      </x:c>
      <x:c r="B10" t="str">
        <x:v>TRA</x:v>
      </x:c>
      <x:c r="C10" t="str">
        <x:v>tonnes</x:v>
      </x:c>
      <x:c r="D10" s="18" t="n">
        <x:v>60.58</x:v>
      </x:c>
      <x:c r="E10" s="18" t="n">
        <x:v>74.69</x:v>
      </x:c>
      <x:c r="F10" s="18" t="n">
        <x:v>61.12</x:v>
      </x:c>
      <x:c r="G10" s="18" t="n">
        <x:v>61.62</x:v>
      </x:c>
      <x:c r="H10" s="18" t="n">
        <x:v>68</x:v>
      </x:c>
      <x:c r="I10" s="18" t="n">
        <x:v>63.36</x:v>
      </x:c>
      <x:c r="J10" s="18" t="n">
        <x:v>76.88</x:v>
      </x:c>
      <x:c r="K10" s="18" t="n">
        <x:v>70</x:v>
      </x:c>
      <x:c r="L10" s="18" t="n">
        <x:v>68.56</x:v>
      </x:c>
      <x:c r="M10" s="18" t="n">
        <x:v>76.35</x:v>
      </x:c>
      <x:c r="N10" s="18" t="n">
        <x:v>65.94</x:v>
      </x:c>
      <x:c r="O10" s="18" t="n">
        <x:v>69.89</x:v>
      </x:c>
      <x:c r="P10" s="18" t="n">
        <x:v>816.99</x:v>
      </x:c>
    </x:row>
    <x:row r="11">
      <x:c r="A11" t="str">
        <x:v>FORT DAUPHIN</x:v>
      </x:c>
      <x:c r="B11" t="str">
        <x:v>BSA</x:v>
      </x:c>
      <x:c r="C11" t="str">
        <x:v>tonnes</x:v>
      </x:c>
      <x:c r="D11" s="18" t="n">
        <x:v>46.31</x:v>
      </x:c>
      <x:c r="E11" s="18" t="n">
        <x:v>49.83</x:v>
      </x:c>
      <x:c r="F11" s="18" t="n">
        <x:v>45.9</x:v>
      </x:c>
      <x:c r="G11" s="18" t="n">
        <x:v>49.9</x:v>
      </x:c>
      <x:c r="H11" s="18" t="n">
        <x:v>38.19</x:v>
      </x:c>
      <x:c r="I11" s="18" t="n">
        <x:v>41.99</x:v>
      </x:c>
      <x:c r="J11" s="18" t="n">
        <x:v>49.4</x:v>
      </x:c>
      <x:c r="K11" s="18" t="n">
        <x:v>39.37</x:v>
      </x:c>
      <x:c r="L11" s="18" t="n">
        <x:v>46.76</x:v>
      </x:c>
      <x:c r="M11" s="18" t="n">
        <x:v>40.24</x:v>
      </x:c>
      <x:c r="N11" s="18" t="n">
        <x:v>44.2</x:v>
      </x:c>
      <x:c r="O11" s="18" t="n">
        <x:v>43.68</x:v>
      </x:c>
      <x:c r="P11" s="18" t="n">
        <x:v>535.77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8" hidden="0" customWidth="1"/>
    <x:col min="3" max="3" width="14.75" hidden="0" customWidth="1"/>
    <x:col min="4" max="4" width="4.75" hidden="0" customWidth="1"/>
    <x:col min="5" max="5" width="9.880000114440918" hidden="0" customWidth="1"/>
    <x:col min="6" max="6" width="9.880000114440918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9.880000114440918" hidden="0" customWidth="1"/>
    <x:col min="14" max="14" width="9.880000114440918" hidden="0" customWidth="1"/>
    <x:col min="15" max="15" width="9.880000114440918" hidden="0" customWidth="1"/>
    <x:col min="16" max="16" width="9.880000114440918" hidden="0" customWidth="1"/>
    <x:col min="17" max="17" width="11.25" hidden="0" customWidth="1"/>
  </x:cols>
  <x:sheetData>
    <x:row r="1">
      <x:c r="A1" s="6" t="str">
        <x:v>Catégorie</x:v>
      </x:c>
      <x:c r="B1" s="6" t="str">
        <x:v>Nature</x:v>
      </x:c>
      <x:c r="C1" s="6" t="str">
        <x:v>Site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16" t="n">
        <x:v>159445000</x:v>
      </x:c>
      <x:c r="F2" s="16" t="n">
        <x:v>140384000</x:v>
      </x:c>
      <x:c r="G2" s="16" t="n">
        <x:v>166003000</x:v>
      </x:c>
      <x:c r="H2" s="16" t="n">
        <x:v>148302000</x:v>
      </x:c>
      <x:c r="I2" s="16" t="n">
        <x:v>140844000</x:v>
      </x:c>
      <x:c r="J2" s="16" t="n">
        <x:v>140504000</x:v>
      </x:c>
      <x:c r="K2" s="16" t="n">
        <x:v>142569000</x:v>
      </x:c>
      <x:c r="L2" s="16" t="n">
        <x:v>166556000</x:v>
      </x:c>
      <x:c r="M2" s="16" t="n">
        <x:v>140269000</x:v>
      </x:c>
      <x:c r="N2" s="16" t="n">
        <x:v>160865000</x:v>
      </x:c>
      <x:c r="O2" s="16" t="n">
        <x:v>148966000</x:v>
      </x:c>
      <x:c r="P2" s="16" t="n">
        <x:v>158732000</x:v>
      </x:c>
      <x:c r="Q2" s="16" t="n">
        <x:v>1813439000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16" t="n">
        <x:v>53217000</x:v>
      </x:c>
      <x:c r="F3" s="16" t="n">
        <x:v>48319000</x:v>
      </x:c>
      <x:c r="G3" s="16" t="n">
        <x:v>55700000</x:v>
      </x:c>
      <x:c r="H3" s="16" t="n">
        <x:v>54306000</x:v>
      </x:c>
      <x:c r="I3" s="16" t="n">
        <x:v>53767000</x:v>
      </x:c>
      <x:c r="J3" s="16" t="n">
        <x:v>56260000</x:v>
      </x:c>
      <x:c r="K3" s="16" t="n">
        <x:v>53464000</x:v>
      </x:c>
      <x:c r="L3" s="16" t="n">
        <x:v>48695000</x:v>
      </x:c>
      <x:c r="M3" s="16" t="n">
        <x:v>46728000</x:v>
      </x:c>
      <x:c r="N3" s="16" t="n">
        <x:v>45044000</x:v>
      </x:c>
      <x:c r="O3" s="16" t="n">
        <x:v>51583000</x:v>
      </x:c>
      <x:c r="P3" s="16" t="n">
        <x:v>56830000</x:v>
      </x:c>
      <x:c r="Q3" s="16" t="n">
        <x:v>623913000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16" t="n">
        <x:v>78402000</x:v>
      </x:c>
      <x:c r="F4" s="16" t="n">
        <x:v>89166000</x:v>
      </x:c>
      <x:c r="G4" s="16" t="n">
        <x:v>89902000</x:v>
      </x:c>
      <x:c r="H4" s="16" t="n">
        <x:v>84239000</x:v>
      </x:c>
      <x:c r="I4" s="16" t="n">
        <x:v>79757000</x:v>
      </x:c>
      <x:c r="J4" s="16" t="n">
        <x:v>92435000</x:v>
      </x:c>
      <x:c r="K4" s="16" t="n">
        <x:v>84571000</x:v>
      </x:c>
      <x:c r="L4" s="16" t="n">
        <x:v>91270000</x:v>
      </x:c>
      <x:c r="M4" s="16" t="n">
        <x:v>91075000</x:v>
      </x:c>
      <x:c r="N4" s="16" t="n">
        <x:v>84132000</x:v>
      </x:c>
      <x:c r="O4" s="16" t="n">
        <x:v>88857000</x:v>
      </x:c>
      <x:c r="P4" s="16" t="n">
        <x:v>81105000</x:v>
      </x:c>
      <x:c r="Q4" s="16" t="n">
        <x:v>1034911000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16" t="n">
        <x:v>36293000</x:v>
      </x:c>
      <x:c r="F5" s="16" t="n">
        <x:v>31036000</x:v>
      </x:c>
      <x:c r="G5" s="16" t="n">
        <x:v>33930000</x:v>
      </x:c>
      <x:c r="H5" s="16" t="n">
        <x:v>31574000</x:v>
      </x:c>
      <x:c r="I5" s="16" t="n">
        <x:v>38247000</x:v>
      </x:c>
      <x:c r="J5" s="16" t="n">
        <x:v>36299000</x:v>
      </x:c>
      <x:c r="K5" s="16" t="n">
        <x:v>32630000</x:v>
      </x:c>
      <x:c r="L5" s="16" t="n">
        <x:v>36793000</x:v>
      </x:c>
      <x:c r="M5" s="16" t="n">
        <x:v>36910000</x:v>
      </x:c>
      <x:c r="N5" s="16" t="n">
        <x:v>31217000</x:v>
      </x:c>
      <x:c r="O5" s="16" t="n">
        <x:v>37838000</x:v>
      </x:c>
      <x:c r="P5" s="16" t="n">
        <x:v>32704000</x:v>
      </x:c>
      <x:c r="Q5" s="16" t="n">
        <x:v>415471000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16" t="n">
        <x:v>27278000</x:v>
      </x:c>
      <x:c r="F6" s="16" t="n">
        <x:v>25263000</x:v>
      </x:c>
      <x:c r="G6" s="16" t="n">
        <x:v>23651000</x:v>
      </x:c>
      <x:c r="H6" s="16" t="n">
        <x:v>25591000</x:v>
      </x:c>
      <x:c r="I6" s="16" t="n">
        <x:v>24300000</x:v>
      </x:c>
      <x:c r="J6" s="16" t="n">
        <x:v>27325000</x:v>
      </x:c>
      <x:c r="K6" s="16" t="n">
        <x:v>23694000</x:v>
      </x:c>
      <x:c r="L6" s="16" t="n">
        <x:v>23558000</x:v>
      </x:c>
      <x:c r="M6" s="16" t="n">
        <x:v>26245000</x:v>
      </x:c>
      <x:c r="N6" s="16" t="n">
        <x:v>26570000</x:v>
      </x:c>
      <x:c r="O6" s="16" t="n">
        <x:v>22869000</x:v>
      </x:c>
      <x:c r="P6" s="16" t="n">
        <x:v>22736000</x:v>
      </x:c>
      <x:c r="Q6" s="16" t="n">
        <x:v>299080000</x:v>
      </x:c>
    </x:row>
    <x:row r="7">
      <x:c r="A7"/>
      <x:c r="B7"/>
      <x:c r="C7"/>
      <x:c r="D7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16" t="n">
        <x:v>8222000</x:v>
      </x:c>
      <x:c r="F8" s="16" t="n">
        <x:v>8176000</x:v>
      </x:c>
      <x:c r="G8" s="16" t="n">
        <x:v>7739000</x:v>
      </x:c>
      <x:c r="H8" s="16" t="n">
        <x:v>7642000</x:v>
      </x:c>
      <x:c r="I8" s="16" t="n">
        <x:v>7906000</x:v>
      </x:c>
      <x:c r="J8" s="16" t="n">
        <x:v>7602000</x:v>
      </x:c>
      <x:c r="K8" s="16" t="n">
        <x:v>8399000</x:v>
      </x:c>
      <x:c r="L8" s="16" t="n">
        <x:v>8796000</x:v>
      </x:c>
      <x:c r="M8" s="16" t="n">
        <x:v>8698000</x:v>
      </x:c>
      <x:c r="N8" s="16" t="n">
        <x:v>8619000</x:v>
      </x:c>
      <x:c r="O8" s="16" t="n">
        <x:v>7521000</x:v>
      </x:c>
      <x:c r="P8" s="16" t="n">
        <x:v>7427000</x:v>
      </x:c>
      <x:c r="Q8" s="16" t="n">
        <x:v>96747000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16" t="n">
        <x:v>12742000</x:v>
      </x:c>
      <x:c r="F9" s="16" t="n">
        <x:v>13155000</x:v>
      </x:c>
      <x:c r="G9" s="16" t="n">
        <x:v>15177000</x:v>
      </x:c>
      <x:c r="H9" s="16" t="n">
        <x:v>15330000</x:v>
      </x:c>
      <x:c r="I9" s="16" t="n">
        <x:v>12320000</x:v>
      </x:c>
      <x:c r="J9" s="16" t="n">
        <x:v>14407000</x:v>
      </x:c>
      <x:c r="K9" s="16" t="n">
        <x:v>13222000</x:v>
      </x:c>
      <x:c r="L9" s="16" t="n">
        <x:v>15505000</x:v>
      </x:c>
      <x:c r="M9" s="16" t="n">
        <x:v>12295000</x:v>
      </x:c>
      <x:c r="N9" s="16" t="n">
        <x:v>12527000</x:v>
      </x:c>
      <x:c r="O9" s="16" t="n">
        <x:v>15001000</x:v>
      </x:c>
      <x:c r="P9" s="16" t="n">
        <x:v>15145000</x:v>
      </x:c>
      <x:c r="Q9" s="16" t="n">
        <x:v>166826000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16" t="n">
        <x:v>18354000</x:v>
      </x:c>
      <x:c r="F10" s="16" t="n">
        <x:v>16502000</x:v>
      </x:c>
      <x:c r="G10" s="16" t="n">
        <x:v>15462000</x:v>
      </x:c>
      <x:c r="H10" s="16" t="n">
        <x:v>17758000</x:v>
      </x:c>
      <x:c r="I10" s="16" t="n">
        <x:v>17105000</x:v>
      </x:c>
      <x:c r="J10" s="16" t="n">
        <x:v>17257000</x:v>
      </x:c>
      <x:c r="K10" s="16" t="n">
        <x:v>17054000</x:v>
      </x:c>
      <x:c r="L10" s="16" t="n">
        <x:v>16803000</x:v>
      </x:c>
      <x:c r="M10" s="16" t="n">
        <x:v>15529000</x:v>
      </x:c>
      <x:c r="N10" s="16" t="n">
        <x:v>17874000</x:v>
      </x:c>
      <x:c r="O10" s="16" t="n">
        <x:v>17206000</x:v>
      </x:c>
      <x:c r="P10" s="16" t="n">
        <x:v>17408000</x:v>
      </x:c>
      <x:c r="Q10" s="16" t="n">
        <x:v>204312000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16" t="n">
        <x:v>36761000</x:v>
      </x:c>
      <x:c r="F11" s="16" t="n">
        <x:v>38563000</x:v>
      </x:c>
      <x:c r="G11" s="16" t="n">
        <x:v>39772000</x:v>
      </x:c>
      <x:c r="H11" s="16" t="n">
        <x:v>41469000</x:v>
      </x:c>
      <x:c r="I11" s="16" t="n">
        <x:v>37487000</x:v>
      </x:c>
      <x:c r="J11" s="16" t="n">
        <x:v>44195000</x:v>
      </x:c>
      <x:c r="K11" s="16" t="n">
        <x:v>37886000</x:v>
      </x:c>
      <x:c r="L11" s="16" t="n">
        <x:v>39145000</x:v>
      </x:c>
      <x:c r="M11" s="16" t="n">
        <x:v>45044000</x:v>
      </x:c>
      <x:c r="N11" s="16" t="n">
        <x:v>40829000</x:v>
      </x:c>
      <x:c r="O11" s="16" t="n">
        <x:v>36600000</x:v>
      </x:c>
      <x:c r="P11" s="16" t="n">
        <x:v>39817000</x:v>
      </x:c>
      <x:c r="Q11" s="16" t="n">
        <x:v>477568000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16" t="n">
        <x:v>21463000</x:v>
      </x:c>
      <x:c r="F12" s="16" t="n">
        <x:v>20894000</x:v>
      </x:c>
      <x:c r="G12" s="16" t="n">
        <x:v>24744000</x:v>
      </x:c>
      <x:c r="H12" s="16" t="n">
        <x:v>24206000</x:v>
      </x:c>
      <x:c r="I12" s="16" t="n">
        <x:v>25177000</x:v>
      </x:c>
      <x:c r="J12" s="16" t="n">
        <x:v>26056000</x:v>
      </x:c>
      <x:c r="K12" s="16" t="n">
        <x:v>24436000</x:v>
      </x:c>
      <x:c r="L12" s="16" t="n">
        <x:v>23171000</x:v>
      </x:c>
      <x:c r="M12" s="16" t="n">
        <x:v>24560000</x:v>
      </x:c>
      <x:c r="N12" s="16" t="n">
        <x:v>23509000</x:v>
      </x:c>
      <x:c r="O12" s="16" t="n">
        <x:v>23622000</x:v>
      </x:c>
      <x:c r="P12" s="16" t="n">
        <x:v>25698000</x:v>
      </x:c>
      <x:c r="Q12" s="16" t="n">
        <x:v>287536000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16" t="n">
        <x:v>29244000</x:v>
      </x:c>
      <x:c r="F13" s="16" t="n">
        <x:v>27003000</x:v>
      </x:c>
      <x:c r="G13" s="16" t="n">
        <x:v>25363000</x:v>
      </x:c>
      <x:c r="H13" s="16" t="n">
        <x:v>25674000</x:v>
      </x:c>
      <x:c r="I13" s="16" t="n">
        <x:v>31353000</x:v>
      </x:c>
      <x:c r="J13" s="16" t="n">
        <x:v>30028000</x:v>
      </x:c>
      <x:c r="K13" s="16" t="n">
        <x:v>25586000</x:v>
      </x:c>
      <x:c r="L13" s="16" t="n">
        <x:v>31666000</x:v>
      </x:c>
      <x:c r="M13" s="16" t="n">
        <x:v>31451000</x:v>
      </x:c>
      <x:c r="N13" s="16" t="n">
        <x:v>25799000</x:v>
      </x:c>
      <x:c r="O13" s="16" t="n">
        <x:v>27167000</x:v>
      </x:c>
      <x:c r="P13" s="16" t="n">
        <x:v>31798000</x:v>
      </x:c>
      <x:c r="Q13" s="16" t="n">
        <x:v>342132000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16" t="n">
        <x:v>11685000</x:v>
      </x:c>
      <x:c r="F14" s="16" t="n">
        <x:v>10438000</x:v>
      </x:c>
      <x:c r="G14" s="16" t="n">
        <x:v>11337000</x:v>
      </x:c>
      <x:c r="H14" s="16" t="n">
        <x:v>12666000</x:v>
      </x:c>
      <x:c r="I14" s="16" t="n">
        <x:v>12415000</x:v>
      </x:c>
      <x:c r="J14" s="16" t="n">
        <x:v>10706000</x:v>
      </x:c>
      <x:c r="K14" s="16" t="n">
        <x:v>11040000</x:v>
      </x:c>
      <x:c r="L14" s="16" t="n">
        <x:v>11489000</x:v>
      </x:c>
      <x:c r="M14" s="16" t="n">
        <x:v>13016000</x:v>
      </x:c>
      <x:c r="N14" s="16" t="n">
        <x:v>11515000</x:v>
      </x:c>
      <x:c r="O14" s="16" t="n">
        <x:v>11901000</x:v>
      </x:c>
      <x:c r="P14" s="16" t="n">
        <x:v>13200000</x:v>
      </x:c>
      <x:c r="Q14" s="16" t="n">
        <x:v>141408000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16" t="n">
        <x:v>15642000</x:v>
      </x:c>
      <x:c r="F15" s="16" t="n">
        <x:v>16187000</x:v>
      </x:c>
      <x:c r="G15" s="16" t="n">
        <x:v>14825000</x:v>
      </x:c>
      <x:c r="H15" s="16" t="n">
        <x:v>16374000</x:v>
      </x:c>
      <x:c r="I15" s="16" t="n">
        <x:v>15734000</x:v>
      </x:c>
      <x:c r="J15" s="16" t="n">
        <x:v>16363000</x:v>
      </x:c>
      <x:c r="K15" s="16" t="n">
        <x:v>16148000</x:v>
      </x:c>
      <x:c r="L15" s="16" t="n">
        <x:v>15003000</x:v>
      </x:c>
      <x:c r="M15" s="16" t="n">
        <x:v>16266000</x:v>
      </x:c>
      <x:c r="N15" s="16" t="n">
        <x:v>15022000</x:v>
      </x:c>
      <x:c r="O15" s="16" t="n">
        <x:v>15113000</x:v>
      </x:c>
      <x:c r="P15" s="16" t="n">
        <x:v>14850000</x:v>
      </x:c>
      <x:c r="Q15" s="16" t="n">
        <x:v>187527000</x:v>
      </x:c>
    </x:row>
    <x:row r="16">
      <x:c r="A16" s="16" t="str">
        <x:v>ACHAT PRODUITS</x:v>
      </x:c>
      <x:c r="B16" s="16" t="str">
        <x:v>TRA COUPE</x:v>
      </x:c>
      <x:c r="C16" s="16" t="str">
        <x:v>AMPANDRANDAVA</x:v>
      </x:c>
      <x:c r="D16" s="16" t="str">
        <x:v>MGA</x:v>
      </x:c>
      <x:c r="E16" s="16" t="n">
        <x:v>636081180</x:v>
      </x:c>
      <x:c r="F16" s="16" t="n">
        <x:v>639929640</x:v>
      </x:c>
      <x:c r="G16" s="16" t="n">
        <x:v>636081180</x:v>
      </x:c>
      <x:c r="H16" s="16" t="n">
        <x:v>639929640</x:v>
      </x:c>
      <x:c r="I16" s="16" t="n">
        <x:v>636081180</x:v>
      </x:c>
      <x:c r="J16" s="16" t="n">
        <x:v>639929640</x:v>
      </x:c>
      <x:c r="K16" s="16" t="n">
        <x:v>636081180</x:v>
      </x:c>
      <x:c r="L16" s="16" t="n">
        <x:v>639929640</x:v>
      </x:c>
      <x:c r="M16" s="16" t="n">
        <x:v>636081180</x:v>
      </x:c>
      <x:c r="N16" s="16" t="n">
        <x:v>639929640</x:v>
      </x:c>
      <x:c r="O16" s="16" t="n">
        <x:v>636081180</x:v>
      </x:c>
      <x:c r="P16" s="16" t="n">
        <x:v>639929640</x:v>
      </x:c>
      <x:c r="Q16" s="16" t="n">
        <x:f>SUM(E16:P16)</x:f>
        <x:v>7656064920</x:v>
      </x:c>
    </x:row>
    <x:row r="17">
      <x:c r="A17" s="16" t="str">
        <x:v>ACHAT PRODUITS</x:v>
      </x:c>
      <x:c r="B17" s="16" t="str">
        <x:v>ABR COUPE</x:v>
      </x:c>
      <x:c r="C17" s="16" t="str">
        <x:v>AMPANDRANDAVA</x:v>
      </x:c>
      <x:c r="D17" s="16" t="str">
        <x:v>MGA</x:v>
      </x:c>
      <x:c r="E17" s="16" t="n">
        <x:v>604943640</x:v>
      </x:c>
      <x:c r="F17" s="16" t="n">
        <x:v>604943640</x:v>
      </x:c>
      <x:c r="G17" s="16" t="n">
        <x:v>604943640</x:v>
      </x:c>
      <x:c r="H17" s="16" t="n">
        <x:v>604943640</x:v>
      </x:c>
      <x:c r="I17" s="16" t="n">
        <x:v>604943640</x:v>
      </x:c>
      <x:c r="J17" s="16" t="n">
        <x:v>604943640</x:v>
      </x:c>
      <x:c r="K17" s="16" t="n">
        <x:v>604943640</x:v>
      </x:c>
      <x:c r="L17" s="16" t="n">
        <x:v>604943640</x:v>
      </x:c>
      <x:c r="M17" s="16" t="n">
        <x:v>604943640</x:v>
      </x:c>
      <x:c r="N17" s="16" t="n">
        <x:v>604943640</x:v>
      </x:c>
      <x:c r="O17" s="16" t="n">
        <x:v>604943640</x:v>
      </x:c>
      <x:c r="P17" s="16" t="n">
        <x:v>604943640</x:v>
      </x:c>
      <x:c r="Q17" s="16" t="n">
        <x:f>SUM(E17:P17)</x:f>
        <x:v>7259323680</x:v>
      </x:c>
    </x:row>
    <x:row r="18">
      <x:c r="A18" s="16" t="str">
        <x:v>ACHAT PRODUITS</x:v>
      </x:c>
      <x:c r="B18" s="16" t="str">
        <x:v>FP1 COUPE</x:v>
      </x:c>
      <x:c r="C18" s="16" t="str">
        <x:v>AMPANDRANDAVA</x:v>
      </x:c>
      <x:c r="D18" s="16" t="str">
        <x:v>MGA</x:v>
      </x:c>
      <x:c r="E18" s="16" t="n">
        <x:v>0</x:v>
      </x:c>
      <x:c r="F18" s="16" t="n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  <x:c r="K18" s="16" t="n">
        <x:v>0</x:v>
      </x:c>
      <x:c r="L18" s="16" t="n">
        <x:v>0</x:v>
      </x:c>
      <x:c r="M18" s="16" t="n">
        <x:v>0</x:v>
      </x:c>
      <x:c r="N18" s="16" t="n">
        <x:v>0</x:v>
      </x:c>
      <x:c r="O18" s="16" t="n">
        <x:v>0</x:v>
      </x:c>
      <x:c r="P18" s="16" t="n">
        <x:v>0</x:v>
      </x:c>
      <x:c r="Q18" s="16" t="n">
        <x:f>SUM(E18:P18)</x:f>
        <x:v>0</x:v>
      </x:c>
    </x:row>
    <x:row r="19">
      <x:c r="A19" s="16" t="str">
        <x:v>ACHAT PRODUITS</x:v>
      </x:c>
      <x:c r="B19" s="16" t="str">
        <x:v>FP2 COUPE</x:v>
      </x:c>
      <x:c r="C19" s="16" t="str">
        <x:v>AMPANDRANDAVA</x:v>
      </x:c>
      <x:c r="D19" s="16" t="str">
        <x:v>MGA</x:v>
      </x:c>
      <x:c r="E19" s="16" t="n">
        <x:v>1071000</x:v>
      </x:c>
      <x:c r="F19" s="16" t="n">
        <x:v>1071000</x:v>
      </x:c>
      <x:c r="G19" s="16" t="n">
        <x:v>1071000</x:v>
      </x:c>
      <x:c r="H19" s="16" t="n">
        <x:v>1071000</x:v>
      </x:c>
      <x:c r="I19" s="16" t="n">
        <x:v>1071000</x:v>
      </x:c>
      <x:c r="J19" s="16" t="n">
        <x:v>1071000</x:v>
      </x:c>
      <x:c r="K19" s="16" t="n">
        <x:v>1071000</x:v>
      </x:c>
      <x:c r="L19" s="16" t="n">
        <x:v>1071000</x:v>
      </x:c>
      <x:c r="M19" s="16" t="n">
        <x:v>1071000</x:v>
      </x:c>
      <x:c r="N19" s="16" t="n">
        <x:v>1071000</x:v>
      </x:c>
      <x:c r="O19" s="16" t="n">
        <x:v>1071000</x:v>
      </x:c>
      <x:c r="P19" s="16" t="n">
        <x:v>1071000</x:v>
      </x:c>
      <x:c r="Q19" s="16" t="n">
        <x:f>SUM(E19:P19)</x:f>
        <x:v>12852000</x:v>
      </x:c>
    </x:row>
    <x:row r="20">
      <x:c r="A20" s="16" t="str">
        <x:v>ACHAT PRODUITS</x:v>
      </x:c>
      <x:c r="B20" s="16" t="str">
        <x:v>BSA COUPE</x:v>
      </x:c>
      <x:c r="C20" s="16" t="str">
        <x:v>AMPANDRANDAVA</x:v>
      </x:c>
      <x:c r="D20" s="16" t="str">
        <x:v>MGA</x:v>
      </x:c>
      <x:c r="E20" s="16" t="n">
        <x:v>937125</x:v>
      </x:c>
      <x:c r="F20" s="16" t="n">
        <x:v>937125</x:v>
      </x:c>
      <x:c r="G20" s="16" t="n">
        <x:v>937125</x:v>
      </x:c>
      <x:c r="H20" s="16" t="n">
        <x:v>937125</x:v>
      </x:c>
      <x:c r="I20" s="16" t="n">
        <x:v>937125</x:v>
      </x:c>
      <x:c r="J20" s="16" t="n">
        <x:v>937125</x:v>
      </x:c>
      <x:c r="K20" s="16" t="n">
        <x:v>937125</x:v>
      </x:c>
      <x:c r="L20" s="16" t="n">
        <x:v>937125</x:v>
      </x:c>
      <x:c r="M20" s="16" t="n">
        <x:v>937125</x:v>
      </x:c>
      <x:c r="N20" s="16" t="n">
        <x:v>937125</x:v>
      </x:c>
      <x:c r="O20" s="16" t="n">
        <x:v>937125</x:v>
      </x:c>
      <x:c r="P20" s="16" t="n">
        <x:v>937125</x:v>
      </x:c>
      <x:c r="Q20" s="16" t="n">
        <x:f>SUM(E20:P20)</x:f>
        <x:v>11245500</x:v>
      </x:c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</x:row>
    <x:row r="27">
      <x:c r="A27" s="128"/>
      <x:c r="B27" s="128"/>
      <x:c r="C27" s="128"/>
      <x:c r="D27" s="128"/>
      <x:c r="E27" s="128"/>
      <x:c r="F27" s="128"/>
      <x:c r="G27" s="128"/>
      <x:c r="H27" s="128"/>
      <x:c r="I27" s="128"/>
      <x:c r="J27" s="128"/>
      <x:c r="K27" s="128"/>
      <x:c r="L27" s="128"/>
      <x:c r="M27" s="128"/>
      <x:c r="N27" s="128"/>
      <x:c r="O27" s="128"/>
      <x:c r="P27" s="128"/>
      <x:c r="Q27" s="12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5" hidden="0" customWidth="1"/>
    <x:col min="4" max="4" width="10" hidden="0" customWidth="1"/>
    <x:col min="5" max="5" width="2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</x:cols>
  <x:sheetData>
    <x:row r="1" ht="30" customHeight="1">
      <x:c r="A1" s="24" t="str">
        <x:v>SOMIDA — TABLEAU DE BORD DES EXPORTATIONS 2025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22" customHeight="1">
      <x:c r="A2" s="29" t="str">
        <x:v>Pilotage DAF • Japon / Russie / Chine • Suivi mensuel des volumes, devises et chiffre d’affaires</x:v>
      </x:c>
      <x:c r="B2" s="29"/>
      <x:c r="C2" s="29"/>
      <x:c r="D2" s="29"/>
      <x:c r="E2" s="29"/>
      <x:c r="F2" s="29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3">
      <x:c r="A3"/>
      <x:c r="B3"/>
      <x:c r="C3"/>
      <x:c r="D3"/>
      <x:c r="E3"/>
      <x:c r="F3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26" customHeight="1">
      <x:c r="A4" s="39" t="str">
        <x:v>VOLUME EXPORTÉ (t)</x:v>
      </x:c>
      <x:c r="B4" s="39"/>
      <x:c r="C4" s="39"/>
      <x:c r="D4" s="39" t="str">
        <x:v>CA EXPORT (MGA)</x:v>
      </x:c>
      <x:c r="E4" s="39"/>
      <x:c r="F4" s="39"/>
      <x:c r="G4" s="40" t="str">
        <x:v>CA JAPON (MGA)</x:v>
      </x:c>
      <x:c r="H4" s="40"/>
      <x:c r="I4" s="40"/>
      <x:c r="J4" s="40" t="str">
        <x:v>CA RUSSIE (MGA)</x:v>
      </x:c>
      <x:c r="K4" s="40"/>
      <x:c r="L4" s="40"/>
      <x:c r="M4" s="40" t="str">
        <x:v>CA CHINE (MGA)</x:v>
      </x:c>
      <x:c r="N4" s="40"/>
      <x:c r="O4" s="40"/>
      <x:c r="P4" s="40" t="str">
        <x:v>MARCHÉS / DEVISES</x:v>
      </x:c>
      <x:c r="Q4" s="40"/>
      <x:c r="R4" s="40"/>
      <x:c r="S4" s="40"/>
    </x:row>
    <x:row r="5" ht="28" customHeight="1">
      <x:c r="A5" s="93" t="n">
        <x:f>SUMIF($E$10:$E$54,"Quantité exportée",$S$10:$S$54)</x:f>
        <x:v>3160.98</x:v>
      </x:c>
      <x:c r="B5" s="47"/>
      <x:c r="C5" s="47"/>
      <x:c r="D5" s="94" t="n">
        <x:f>SUMIF($E$10:$E$54,"Chiffre d'affaires MGA",$S$10:$S$54)</x:f>
        <x:v>19024357330.800003</x:v>
      </x:c>
      <x:c r="E5" s="47"/>
      <x:c r="F5" s="47"/>
      <x:c r="G5" s="94" t="n">
        <x:f>SUMIFS($S$10:$S$54,$A$10:$A$54,"Japon",$E$10:$E$54,"Chiffre d'affaires MGA")</x:f>
        <x:v>5885836491.6</x:v>
      </x:c>
      <x:c r="H5" s="48"/>
      <x:c r="I5" s="48"/>
      <x:c r="J5" s="94" t="n">
        <x:f>SUMIFS($S$10:$S$54,$A$10:$A$54,"Russie",$E$10:$E$54,"Chiffre d'affaires MGA")</x:f>
        <x:v>6497377286.4</x:v>
      </x:c>
      <x:c r="K5" s="48"/>
      <x:c r="L5" s="48"/>
      <x:c r="M5" s="94" t="n">
        <x:f>SUMIFS($S$10:$S$54,$A$10:$A$54,"Chine",$E$10:$E$54,"Chiffre d'affaires MGA")</x:f>
        <x:v>6641143552.8</x:v>
      </x:c>
      <x:c r="N5" s="48"/>
      <x:c r="O5" s="48"/>
      <x:c r="P5" s="48" t="str">
        <x:v>3 pays • JPY / USD</x:v>
      </x:c>
      <x:c r="Q5" s="48"/>
      <x:c r="R5" s="48"/>
      <x:c r="S5" s="48"/>
    </x:row>
    <x:row r="6">
      <x:c r="A6"/>
      <x:c r="B6"/>
      <x:c r="C6"/>
      <x:c r="D6"/>
      <x:c r="E6"/>
      <x:c r="F6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 ht="22" customHeight="1">
      <x:c r="A7" s="53" t="str">
        <x:v>DÉTAIL MENSUEL DES EXPORTATIONS PAR MARCHÉ, REPRÉSENTANT ET PRODUIT</x:v>
      </x:c>
      <x:c r="B7" s="53"/>
      <x:c r="C7" s="53"/>
      <x:c r="D7" s="53"/>
      <x:c r="E7" s="53"/>
      <x:c r="F7" s="53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>
      <x:c r="A8"/>
      <x:c r="B8"/>
      <x:c r="C8"/>
      <x:c r="D8"/>
      <x:c r="E8"/>
      <x:c r="F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 ht="34" customHeight="1">
      <x:c r="A9" s="63" t="str">
        <x:v>Pays</x:v>
      </x:c>
      <x:c r="B9" s="63" t="str">
        <x:v>Entité représentatrice</x:v>
      </x:c>
      <x:c r="C9" s="63" t="str">
        <x:v>Produit</x:v>
      </x:c>
      <x:c r="D9" s="63" t="str">
        <x:v>Devise</x:v>
      </x:c>
      <x:c r="E9" s="63" t="str">
        <x:v>Indicateur</x:v>
      </x:c>
      <x:c r="F9" s="63" t="str">
        <x:v>Unité</x:v>
      </x:c>
      <x:c r="G9" s="110" t="str">
        <x:v>Janvier</x:v>
      </x:c>
      <x:c r="H9" s="110" t="str">
        <x:v>Février</x:v>
      </x:c>
      <x:c r="I9" s="110" t="str">
        <x:v>Mars</x:v>
      </x:c>
      <x:c r="J9" s="110" t="str">
        <x:v>Avril</x:v>
      </x:c>
      <x:c r="K9" s="110" t="str">
        <x:v>Mai</x:v>
      </x:c>
      <x:c r="L9" s="110" t="str">
        <x:v>Juin</x:v>
      </x:c>
      <x:c r="M9" s="110" t="str">
        <x:v>Juillet</x:v>
      </x:c>
      <x:c r="N9" s="110" t="str">
        <x:v>Août</x:v>
      </x:c>
      <x:c r="O9" s="110" t="str">
        <x:v>Septembre</x:v>
      </x:c>
      <x:c r="P9" s="110" t="str">
        <x:v>Octobre</x:v>
      </x:c>
      <x:c r="Q9" s="110" t="str">
        <x:v>Novembre</x:v>
      </x:c>
      <x:c r="R9" s="110" t="str">
        <x:v>Décembre</x:v>
      </x:c>
      <x:c r="S9" s="110" t="str">
        <x:v>Total annuel</x:v>
      </x:c>
    </x:row>
    <x:row r="10">
      <x:c r="A10" s="95" t="str">
        <x:v>Japon</x:v>
      </x:c>
      <x:c r="B10" s="95" t="str">
        <x:v>GOODEIS</x:v>
      </x:c>
      <x:c r="C10" s="96" t="str">
        <x:v>ABR COUPE</x:v>
      </x:c>
      <x:c r="D10" s="96" t="str">
        <x:v>JPY</x:v>
      </x:c>
      <x:c r="E10" s="96" t="str">
        <x:v>Quantité exportée</x:v>
      </x:c>
      <x:c r="F10" s="96" t="str">
        <x:v>tonnes</x:v>
      </x:c>
      <x:c r="G10" s="111" t="n">
        <x:v>22.41</x:v>
      </x:c>
      <x:c r="H10" s="111" t="n">
        <x:v>28.3</x:v>
      </x:c>
      <x:c r="I10" s="111" t="n">
        <x:v>24.78</x:v>
      </x:c>
      <x:c r="J10" s="111" t="n">
        <x:v>21.55</x:v>
      </x:c>
      <x:c r="K10" s="111" t="n">
        <x:v>18.77</x:v>
      </x:c>
      <x:c r="L10" s="111" t="n">
        <x:v>25.31</x:v>
      </x:c>
      <x:c r="M10" s="111" t="n">
        <x:v>22.15</x:v>
      </x:c>
      <x:c r="N10" s="111" t="n">
        <x:v>24.34</x:v>
      </x:c>
      <x:c r="O10" s="111" t="n">
        <x:v>21.74</x:v>
      </x:c>
      <x:c r="P10" s="111" t="n">
        <x:v>18.72</x:v>
      </x:c>
      <x:c r="Q10" s="111" t="n">
        <x:v>16.84</x:v>
      </x:c>
      <x:c r="R10" s="111" t="n">
        <x:v>23.34</x:v>
      </x:c>
      <x:c r="S10" s="111" t="n">
        <x:v>268.25</x:v>
      </x:c>
    </x:row>
    <x:row r="11">
      <x:c r="A11" s="97" t="str">
        <x:v>Japon</x:v>
      </x:c>
      <x:c r="B11" s="97" t="str">
        <x:v>GOODEIS</x:v>
      </x:c>
      <x:c r="C11" s="98" t="str">
        <x:v>ABR COUPE</x:v>
      </x:c>
      <x:c r="D11" s="98" t="str">
        <x:v>JPY</x:v>
      </x:c>
      <x:c r="E11" s="98" t="str">
        <x:v>Chiffre d'affaires devise</x:v>
      </x:c>
      <x:c r="F11" s="98" t="str">
        <x:v>JPY</x:v>
      </x:c>
      <x:c r="G11" s="112" t="n">
        <x:v>4249496.25</x:v>
      </x:c>
      <x:c r="H11" s="112" t="n">
        <x:v>5366387.5</x:v>
      </x:c>
      <x:c r="I11" s="112" t="n">
        <x:v>4698907.5</x:v>
      </x:c>
      <x:c r="J11" s="112" t="n">
        <x:v>4086418.75</x:v>
      </x:c>
      <x:c r="K11" s="112" t="n">
        <x:v>3559261.25</x:v>
      </x:c>
      <x:c r="L11" s="112" t="n">
        <x:v>4799408.75</x:v>
      </x:c>
      <x:c r="M11" s="112" t="n">
        <x:v>4200193.75</x:v>
      </x:c>
      <x:c r="N11" s="112" t="n">
        <x:v>4615472.5</x:v>
      </x:c>
      <x:c r="O11" s="112" t="n">
        <x:v>4122447.5</x:v>
      </x:c>
      <x:c r="P11" s="112" t="n">
        <x:v>3549780</x:v>
      </x:c>
      <x:c r="Q11" s="112" t="n">
        <x:v>3193285</x:v>
      </x:c>
      <x:c r="R11" s="112" t="n">
        <x:v>4425847.5</x:v>
      </x:c>
      <x:c r="S11" s="112" t="n">
        <x:v>50866906.25</x:v>
      </x:c>
    </x:row>
    <x:row r="12">
      <x:c r="A12" s="99" t="str">
        <x:v>Japon</x:v>
      </x:c>
      <x:c r="B12" s="99" t="str">
        <x:v>GOODEIS</x:v>
      </x:c>
      <x:c r="C12" s="99" t="str">
        <x:v>ABR COUPE</x:v>
      </x:c>
      <x:c r="D12" s="99" t="str">
        <x:v>JPY</x:v>
      </x:c>
      <x:c r="E12" s="99" t="str">
        <x:v>Chiffre d'affaires MGA</x:v>
      </x:c>
      <x:c r="F12" s="99" t="str">
        <x:v>MGA</x:v>
      </x:c>
      <x:c r="G12" s="113" t="n">
        <x:f>IF($D12="USD",G11*'Donnees SOMIDA'!$B$5,IF($D12="JPY",G11*'Donnees SOMIDA'!$B$6,0))</x:f>
        <x:v>132584283</x:v>
      </x:c>
      <x:c r="H12" s="113" t="n">
        <x:f>IF($D12="USD",H11*'Donnees SOMIDA'!$B$5,IF($D12="JPY",H11*'Donnees SOMIDA'!$B$6,0))</x:f>
        <x:v>167431290</x:v>
      </x:c>
      <x:c r="I12" s="113" t="n">
        <x:f>IF($D12="USD",I11*'Donnees SOMIDA'!$B$5,IF($D12="JPY",I11*'Donnees SOMIDA'!$B$6,0))</x:f>
        <x:v>146605914</x:v>
      </x:c>
      <x:c r="J12" s="113" t="n">
        <x:f>IF($D12="USD",J11*'Donnees SOMIDA'!$B$5,IF($D12="JPY",J11*'Donnees SOMIDA'!$B$6,0))</x:f>
        <x:v>127496265</x:v>
      </x:c>
      <x:c r="K12" s="113" t="n">
        <x:f>IF($D12="USD",K11*'Donnees SOMIDA'!$B$5,IF($D12="JPY",K11*'Donnees SOMIDA'!$B$6,0))</x:f>
        <x:v>111048951</x:v>
      </x:c>
      <x:c r="L12" s="113" t="n">
        <x:f>IF($D12="USD",L11*'Donnees SOMIDA'!$B$5,IF($D12="JPY",L11*'Donnees SOMIDA'!$B$6,0))</x:f>
        <x:v>149741553</x:v>
      </x:c>
      <x:c r="M12" s="113" t="n">
        <x:f>IF($D12="USD",M11*'Donnees SOMIDA'!$B$5,IF($D12="JPY",M11*'Donnees SOMIDA'!$B$6,0))</x:f>
        <x:v>131046045</x:v>
      </x:c>
      <x:c r="N12" s="113" t="n">
        <x:f>IF($D12="USD",N11*'Donnees SOMIDA'!$B$5,IF($D12="JPY",N11*'Donnees SOMIDA'!$B$6,0))</x:f>
        <x:v>144002742</x:v>
      </x:c>
      <x:c r="O12" s="113" t="n">
        <x:f>IF($D12="USD",O11*'Donnees SOMIDA'!$B$5,IF($D12="JPY",O11*'Donnees SOMIDA'!$B$6,0))</x:f>
        <x:v>128620362</x:v>
      </x:c>
      <x:c r="P12" s="113" t="n">
        <x:f>IF($D12="USD",P11*'Donnees SOMIDA'!$B$5,IF($D12="JPY",P11*'Donnees SOMIDA'!$B$6,0))</x:f>
        <x:v>110753136</x:v>
      </x:c>
      <x:c r="Q12" s="113" t="n">
        <x:f>IF($D12="USD",Q11*'Donnees SOMIDA'!$B$5,IF($D12="JPY",Q11*'Donnees SOMIDA'!$B$6,0))</x:f>
        <x:v>99630492</x:v>
      </x:c>
      <x:c r="R12" s="113" t="n">
        <x:f>IF($D12="USD",R11*'Donnees SOMIDA'!$B$5,IF($D12="JPY",R11*'Donnees SOMIDA'!$B$6,0))</x:f>
        <x:v>138086442</x:v>
      </x:c>
      <x:c r="S12" s="113" t="n">
        <x:f>SUM(G12:R12)</x:f>
        <x:v>1587047475</x:v>
      </x:c>
    </x:row>
    <x:row r="13">
      <x:c r="A13" s="97" t="str">
        <x:v>Japon</x:v>
      </x:c>
      <x:c r="B13" s="97" t="str">
        <x:v>GOODEIS</x:v>
      </x:c>
      <x:c r="C13" s="98" t="str">
        <x:v>FP1 COUPE</x:v>
      </x:c>
      <x:c r="D13" s="98" t="str">
        <x:v>JPY</x:v>
      </x:c>
      <x:c r="E13" s="98" t="str">
        <x:v>Quantité exportée</x:v>
      </x:c>
      <x:c r="F13" s="98" t="str">
        <x:v>tonnes</x:v>
      </x:c>
      <x:c r="G13" s="112" t="n">
        <x:v>13.27</x:v>
      </x:c>
      <x:c r="H13" s="112" t="n">
        <x:v>15.75</x:v>
      </x:c>
      <x:c r="I13" s="112" t="n">
        <x:v>14.4</x:v>
      </x:c>
      <x:c r="J13" s="112" t="n">
        <x:v>18.43</x:v>
      </x:c>
      <x:c r="K13" s="112" t="n">
        <x:v>19.53</x:v>
      </x:c>
      <x:c r="L13" s="112" t="n">
        <x:v>21.47</x:v>
      </x:c>
      <x:c r="M13" s="112" t="n">
        <x:v>17.97</x:v>
      </x:c>
      <x:c r="N13" s="112" t="n">
        <x:v>15.96</x:v>
      </x:c>
      <x:c r="O13" s="112" t="n">
        <x:v>20.4</x:v>
      </x:c>
      <x:c r="P13" s="112" t="n">
        <x:v>15.48</x:v>
      </x:c>
      <x:c r="Q13" s="112" t="n">
        <x:v>15.39</x:v>
      </x:c>
      <x:c r="R13" s="112" t="n">
        <x:v>22.27</x:v>
      </x:c>
      <x:c r="S13" s="112" t="n">
        <x:v>210.32</x:v>
      </x:c>
    </x:row>
    <x:row r="14">
      <x:c r="A14" s="97" t="str">
        <x:v>Japon</x:v>
      </x:c>
      <x:c r="B14" s="97" t="str">
        <x:v>GOODEIS</x:v>
      </x:c>
      <x:c r="C14" s="98" t="str">
        <x:v>FP1 COUPE</x:v>
      </x:c>
      <x:c r="D14" s="98" t="str">
        <x:v>JPY</x:v>
      </x:c>
      <x:c r="E14" s="98" t="str">
        <x:v>Chiffre d'affaires devise</x:v>
      </x:c>
      <x:c r="F14" s="98" t="str">
        <x:v>JPY</x:v>
      </x:c>
      <x:c r="G14" s="112" t="n">
        <x:v>2325899.25</x:v>
      </x:c>
      <x:c r="H14" s="112" t="n">
        <x:v>2760581.25</x:v>
      </x:c>
      <x:c r="I14" s="112" t="n">
        <x:v>2523960</x:v>
      </x:c>
      <x:c r="J14" s="112" t="n">
        <x:v>3230318.25</x:v>
      </x:c>
      <x:c r="K14" s="112" t="n">
        <x:v>3423120.75</x:v>
      </x:c>
      <x:c r="L14" s="112" t="n">
        <x:v>3763154.25</x:v>
      </x:c>
      <x:c r="M14" s="112" t="n">
        <x:v>3149691.75</x:v>
      </x:c>
      <x:c r="N14" s="112" t="n">
        <x:v>2797389</x:v>
      </x:c>
      <x:c r="O14" s="112" t="n">
        <x:v>3575610</x:v>
      </x:c>
      <x:c r="P14" s="112" t="n">
        <x:v>2713257</x:v>
      </x:c>
      <x:c r="Q14" s="112" t="n">
        <x:v>2697482.25</x:v>
      </x:c>
      <x:c r="R14" s="112" t="n">
        <x:v>3903374.25</x:v>
      </x:c>
      <x:c r="S14" s="112" t="n">
        <x:v>36863838</x:v>
      </x:c>
    </x:row>
    <x:row r="15">
      <x:c r="A15" s="99" t="str">
        <x:v>Japon</x:v>
      </x:c>
      <x:c r="B15" s="99" t="str">
        <x:v>GOODEIS</x:v>
      </x:c>
      <x:c r="C15" s="99" t="str">
        <x:v>FP1 COUPE</x:v>
      </x:c>
      <x:c r="D15" s="99" t="str">
        <x:v>JPY</x:v>
      </x:c>
      <x:c r="E15" s="99" t="str">
        <x:v>Chiffre d'affaires MGA</x:v>
      </x:c>
      <x:c r="F15" s="99" t="str">
        <x:v>MGA</x:v>
      </x:c>
      <x:c r="G15" s="113" t="n">
        <x:f>IF($D15="USD",G14*'Donnees SOMIDA'!$B$5,IF($D15="JPY",G14*'Donnees SOMIDA'!$B$6,0))</x:f>
        <x:v>72568056.6</x:v>
      </x:c>
      <x:c r="H15" s="113" t="n">
        <x:f>IF($D15="USD",H14*'Donnees SOMIDA'!$B$5,IF($D15="JPY",H14*'Donnees SOMIDA'!$B$6,0))</x:f>
        <x:v>86130135</x:v>
      </x:c>
      <x:c r="I15" s="113" t="n">
        <x:f>IF($D15="USD",I14*'Donnees SOMIDA'!$B$5,IF($D15="JPY",I14*'Donnees SOMIDA'!$B$6,0))</x:f>
        <x:v>78747552</x:v>
      </x:c>
      <x:c r="J15" s="113" t="n">
        <x:f>IF($D15="USD",J14*'Donnees SOMIDA'!$B$5,IF($D15="JPY",J14*'Donnees SOMIDA'!$B$6,0))</x:f>
        <x:v>100785929.39999999</x:v>
      </x:c>
      <x:c r="K15" s="113" t="n">
        <x:f>IF($D15="USD",K14*'Donnees SOMIDA'!$B$5,IF($D15="JPY",K14*'Donnees SOMIDA'!$B$6,0))</x:f>
        <x:v>106801367.39999999</x:v>
      </x:c>
      <x:c r="L15" s="113" t="n">
        <x:f>IF($D15="USD",L14*'Donnees SOMIDA'!$B$5,IF($D15="JPY",L14*'Donnees SOMIDA'!$B$6,0))</x:f>
        <x:v>117410412.6</x:v>
      </x:c>
      <x:c r="M15" s="113" t="n">
        <x:f>IF($D15="USD",M14*'Donnees SOMIDA'!$B$5,IF($D15="JPY",M14*'Donnees SOMIDA'!$B$6,0))</x:f>
        <x:v>98270382.6</x:v>
      </x:c>
      <x:c r="N15" s="113" t="n">
        <x:f>IF($D15="USD",N14*'Donnees SOMIDA'!$B$5,IF($D15="JPY",N14*'Donnees SOMIDA'!$B$6,0))</x:f>
        <x:v>87278536.8</x:v>
      </x:c>
      <x:c r="O15" s="113" t="n">
        <x:f>IF($D15="USD",O14*'Donnees SOMIDA'!$B$5,IF($D15="JPY",O14*'Donnees SOMIDA'!$B$6,0))</x:f>
        <x:v>111559032</x:v>
      </x:c>
      <x:c r="P15" s="113" t="n">
        <x:f>IF($D15="USD",P14*'Donnees SOMIDA'!$B$5,IF($D15="JPY",P14*'Donnees SOMIDA'!$B$6,0))</x:f>
        <x:v>84653618.39999999</x:v>
      </x:c>
      <x:c r="Q15" s="113" t="n">
        <x:f>IF($D15="USD",Q14*'Donnees SOMIDA'!$B$5,IF($D15="JPY",Q14*'Donnees SOMIDA'!$B$6,0))</x:f>
        <x:v>84161446.2</x:v>
      </x:c>
      <x:c r="R15" s="113" t="n">
        <x:f>IF($D15="USD",R14*'Donnees SOMIDA'!$B$5,IF($D15="JPY",R14*'Donnees SOMIDA'!$B$6,0))</x:f>
        <x:v>121785276.6</x:v>
      </x:c>
      <x:c r="S15" s="113" t="n">
        <x:f>SUM(G15:R15)</x:f>
        <x:v>1150151745.6</x:v>
      </x:c>
    </x:row>
    <x:row r="16">
      <x:c r="A16" s="97" t="str">
        <x:v>Japon</x:v>
      </x:c>
      <x:c r="B16" s="97" t="str">
        <x:v>GOODEIS</x:v>
      </x:c>
      <x:c r="C16" s="98" t="str">
        <x:v>FP2 COUPE</x:v>
      </x:c>
      <x:c r="D16" s="98" t="str">
        <x:v>JPY</x:v>
      </x:c>
      <x:c r="E16" s="98" t="str">
        <x:v>Quantité exportée</x:v>
      </x:c>
      <x:c r="F16" s="98" t="str">
        <x:v>tonnes</x:v>
      </x:c>
      <x:c r="G16" s="112" t="n">
        <x:v>12.09</x:v>
      </x:c>
      <x:c r="H16" s="112" t="n">
        <x:v>13.7</x:v>
      </x:c>
      <x:c r="I16" s="112" t="n">
        <x:v>16.46</x:v>
      </x:c>
      <x:c r="J16" s="112" t="n">
        <x:v>16.65</x:v>
      </x:c>
      <x:c r="K16" s="112" t="n">
        <x:v>14.16</x:v>
      </x:c>
      <x:c r="L16" s="112" t="n">
        <x:v>13.79</x:v>
      </x:c>
      <x:c r="M16" s="112" t="n">
        <x:v>19.3</x:v>
      </x:c>
      <x:c r="N16" s="112" t="n">
        <x:v>12.74</x:v>
      </x:c>
      <x:c r="O16" s="112" t="n">
        <x:v>13.86</x:v>
      </x:c>
      <x:c r="P16" s="112" t="n">
        <x:v>15.49</x:v>
      </x:c>
      <x:c r="Q16" s="112" t="n">
        <x:v>17.11</x:v>
      </x:c>
      <x:c r="R16" s="112" t="n">
        <x:v>14.13</x:v>
      </x:c>
      <x:c r="S16" s="112" t="n">
        <x:v>179.48</x:v>
      </x:c>
    </x:row>
    <x:row r="17">
      <x:c r="A17" s="97" t="str">
        <x:v>Japon</x:v>
      </x:c>
      <x:c r="B17" s="97" t="str">
        <x:v>GOODEIS</x:v>
      </x:c>
      <x:c r="C17" s="98" t="str">
        <x:v>FP2 COUPE</x:v>
      </x:c>
      <x:c r="D17" s="98" t="str">
        <x:v>JPY</x:v>
      </x:c>
      <x:c r="E17" s="98" t="str">
        <x:v>Chiffre d'affaires devise</x:v>
      </x:c>
      <x:c r="F17" s="98" t="str">
        <x:v>JPY</x:v>
      </x:c>
      <x:c r="G17" s="112" t="n">
        <x:v>2044721.25</x:v>
      </x:c>
      <x:c r="H17" s="112" t="n">
        <x:v>2317012.5</x:v>
      </x:c>
      <x:c r="I17" s="112" t="n">
        <x:v>2783797.5</x:v>
      </x:c>
      <x:c r="J17" s="112" t="n">
        <x:v>2815931.25</x:v>
      </x:c>
      <x:c r="K17" s="112" t="n">
        <x:v>2394810</x:v>
      </x:c>
      <x:c r="L17" s="112" t="n">
        <x:v>2332233.75</x:v>
      </x:c>
      <x:c r="M17" s="112" t="n">
        <x:v>3264112.5</x:v>
      </x:c>
      <x:c r="N17" s="112" t="n">
        <x:v>2154652.5</x:v>
      </x:c>
      <x:c r="O17" s="112" t="n">
        <x:v>2344072.5</x:v>
      </x:c>
      <x:c r="P17" s="112" t="n">
        <x:v>2619746.25</x:v>
      </x:c>
      <x:c r="Q17" s="112" t="n">
        <x:v>2893728.75</x:v>
      </x:c>
      <x:c r="R17" s="112" t="n">
        <x:v>2389736.25</x:v>
      </x:c>
      <x:c r="S17" s="112" t="n">
        <x:v>30354555</x:v>
      </x:c>
    </x:row>
    <x:row r="18">
      <x:c r="A18" s="99" t="str">
        <x:v>Japon</x:v>
      </x:c>
      <x:c r="B18" s="99" t="str">
        <x:v>GOODEIS</x:v>
      </x:c>
      <x:c r="C18" s="99" t="str">
        <x:v>FP2 COUPE</x:v>
      </x:c>
      <x:c r="D18" s="99" t="str">
        <x:v>JPY</x:v>
      </x:c>
      <x:c r="E18" s="99" t="str">
        <x:v>Chiffre d'affaires MGA</x:v>
      </x:c>
      <x:c r="F18" s="99" t="str">
        <x:v>MGA</x:v>
      </x:c>
      <x:c r="G18" s="113" t="n">
        <x:f>IF($D18="USD",G17*'Donnees SOMIDA'!$B$5,IF($D18="JPY",G17*'Donnees SOMIDA'!$B$6,0))</x:f>
        <x:v>63795303</x:v>
      </x:c>
      <x:c r="H18" s="113" t="n">
        <x:f>IF($D18="USD",H17*'Donnees SOMIDA'!$B$5,IF($D18="JPY",H17*'Donnees SOMIDA'!$B$6,0))</x:f>
        <x:v>72290790</x:v>
      </x:c>
      <x:c r="I18" s="113" t="n">
        <x:f>IF($D18="USD",I17*'Donnees SOMIDA'!$B$5,IF($D18="JPY",I17*'Donnees SOMIDA'!$B$6,0))</x:f>
        <x:v>86854482</x:v>
      </x:c>
      <x:c r="J18" s="113" t="n">
        <x:f>IF($D18="USD",J17*'Donnees SOMIDA'!$B$5,IF($D18="JPY",J17*'Donnees SOMIDA'!$B$6,0))</x:f>
        <x:v>87857055</x:v>
      </x:c>
      <x:c r="K18" s="113" t="n">
        <x:f>IF($D18="USD",K17*'Donnees SOMIDA'!$B$5,IF($D18="JPY",K17*'Donnees SOMIDA'!$B$6,0))</x:f>
        <x:v>74718072</x:v>
      </x:c>
      <x:c r="L18" s="113" t="n">
        <x:f>IF($D18="USD",L17*'Donnees SOMIDA'!$B$5,IF($D18="JPY",L17*'Donnees SOMIDA'!$B$6,0))</x:f>
        <x:v>72765693</x:v>
      </x:c>
      <x:c r="M18" s="113" t="n">
        <x:f>IF($D18="USD",M17*'Donnees SOMIDA'!$B$5,IF($D18="JPY",M17*'Donnees SOMIDA'!$B$6,0))</x:f>
        <x:v>101840310</x:v>
      </x:c>
      <x:c r="N18" s="113" t="n">
        <x:f>IF($D18="USD",N17*'Donnees SOMIDA'!$B$5,IF($D18="JPY",N17*'Donnees SOMIDA'!$B$6,0))</x:f>
        <x:v>67225158</x:v>
      </x:c>
      <x:c r="O18" s="113" t="n">
        <x:f>IF($D18="USD",O17*'Donnees SOMIDA'!$B$5,IF($D18="JPY",O17*'Donnees SOMIDA'!$B$6,0))</x:f>
        <x:v>73135062</x:v>
      </x:c>
      <x:c r="P18" s="113" t="n">
        <x:f>IF($D18="USD",P17*'Donnees SOMIDA'!$B$5,IF($D18="JPY",P17*'Donnees SOMIDA'!$B$6,0))</x:f>
        <x:v>81736083</x:v>
      </x:c>
      <x:c r="Q18" s="113" t="n">
        <x:f>IF($D18="USD",Q17*'Donnees SOMIDA'!$B$5,IF($D18="JPY",Q17*'Donnees SOMIDA'!$B$6,0))</x:f>
        <x:v>90284337</x:v>
      </x:c>
      <x:c r="R18" s="113" t="n">
        <x:f>IF($D18="USD",R17*'Donnees SOMIDA'!$B$5,IF($D18="JPY",R17*'Donnees SOMIDA'!$B$6,0))</x:f>
        <x:v>74559771</x:v>
      </x:c>
      <x:c r="S18" s="113" t="n">
        <x:f>SUM(G18:R18)</x:f>
        <x:v>947062116</x:v>
      </x:c>
    </x:row>
    <x:row r="19">
      <x:c r="A19" s="97" t="str">
        <x:v>Japon</x:v>
      </x:c>
      <x:c r="B19" s="97" t="str">
        <x:v>GOODEIS</x:v>
      </x:c>
      <x:c r="C19" s="98" t="str">
        <x:v>TRA</x:v>
      </x:c>
      <x:c r="D19" s="98" t="str">
        <x:v>JPY</x:v>
      </x:c>
      <x:c r="E19" s="98" t="str">
        <x:v>Quantité exportée</x:v>
      </x:c>
      <x:c r="F19" s="98" t="str">
        <x:v>tonnes</x:v>
      </x:c>
      <x:c r="G19" s="112" t="n">
        <x:v>22.11</x:v>
      </x:c>
      <x:c r="H19" s="112" t="n">
        <x:v>25.16</x:v>
      </x:c>
      <x:c r="I19" s="112" t="n">
        <x:v>15.73</x:v>
      </x:c>
      <x:c r="J19" s="112" t="n">
        <x:v>24.26</x:v>
      </x:c>
      <x:c r="K19" s="112" t="n">
        <x:v>16.84</x:v>
      </x:c>
      <x:c r="L19" s="112" t="n">
        <x:v>24.37</x:v>
      </x:c>
      <x:c r="M19" s="112" t="n">
        <x:v>16.42</x:v>
      </x:c>
      <x:c r="N19" s="112" t="n">
        <x:v>23.72</x:v>
      </x:c>
      <x:c r="O19" s="112" t="n">
        <x:v>25.45</x:v>
      </x:c>
      <x:c r="P19" s="112" t="n">
        <x:v>25.9</x:v>
      </x:c>
      <x:c r="Q19" s="112" t="n">
        <x:v>26.21</x:v>
      </x:c>
      <x:c r="R19" s="112" t="n">
        <x:v>19.78</x:v>
      </x:c>
      <x:c r="S19" s="112" t="n">
        <x:v>265.95</x:v>
      </x:c>
    </x:row>
    <x:row r="20">
      <x:c r="A20" s="97" t="str">
        <x:v>Japon</x:v>
      </x:c>
      <x:c r="B20" s="97" t="str">
        <x:v>GOODEIS</x:v>
      </x:c>
      <x:c r="C20" s="98" t="str">
        <x:v>TRA</x:v>
      </x:c>
      <x:c r="D20" s="98" t="str">
        <x:v>JPY</x:v>
      </x:c>
      <x:c r="E20" s="98" t="str">
        <x:v>Chiffre d'affaires devise</x:v>
      </x:c>
      <x:c r="F20" s="98" t="str">
        <x:v>JPY</x:v>
      </x:c>
      <x:c r="G20" s="112" t="n">
        <x:v>4033969.5</x:v>
      </x:c>
      <x:c r="H20" s="112" t="n">
        <x:v>4590442</x:v>
      </x:c>
      <x:c r="I20" s="112" t="n">
        <x:v>2869938.5</x:v>
      </x:c>
      <x:c r="J20" s="112" t="n">
        <x:v>4426237</x:v>
      </x:c>
      <x:c r="K20" s="112" t="n">
        <x:v>3072458</x:v>
      </x:c>
      <x:c r="L20" s="112" t="n">
        <x:v>4446306.5</x:v>
      </x:c>
      <x:c r="M20" s="112" t="n">
        <x:v>2995829</x:v>
      </x:c>
      <x:c r="N20" s="112" t="n">
        <x:v>4327714</x:v>
      </x:c>
      <x:c r="O20" s="112" t="n">
        <x:v>4643352.5</x:v>
      </x:c>
      <x:c r="P20" s="112" t="n">
        <x:v>4725455</x:v>
      </x:c>
      <x:c r="Q20" s="112" t="n">
        <x:v>4782014.5</x:v>
      </x:c>
      <x:c r="R20" s="112" t="n">
        <x:v>3608861</x:v>
      </x:c>
      <x:c r="S20" s="112" t="n">
        <x:v>48522577.5</x:v>
      </x:c>
    </x:row>
    <x:row r="21">
      <x:c r="A21" s="99" t="str">
        <x:v>Japon</x:v>
      </x:c>
      <x:c r="B21" s="99" t="str">
        <x:v>GOODEIS</x:v>
      </x:c>
      <x:c r="C21" s="99" t="str">
        <x:v>TRA</x:v>
      </x:c>
      <x:c r="D21" s="99" t="str">
        <x:v>JPY</x:v>
      </x:c>
      <x:c r="E21" s="99" t="str">
        <x:v>Chiffre d'affaires MGA</x:v>
      </x:c>
      <x:c r="F21" s="99" t="str">
        <x:v>MGA</x:v>
      </x:c>
      <x:c r="G21" s="113" t="n">
        <x:f>IF($D21="USD",G20*'Donnees SOMIDA'!$B$5,IF($D21="JPY",G20*'Donnees SOMIDA'!$B$6,0))</x:f>
        <x:v>125859848.39999999</x:v>
      </x:c>
      <x:c r="H21" s="113" t="n">
        <x:f>IF($D21="USD",H20*'Donnees SOMIDA'!$B$5,IF($D21="JPY",H20*'Donnees SOMIDA'!$B$6,0))</x:f>
        <x:v>143221790.4</x:v>
      </x:c>
      <x:c r="I21" s="113" t="n">
        <x:f>IF($D21="USD",I20*'Donnees SOMIDA'!$B$5,IF($D21="JPY",I20*'Donnees SOMIDA'!$B$6,0))</x:f>
        <x:v>89542081.2</x:v>
      </x:c>
      <x:c r="J21" s="113" t="n">
        <x:f>IF($D21="USD",J20*'Donnees SOMIDA'!$B$5,IF($D21="JPY",J20*'Donnees SOMIDA'!$B$6,0))</x:f>
        <x:v>138098594.4</x:v>
      </x:c>
      <x:c r="K21" s="113" t="n">
        <x:f>IF($D21="USD",K20*'Donnees SOMIDA'!$B$5,IF($D21="JPY",K20*'Donnees SOMIDA'!$B$6,0))</x:f>
        <x:v>95860689.6</x:v>
      </x:c>
      <x:c r="L21" s="113" t="n">
        <x:f>IF($D21="USD",L20*'Donnees SOMIDA'!$B$5,IF($D21="JPY",L20*'Donnees SOMIDA'!$B$6,0))</x:f>
        <x:v>138724762.79999998</x:v>
      </x:c>
      <x:c r="M21" s="113" t="n">
        <x:f>IF($D21="USD",M20*'Donnees SOMIDA'!$B$5,IF($D21="JPY",M20*'Donnees SOMIDA'!$B$6,0))</x:f>
        <x:v>93469864.8</x:v>
      </x:c>
      <x:c r="N21" s="113" t="n">
        <x:f>IF($D21="USD",N20*'Donnees SOMIDA'!$B$5,IF($D21="JPY",N20*'Donnees SOMIDA'!$B$6,0))</x:f>
        <x:v>135024676.79999998</x:v>
      </x:c>
      <x:c r="O21" s="113" t="n">
        <x:f>IF($D21="USD",O20*'Donnees SOMIDA'!$B$5,IF($D21="JPY",O20*'Donnees SOMIDA'!$B$6,0))</x:f>
        <x:v>144872598</x:v>
      </x:c>
      <x:c r="P21" s="113" t="n">
        <x:f>IF($D21="USD",P20*'Donnees SOMIDA'!$B$5,IF($D21="JPY",P20*'Donnees SOMIDA'!$B$6,0))</x:f>
        <x:v>147434196</x:v>
      </x:c>
      <x:c r="Q21" s="113" t="n">
        <x:f>IF($D21="USD",Q20*'Donnees SOMIDA'!$B$5,IF($D21="JPY",Q20*'Donnees SOMIDA'!$B$6,0))</x:f>
        <x:v>149198852.4</x:v>
      </x:c>
      <x:c r="R21" s="113" t="n">
        <x:f>IF($D21="USD",R20*'Donnees SOMIDA'!$B$5,IF($D21="JPY",R20*'Donnees SOMIDA'!$B$6,0))</x:f>
        <x:v>112596463.2</x:v>
      </x:c>
      <x:c r="S21" s="113" t="n">
        <x:f>SUM(G21:R21)</x:f>
        <x:v>1513904418</x:v>
      </x:c>
    </x:row>
    <x:row r="22">
      <x:c r="A22" s="97" t="str">
        <x:v>Japon</x:v>
      </x:c>
      <x:c r="B22" s="97" t="str">
        <x:v>GOODEIS</x:v>
      </x:c>
      <x:c r="C22" s="98" t="str">
        <x:v>BSA</x:v>
      </x:c>
      <x:c r="D22" s="98" t="str">
        <x:v>JPY</x:v>
      </x:c>
      <x:c r="E22" s="98" t="str">
        <x:v>Quantité exportée</x:v>
      </x:c>
      <x:c r="F22" s="98" t="str">
        <x:v>tonnes</x:v>
      </x:c>
      <x:c r="G22" s="112" t="n">
        <x:v>10.39</x:v>
      </x:c>
      <x:c r="H22" s="112" t="n">
        <x:v>15</x:v>
      </x:c>
      <x:c r="I22" s="112" t="n">
        <x:v>14.81</x:v>
      </x:c>
      <x:c r="J22" s="112" t="n">
        <x:v>9.93</x:v>
      </x:c>
      <x:c r="K22" s="112" t="n">
        <x:v>9.78</x:v>
      </x:c>
      <x:c r="L22" s="112" t="n">
        <x:v>9.74</x:v>
      </x:c>
      <x:c r="M22" s="112" t="n">
        <x:v>11.15</x:v>
      </x:c>
      <x:c r="N22" s="112" t="n">
        <x:v>9.78</x:v>
      </x:c>
      <x:c r="O22" s="112" t="n">
        <x:v>12.8</x:v>
      </x:c>
      <x:c r="P22" s="112" t="n">
        <x:v>9.7</x:v>
      </x:c>
      <x:c r="Q22" s="112" t="n">
        <x:v>10.41</x:v>
      </x:c>
      <x:c r="R22" s="112" t="n">
        <x:v>15.24</x:v>
      </x:c>
      <x:c r="S22" s="112" t="n">
        <x:v>138.73</x:v>
      </x:c>
    </x:row>
    <x:row r="23">
      <x:c r="A23" s="97" t="str">
        <x:v>Japon</x:v>
      </x:c>
      <x:c r="B23" s="97" t="str">
        <x:v>GOODEIS</x:v>
      </x:c>
      <x:c r="C23" s="98" t="str">
        <x:v>BSA</x:v>
      </x:c>
      <x:c r="D23" s="98" t="str">
        <x:v>JPY</x:v>
      </x:c>
      <x:c r="E23" s="98" t="str">
        <x:v>Chiffre d'affaires devise</x:v>
      </x:c>
      <x:c r="F23" s="98" t="str">
        <x:v>JPY</x:v>
      </x:c>
      <x:c r="G23" s="112" t="n">
        <x:v>1650711.25</x:v>
      </x:c>
      <x:c r="H23" s="112" t="n">
        <x:v>2383125</x:v>
      </x:c>
      <x:c r="I23" s="112" t="n">
        <x:v>2352938.75</x:v>
      </x:c>
      <x:c r="J23" s="112" t="n">
        <x:v>1577628.75</x:v>
      </x:c>
      <x:c r="K23" s="112" t="n">
        <x:v>1553797.5</x:v>
      </x:c>
      <x:c r="L23" s="112" t="n">
        <x:v>1547442.5</x:v>
      </x:c>
      <x:c r="M23" s="112" t="n">
        <x:v>1771456.25</x:v>
      </x:c>
      <x:c r="N23" s="112" t="n">
        <x:v>1553797.5</x:v>
      </x:c>
      <x:c r="O23" s="112" t="n">
        <x:v>2033600</x:v>
      </x:c>
      <x:c r="P23" s="112" t="n">
        <x:v>1541087.5</x:v>
      </x:c>
      <x:c r="Q23" s="112" t="n">
        <x:v>1653888.75</x:v>
      </x:c>
      <x:c r="R23" s="112" t="n">
        <x:v>2421255</x:v>
      </x:c>
      <x:c r="S23" s="112" t="n">
        <x:v>22040728.75</x:v>
      </x:c>
    </x:row>
    <x:row r="24">
      <x:c r="A24" s="99" t="str">
        <x:v>Japon</x:v>
      </x:c>
      <x:c r="B24" s="99" t="str">
        <x:v>GOODEIS</x:v>
      </x:c>
      <x:c r="C24" s="99" t="str">
        <x:v>BSA</x:v>
      </x:c>
      <x:c r="D24" s="99" t="str">
        <x:v>JPY</x:v>
      </x:c>
      <x:c r="E24" s="99" t="str">
        <x:v>Chiffre d'affaires MGA</x:v>
      </x:c>
      <x:c r="F24" s="99" t="str">
        <x:v>MGA</x:v>
      </x:c>
      <x:c r="G24" s="113" t="n">
        <x:f>IF($D24="USD",G23*'Donnees SOMIDA'!$B$5,IF($D24="JPY",G23*'Donnees SOMIDA'!$B$6,0))</x:f>
        <x:v>51502191</x:v>
      </x:c>
      <x:c r="H24" s="113" t="n">
        <x:f>IF($D24="USD",H23*'Donnees SOMIDA'!$B$5,IF($D24="JPY",H23*'Donnees SOMIDA'!$B$6,0))</x:f>
        <x:v>74353500</x:v>
      </x:c>
      <x:c r="I24" s="113" t="n">
        <x:f>IF($D24="USD",I23*'Donnees SOMIDA'!$B$5,IF($D24="JPY",I23*'Donnees SOMIDA'!$B$6,0))</x:f>
        <x:v>73411689</x:v>
      </x:c>
      <x:c r="J24" s="113" t="n">
        <x:f>IF($D24="USD",J23*'Donnees SOMIDA'!$B$5,IF($D24="JPY",J23*'Donnees SOMIDA'!$B$6,0))</x:f>
        <x:v>49222017</x:v>
      </x:c>
      <x:c r="K24" s="113" t="n">
        <x:f>IF($D24="USD",K23*'Donnees SOMIDA'!$B$5,IF($D24="JPY",K23*'Donnees SOMIDA'!$B$6,0))</x:f>
        <x:v>48478482</x:v>
      </x:c>
      <x:c r="L24" s="113" t="n">
        <x:f>IF($D24="USD",L23*'Donnees SOMIDA'!$B$5,IF($D24="JPY",L23*'Donnees SOMIDA'!$B$6,0))</x:f>
        <x:v>48280206</x:v>
      </x:c>
      <x:c r="M24" s="113" t="n">
        <x:f>IF($D24="USD",M23*'Donnees SOMIDA'!$B$5,IF($D24="JPY",M23*'Donnees SOMIDA'!$B$6,0))</x:f>
        <x:v>55269435</x:v>
      </x:c>
      <x:c r="N24" s="113" t="n">
        <x:f>IF($D24="USD",N23*'Donnees SOMIDA'!$B$5,IF($D24="JPY",N23*'Donnees SOMIDA'!$B$6,0))</x:f>
        <x:v>48478482</x:v>
      </x:c>
      <x:c r="O24" s="113" t="n">
        <x:f>IF($D24="USD",O23*'Donnees SOMIDA'!$B$5,IF($D24="JPY",O23*'Donnees SOMIDA'!$B$6,0))</x:f>
        <x:v>63448320</x:v>
      </x:c>
      <x:c r="P24" s="113" t="n">
        <x:f>IF($D24="USD",P23*'Donnees SOMIDA'!$B$5,IF($D24="JPY",P23*'Donnees SOMIDA'!$B$6,0))</x:f>
        <x:v>48081930</x:v>
      </x:c>
      <x:c r="Q24" s="113" t="n">
        <x:f>IF($D24="USD",Q23*'Donnees SOMIDA'!$B$5,IF($D24="JPY",Q23*'Donnees SOMIDA'!$B$6,0))</x:f>
        <x:v>51601329</x:v>
      </x:c>
      <x:c r="R24" s="113" t="n">
        <x:f>IF($D24="USD",R23*'Donnees SOMIDA'!$B$5,IF($D24="JPY",R23*'Donnees SOMIDA'!$B$6,0))</x:f>
        <x:v>75543156</x:v>
      </x:c>
      <x:c r="S24" s="113" t="n">
        <x:f>SUM(G24:R24)</x:f>
        <x:v>687670737</x:v>
      </x:c>
    </x:row>
    <x:row r="25">
      <x:c r="A25" s="100" t="str">
        <x:v>Russie</x:v>
      </x:c>
      <x:c r="B25" s="100" t="str">
        <x:v>ELINAR</x:v>
      </x:c>
      <x:c r="C25" s="101" t="str">
        <x:v>ABR COUPE</x:v>
      </x:c>
      <x:c r="D25" s="101" t="str">
        <x:v>USD</x:v>
      </x:c>
      <x:c r="E25" s="101" t="str">
        <x:v>Quantité exportée</x:v>
      </x:c>
      <x:c r="F25" s="101" t="str">
        <x:v>tonnes</x:v>
      </x:c>
      <x:c r="G25" s="114" t="n">
        <x:v>18.72</x:v>
      </x:c>
      <x:c r="H25" s="114" t="n">
        <x:v>21.9</x:v>
      </x:c>
      <x:c r="I25" s="114" t="n">
        <x:v>17.02</x:v>
      </x:c>
      <x:c r="J25" s="114" t="n">
        <x:v>19.51</x:v>
      </x:c>
      <x:c r="K25" s="114" t="n">
        <x:v>22.61</x:v>
      </x:c>
      <x:c r="L25" s="114" t="n">
        <x:v>20.86</x:v>
      </x:c>
      <x:c r="M25" s="114" t="n">
        <x:v>16.7</x:v>
      </x:c>
      <x:c r="N25" s="114" t="n">
        <x:v>21</x:v>
      </x:c>
      <x:c r="O25" s="114" t="n">
        <x:v>26.63</x:v>
      </x:c>
      <x:c r="P25" s="114" t="n">
        <x:v>19.13</x:v>
      </x:c>
      <x:c r="Q25" s="114" t="n">
        <x:v>21.95</x:v>
      </x:c>
      <x:c r="R25" s="114" t="n">
        <x:v>17.73</x:v>
      </x:c>
      <x:c r="S25" s="114" t="n">
        <x:v>243.76</x:v>
      </x:c>
    </x:row>
    <x:row r="26">
      <x:c r="A26" s="102" t="str">
        <x:v>Russie</x:v>
      </x:c>
      <x:c r="B26" s="102" t="str">
        <x:v>ELINAR</x:v>
      </x:c>
      <x:c r="C26" s="103" t="str">
        <x:v>ABR COUPE</x:v>
      </x:c>
      <x:c r="D26" s="103" t="str">
        <x:v>USD</x:v>
      </x:c>
      <x:c r="E26" s="103" t="str">
        <x:v>Chiffre d'affaires devise</x:v>
      </x:c>
      <x:c r="F26" s="103" t="str">
        <x:v>USD</x:v>
      </x:c>
      <x:c r="G26" s="115" t="n">
        <x:v>27822.6</x:v>
      </x:c>
      <x:c r="H26" s="115" t="n">
        <x:v>32548.87</x:v>
      </x:c>
      <x:c r="I26" s="115" t="n">
        <x:v>25295.97</x:v>
      </x:c>
      <x:c r="J26" s="115" t="n">
        <x:v>28996.74</x:v>
      </x:c>
      <x:c r="K26" s="115" t="n">
        <x:v>33604.11</x:v>
      </x:c>
      <x:c r="L26" s="115" t="n">
        <x:v>31003.17</x:v>
      </x:c>
      <x:c r="M26" s="115" t="n">
        <x:v>24820.37</x:v>
      </x:c>
      <x:c r="N26" s="115" t="n">
        <x:v>31211.25</x:v>
      </x:c>
      <x:c r="O26" s="115" t="n">
        <x:v>39578.84</x:v>
      </x:c>
      <x:c r="P26" s="115" t="n">
        <x:v>28431.96</x:v>
      </x:c>
      <x:c r="Q26" s="115" t="n">
        <x:v>32623.19</x:v>
      </x:c>
      <x:c r="R26" s="115" t="n">
        <x:v>26351.21</x:v>
      </x:c>
      <x:c r="S26" s="115" t="n">
        <x:v>362288.27999999997</x:v>
      </x:c>
    </x:row>
    <x:row r="27">
      <x:c r="A27" s="104" t="str">
        <x:v>Russie</x:v>
      </x:c>
      <x:c r="B27" s="104" t="str">
        <x:v>ELINAR</x:v>
      </x:c>
      <x:c r="C27" s="104" t="str">
        <x:v>ABR COUPE</x:v>
      </x:c>
      <x:c r="D27" s="104" t="str">
        <x:v>USD</x:v>
      </x:c>
      <x:c r="E27" s="104" t="str">
        <x:v>Chiffre d'affaires MGA</x:v>
      </x:c>
      <x:c r="F27" s="104" t="str">
        <x:v>MGA</x:v>
      </x:c>
      <x:c r="G27" s="116" t="n">
        <x:f>IF($D27="USD",G26*'Donnees SOMIDA'!$B$5,IF($D27="JPY",G26*'Donnees SOMIDA'!$B$6,0))</x:f>
        <x:v>126871056</x:v>
      </x:c>
      <x:c r="H27" s="116" t="n">
        <x:f>IF($D27="USD",H26*'Donnees SOMIDA'!$B$5,IF($D27="JPY",H26*'Donnees SOMIDA'!$B$6,0))</x:f>
        <x:v>148422847.2</x:v>
      </x:c>
      <x:c r="I27" s="116" t="n">
        <x:f>IF($D27="USD",I26*'Donnees SOMIDA'!$B$5,IF($D27="JPY",I26*'Donnees SOMIDA'!$B$6,0))</x:f>
        <x:v>115349623.2</x:v>
      </x:c>
      <x:c r="J27" s="116" t="n">
        <x:f>IF($D27="USD",J26*'Donnees SOMIDA'!$B$5,IF($D27="JPY",J26*'Donnees SOMIDA'!$B$6,0))</x:f>
        <x:v>132225134.4</x:v>
      </x:c>
      <x:c r="K27" s="116" t="n">
        <x:f>IF($D27="USD",K26*'Donnees SOMIDA'!$B$5,IF($D27="JPY",K26*'Donnees SOMIDA'!$B$6,0))</x:f>
        <x:v>153234741.6</x:v>
      </x:c>
      <x:c r="L27" s="116" t="n">
        <x:f>IF($D27="USD",L26*'Donnees SOMIDA'!$B$5,IF($D27="JPY",L26*'Donnees SOMIDA'!$B$6,0))</x:f>
        <x:v>141374455.2</x:v>
      </x:c>
      <x:c r="M27" s="116" t="n">
        <x:f>IF($D27="USD",M26*'Donnees SOMIDA'!$B$5,IF($D27="JPY",M26*'Donnees SOMIDA'!$B$6,0))</x:f>
        <x:v>113180887.19999999</x:v>
      </x:c>
      <x:c r="N27" s="116" t="n">
        <x:f>IF($D27="USD",N26*'Donnees SOMIDA'!$B$5,IF($D27="JPY",N26*'Donnees SOMIDA'!$B$6,0))</x:f>
        <x:v>142323300</x:v>
      </x:c>
      <x:c r="O27" s="116" t="n">
        <x:f>IF($D27="USD",O26*'Donnees SOMIDA'!$B$5,IF($D27="JPY",O26*'Donnees SOMIDA'!$B$6,0))</x:f>
        <x:v>180479510.39999998</x:v>
      </x:c>
      <x:c r="P27" s="116" t="n">
        <x:f>IF($D27="USD",P26*'Donnees SOMIDA'!$B$5,IF($D27="JPY",P26*'Donnees SOMIDA'!$B$6,0))</x:f>
        <x:v>129649737.6</x:v>
      </x:c>
      <x:c r="Q27" s="116" t="n">
        <x:f>IF($D27="USD",Q26*'Donnees SOMIDA'!$B$5,IF($D27="JPY",Q26*'Donnees SOMIDA'!$B$6,0))</x:f>
        <x:v>148761746.4</x:v>
      </x:c>
      <x:c r="R27" s="116" t="n">
        <x:f>IF($D27="USD",R26*'Donnees SOMIDA'!$B$5,IF($D27="JPY",R26*'Donnees SOMIDA'!$B$6,0))</x:f>
        <x:v>120161517.6</x:v>
      </x:c>
      <x:c r="S27" s="116" t="n">
        <x:f>SUM(G27:R27)</x:f>
        <x:v>1652034556.7999997</x:v>
      </x:c>
    </x:row>
    <x:row r="28">
      <x:c r="A28" s="102" t="str">
        <x:v>Russie</x:v>
      </x:c>
      <x:c r="B28" s="102" t="str">
        <x:v>ELINAR</x:v>
      </x:c>
      <x:c r="C28" s="103" t="str">
        <x:v>FP1 COUPE</x:v>
      </x:c>
      <x:c r="D28" s="103" t="str">
        <x:v>USD</x:v>
      </x:c>
      <x:c r="E28" s="103" t="str">
        <x:v>Quantité exportée</x:v>
      </x:c>
      <x:c r="F28" s="103" t="str">
        <x:v>tonnes</x:v>
      </x:c>
      <x:c r="G28" s="115" t="n">
        <x:v>21.75</x:v>
      </x:c>
      <x:c r="H28" s="115" t="n">
        <x:v>13.94</x:v>
      </x:c>
      <x:c r="I28" s="115" t="n">
        <x:v>20.56</x:v>
      </x:c>
      <x:c r="J28" s="115" t="n">
        <x:v>19.93</x:v>
      </x:c>
      <x:c r="K28" s="115" t="n">
        <x:v>16.28</x:v>
      </x:c>
      <x:c r="L28" s="115" t="n">
        <x:v>16.99</x:v>
      </x:c>
      <x:c r="M28" s="115" t="n">
        <x:v>18.56</x:v>
      </x:c>
      <x:c r="N28" s="115" t="n">
        <x:v>15.39</x:v>
      </x:c>
      <x:c r="O28" s="115" t="n">
        <x:v>13.87</x:v>
      </x:c>
      <x:c r="P28" s="115" t="n">
        <x:v>21.09</x:v>
      </x:c>
      <x:c r="Q28" s="115" t="n">
        <x:v>18.53</x:v>
      </x:c>
      <x:c r="R28" s="115" t="n">
        <x:v>16.59</x:v>
      </x:c>
      <x:c r="S28" s="115" t="n">
        <x:v>213.48</x:v>
      </x:c>
    </x:row>
    <x:row r="29">
      <x:c r="A29" s="102" t="str">
        <x:v>Russie</x:v>
      </x:c>
      <x:c r="B29" s="102" t="str">
        <x:v>ELINAR</x:v>
      </x:c>
      <x:c r="C29" s="103" t="str">
        <x:v>FP1 COUPE</x:v>
      </x:c>
      <x:c r="D29" s="103" t="str">
        <x:v>USD</x:v>
      </x:c>
      <x:c r="E29" s="103" t="str">
        <x:v>Chiffre d'affaires devise</x:v>
      </x:c>
      <x:c r="F29" s="103" t="str">
        <x:v>USD</x:v>
      </x:c>
      <x:c r="G29" s="115" t="n">
        <x:v>29427.75</x:v>
      </x:c>
      <x:c r="H29" s="115" t="n">
        <x:v>18860.82</x:v>
      </x:c>
      <x:c r="I29" s="115" t="n">
        <x:v>27817.68</x:v>
      </x:c>
      <x:c r="J29" s="115" t="n">
        <x:v>26965.29</x:v>
      </x:c>
      <x:c r="K29" s="115" t="n">
        <x:v>22026.84</x:v>
      </x:c>
      <x:c r="L29" s="115" t="n">
        <x:v>22987.47</x:v>
      </x:c>
      <x:c r="M29" s="115" t="n">
        <x:v>25111.68</x:v>
      </x:c>
      <x:c r="N29" s="115" t="n">
        <x:v>20822.67</x:v>
      </x:c>
      <x:c r="O29" s="115" t="n">
        <x:v>18766.11</x:v>
      </x:c>
      <x:c r="P29" s="115" t="n">
        <x:v>28534.77</x:v>
      </x:c>
      <x:c r="Q29" s="115" t="n">
        <x:v>25071.09</x:v>
      </x:c>
      <x:c r="R29" s="115" t="n">
        <x:v>22446.27</x:v>
      </x:c>
      <x:c r="S29" s="115" t="n">
        <x:v>288838.44</x:v>
      </x:c>
    </x:row>
    <x:row r="30">
      <x:c r="A30" s="104" t="str">
        <x:v>Russie</x:v>
      </x:c>
      <x:c r="B30" s="104" t="str">
        <x:v>ELINAR</x:v>
      </x:c>
      <x:c r="C30" s="104" t="str">
        <x:v>FP1 COUPE</x:v>
      </x:c>
      <x:c r="D30" s="104" t="str">
        <x:v>USD</x:v>
      </x:c>
      <x:c r="E30" s="104" t="str">
        <x:v>Chiffre d'affaires MGA</x:v>
      </x:c>
      <x:c r="F30" s="104" t="str">
        <x:v>MGA</x:v>
      </x:c>
      <x:c r="G30" s="116" t="n">
        <x:f>IF($D30="USD",G29*'Donnees SOMIDA'!$B$5,IF($D30="JPY",G29*'Donnees SOMIDA'!$B$6,0))</x:f>
        <x:v>134190540</x:v>
      </x:c>
      <x:c r="H30" s="116" t="n">
        <x:f>IF($D30="USD",H29*'Donnees SOMIDA'!$B$5,IF($D30="JPY",H29*'Donnees SOMIDA'!$B$6,0))</x:f>
        <x:v>86005339.2</x:v>
      </x:c>
      <x:c r="I30" s="116" t="n">
        <x:f>IF($D30="USD",I29*'Donnees SOMIDA'!$B$5,IF($D30="JPY",I29*'Donnees SOMIDA'!$B$6,0))</x:f>
        <x:v>126848620.8</x:v>
      </x:c>
      <x:c r="J30" s="116" t="n">
        <x:f>IF($D30="USD",J29*'Donnees SOMIDA'!$B$5,IF($D30="JPY",J29*'Donnees SOMIDA'!$B$6,0))</x:f>
        <x:v>122961722.4</x:v>
      </x:c>
      <x:c r="K30" s="116" t="n">
        <x:f>IF($D30="USD",K29*'Donnees SOMIDA'!$B$5,IF($D30="JPY",K29*'Donnees SOMIDA'!$B$6,0))</x:f>
        <x:v>100442390.4</x:v>
      </x:c>
      <x:c r="L30" s="116" t="n">
        <x:f>IF($D30="USD",L29*'Donnees SOMIDA'!$B$5,IF($D30="JPY",L29*'Donnees SOMIDA'!$B$6,0))</x:f>
        <x:v>104822863.2</x:v>
      </x:c>
      <x:c r="M30" s="116" t="n">
        <x:f>IF($D30="USD",M29*'Donnees SOMIDA'!$B$5,IF($D30="JPY",M29*'Donnees SOMIDA'!$B$6,0))</x:f>
        <x:v>114509260.8</x:v>
      </x:c>
      <x:c r="N30" s="116" t="n">
        <x:f>IF($D30="USD",N29*'Donnees SOMIDA'!$B$5,IF($D30="JPY",N29*'Donnees SOMIDA'!$B$6,0))</x:f>
        <x:v>94951375.19999999</x:v>
      </x:c>
      <x:c r="O30" s="116" t="n">
        <x:f>IF($D30="USD",O29*'Donnees SOMIDA'!$B$5,IF($D30="JPY",O29*'Donnees SOMIDA'!$B$6,0))</x:f>
        <x:v>85573461.60000001</x:v>
      </x:c>
      <x:c r="P30" s="116" t="n">
        <x:f>IF($D30="USD",P29*'Donnees SOMIDA'!$B$5,IF($D30="JPY",P29*'Donnees SOMIDA'!$B$6,0))</x:f>
        <x:v>130118551.2</x:v>
      </x:c>
      <x:c r="Q30" s="116" t="n">
        <x:f>IF($D30="USD",Q29*'Donnees SOMIDA'!$B$5,IF($D30="JPY",Q29*'Donnees SOMIDA'!$B$6,0))</x:f>
        <x:v>114324170.4</x:v>
      </x:c>
      <x:c r="R30" s="116" t="n">
        <x:f>IF($D30="USD",R29*'Donnees SOMIDA'!$B$5,IF($D30="JPY",R29*'Donnees SOMIDA'!$B$6,0))</x:f>
        <x:v>102354991.2</x:v>
      </x:c>
      <x:c r="S30" s="116" t="n">
        <x:f>SUM(G30:R30)</x:f>
        <x:v>1317103286.4</x:v>
      </x:c>
    </x:row>
    <x:row r="31">
      <x:c r="A31" s="102" t="str">
        <x:v>Russie</x:v>
      </x:c>
      <x:c r="B31" s="102" t="str">
        <x:v>ELINAR</x:v>
      </x:c>
      <x:c r="C31" s="103" t="str">
        <x:v>FP2 COUPE</x:v>
      </x:c>
      <x:c r="D31" s="103" t="str">
        <x:v>USD</x:v>
      </x:c>
      <x:c r="E31" s="103" t="str">
        <x:v>Quantité exportée</x:v>
      </x:c>
      <x:c r="F31" s="103" t="str">
        <x:v>tonnes</x:v>
      </x:c>
      <x:c r="G31" s="115" t="n">
        <x:v>13.52</x:v>
      </x:c>
      <x:c r="H31" s="115" t="n">
        <x:v>13.11</x:v>
      </x:c>
      <x:c r="I31" s="115" t="n">
        <x:v>11.66</x:v>
      </x:c>
      <x:c r="J31" s="115" t="n">
        <x:v>12.68</x:v>
      </x:c>
      <x:c r="K31" s="115" t="n">
        <x:v>17.3</x:v>
      </x:c>
      <x:c r="L31" s="115" t="n">
        <x:v>14.67</x:v>
      </x:c>
      <x:c r="M31" s="115" t="n">
        <x:v>17.18</x:v>
      </x:c>
      <x:c r="N31" s="115" t="n">
        <x:v>14.15</x:v>
      </x:c>
      <x:c r="O31" s="115" t="n">
        <x:v>16.43</x:v>
      </x:c>
      <x:c r="P31" s="115" t="n">
        <x:v>14.91</x:v>
      </x:c>
      <x:c r="Q31" s="115" t="n">
        <x:v>15.86</x:v>
      </x:c>
      <x:c r="R31" s="115" t="n">
        <x:v>18.4</x:v>
      </x:c>
      <x:c r="S31" s="115" t="n">
        <x:v>179.87</x:v>
      </x:c>
    </x:row>
    <x:row r="32">
      <x:c r="A32" s="102" t="str">
        <x:v>Russie</x:v>
      </x:c>
      <x:c r="B32" s="102" t="str">
        <x:v>ELINAR</x:v>
      </x:c>
      <x:c r="C32" s="103" t="str">
        <x:v>FP2 COUPE</x:v>
      </x:c>
      <x:c r="D32" s="103" t="str">
        <x:v>USD</x:v>
      </x:c>
      <x:c r="E32" s="103" t="str">
        <x:v>Chiffre d'affaires devise</x:v>
      </x:c>
      <x:c r="F32" s="103" t="str">
        <x:v>USD</x:v>
      </x:c>
      <x:c r="G32" s="115" t="n">
        <x:v>17599.66</x:v>
      </x:c>
      <x:c r="H32" s="115" t="n">
        <x:v>17065.94</x:v>
      </x:c>
      <x:c r="I32" s="115" t="n">
        <x:v>15178.41</x:v>
      </x:c>
      <x:c r="J32" s="115" t="n">
        <x:v>16506.19</x:v>
      </x:c>
      <x:c r="K32" s="115" t="n">
        <x:v>22520.28</x:v>
      </x:c>
      <x:c r="L32" s="115" t="n">
        <x:v>19096.67</x:v>
      </x:c>
      <x:c r="M32" s="115" t="n">
        <x:v>22364.06</x:v>
      </x:c>
      <x:c r="N32" s="115" t="n">
        <x:v>18419.76</x:v>
      </x:c>
      <x:c r="O32" s="115" t="n">
        <x:v>21387.75</x:v>
      </x:c>
      <x:c r="P32" s="115" t="n">
        <x:v>19409.09</x:v>
      </x:c>
      <x:c r="Q32" s="115" t="n">
        <x:v>20645.76</x:v>
      </x:c>
      <x:c r="R32" s="115" t="n">
        <x:v>23952.2</x:v>
      </x:c>
      <x:c r="S32" s="115" t="n">
        <x:v>234145.77</x:v>
      </x:c>
    </x:row>
    <x:row r="33">
      <x:c r="A33" s="104" t="str">
        <x:v>Russie</x:v>
      </x:c>
      <x:c r="B33" s="104" t="str">
        <x:v>ELINAR</x:v>
      </x:c>
      <x:c r="C33" s="104" t="str">
        <x:v>FP2 COUPE</x:v>
      </x:c>
      <x:c r="D33" s="104" t="str">
        <x:v>USD</x:v>
      </x:c>
      <x:c r="E33" s="104" t="str">
        <x:v>Chiffre d'affaires MGA</x:v>
      </x:c>
      <x:c r="F33" s="104" t="str">
        <x:v>MGA</x:v>
      </x:c>
      <x:c r="G33" s="116" t="n">
        <x:f>IF($D33="USD",G32*'Donnees SOMIDA'!$B$5,IF($D33="JPY",G32*'Donnees SOMIDA'!$B$6,0))</x:f>
        <x:v>80254449.6</x:v>
      </x:c>
      <x:c r="H33" s="116" t="n">
        <x:f>IF($D33="USD",H32*'Donnees SOMIDA'!$B$5,IF($D33="JPY",H32*'Donnees SOMIDA'!$B$6,0))</x:f>
        <x:v>77820686.39999999</x:v>
      </x:c>
      <x:c r="I33" s="116" t="n">
        <x:f>IF($D33="USD",I32*'Donnees SOMIDA'!$B$5,IF($D33="JPY",I32*'Donnees SOMIDA'!$B$6,0))</x:f>
        <x:v>69213549.6</x:v>
      </x:c>
      <x:c r="J33" s="116" t="n">
        <x:f>IF($D33="USD",J32*'Donnees SOMIDA'!$B$5,IF($D33="JPY",J32*'Donnees SOMIDA'!$B$6,0))</x:f>
        <x:v>75268226.39999999</x:v>
      </x:c>
      <x:c r="K33" s="116" t="n">
        <x:f>IF($D33="USD",K32*'Donnees SOMIDA'!$B$5,IF($D33="JPY",K32*'Donnees SOMIDA'!$B$6,0))</x:f>
        <x:v>102692476.8</x:v>
      </x:c>
      <x:c r="L33" s="116" t="n">
        <x:f>IF($D33="USD",L32*'Donnees SOMIDA'!$B$5,IF($D33="JPY",L32*'Donnees SOMIDA'!$B$6,0))</x:f>
        <x:v>87080815.19999999</x:v>
      </x:c>
      <x:c r="M33" s="116" t="n">
        <x:f>IF($D33="USD",M32*'Donnees SOMIDA'!$B$5,IF($D33="JPY",M32*'Donnees SOMIDA'!$B$6,0))</x:f>
        <x:v>101980113.60000001</x:v>
      </x:c>
      <x:c r="N33" s="116" t="n">
        <x:f>IF($D33="USD",N32*'Donnees SOMIDA'!$B$5,IF($D33="JPY",N32*'Donnees SOMIDA'!$B$6,0))</x:f>
        <x:v>83994105.6</x:v>
      </x:c>
      <x:c r="O33" s="116" t="n">
        <x:f>IF($D33="USD",O32*'Donnees SOMIDA'!$B$5,IF($D33="JPY",O32*'Donnees SOMIDA'!$B$6,0))</x:f>
        <x:v>97528140</x:v>
      </x:c>
      <x:c r="P33" s="116" t="n">
        <x:f>IF($D33="USD",P32*'Donnees SOMIDA'!$B$5,IF($D33="JPY",P32*'Donnees SOMIDA'!$B$6,0))</x:f>
        <x:v>88505450.4</x:v>
      </x:c>
      <x:c r="Q33" s="116" t="n">
        <x:f>IF($D33="USD",Q32*'Donnees SOMIDA'!$B$5,IF($D33="JPY",Q32*'Donnees SOMIDA'!$B$6,0))</x:f>
        <x:v>94144665.6</x:v>
      </x:c>
      <x:c r="R33" s="116" t="n">
        <x:f>IF($D33="USD",R32*'Donnees SOMIDA'!$B$5,IF($D33="JPY",R32*'Donnees SOMIDA'!$B$6,0))</x:f>
        <x:v>109222032</x:v>
      </x:c>
      <x:c r="S33" s="116" t="n">
        <x:f>SUM(G33:R33)</x:f>
        <x:v>1067704711.2</x:v>
      </x:c>
    </x:row>
    <x:row r="34">
      <x:c r="A34" s="102" t="str">
        <x:v>Russie</x:v>
      </x:c>
      <x:c r="B34" s="102" t="str">
        <x:v>ELINAR</x:v>
      </x:c>
      <x:c r="C34" s="103" t="str">
        <x:v>TRA</x:v>
      </x:c>
      <x:c r="D34" s="103" t="str">
        <x:v>USD</x:v>
      </x:c>
      <x:c r="E34" s="103" t="str">
        <x:v>Quantité exportée</x:v>
      </x:c>
      <x:c r="F34" s="103" t="str">
        <x:v>tonnes</x:v>
      </x:c>
      <x:c r="G34" s="115" t="n">
        <x:v>15.1</x:v>
      </x:c>
      <x:c r="H34" s="115" t="n">
        <x:v>20.65</x:v>
      </x:c>
      <x:c r="I34" s="115" t="n">
        <x:v>15.32</x:v>
      </x:c>
      <x:c r="J34" s="115" t="n">
        <x:v>21.31</x:v>
      </x:c>
      <x:c r="K34" s="115" t="n">
        <x:v>26.16</x:v>
      </x:c>
      <x:c r="L34" s="115" t="n">
        <x:v>15.64</x:v>
      </x:c>
      <x:c r="M34" s="115" t="n">
        <x:v>16.34</x:v>
      </x:c>
      <x:c r="N34" s="115" t="n">
        <x:v>16.99</x:v>
      </x:c>
      <x:c r="O34" s="115" t="n">
        <x:v>23.81</x:v>
      </x:c>
      <x:c r="P34" s="115" t="n">
        <x:v>26.48</x:v>
      </x:c>
      <x:c r="Q34" s="115" t="n">
        <x:v>25.7</x:v>
      </x:c>
      <x:c r="R34" s="115" t="n">
        <x:v>25.24</x:v>
      </x:c>
      <x:c r="S34" s="115" t="n">
        <x:v>248.73999999999998</x:v>
      </x:c>
    </x:row>
    <x:row r="35">
      <x:c r="A35" s="102" t="str">
        <x:v>Russie</x:v>
      </x:c>
      <x:c r="B35" s="102" t="str">
        <x:v>ELINAR</x:v>
      </x:c>
      <x:c r="C35" s="103" t="str">
        <x:v>TRA</x:v>
      </x:c>
      <x:c r="D35" s="103" t="str">
        <x:v>USD</x:v>
      </x:c>
      <x:c r="E35" s="103" t="str">
        <x:v>Chiffre d'affaires devise</x:v>
      </x:c>
      <x:c r="F35" s="103" t="str">
        <x:v>USD</x:v>
      </x:c>
      <x:c r="G35" s="115" t="n">
        <x:v>21513.72</x:v>
      </x:c>
      <x:c r="H35" s="115" t="n">
        <x:v>29421.09</x:v>
      </x:c>
      <x:c r="I35" s="115" t="n">
        <x:v>21827.17</x:v>
      </x:c>
      <x:c r="J35" s="115" t="n">
        <x:v>30361.42</x:v>
      </x:c>
      <x:c r="K35" s="115" t="n">
        <x:v>37271.46</x:v>
      </x:c>
      <x:c r="L35" s="115" t="n">
        <x:v>22283.09</x:v>
      </x:c>
      <x:c r="M35" s="115" t="n">
        <x:v>23280.41</x:v>
      </x:c>
      <x:c r="N35" s="115" t="n">
        <x:v>24206.5</x:v>
      </x:c>
      <x:c r="O35" s="115" t="n">
        <x:v>33923.3</x:v>
      </x:c>
      <x:c r="P35" s="115" t="n">
        <x:v>37727.38</x:v>
      </x:c>
      <x:c r="Q35" s="115" t="n">
        <x:v>36616.07</x:v>
      </x:c>
      <x:c r="R35" s="115" t="n">
        <x:v>35960.69</x:v>
      </x:c>
      <x:c r="S35" s="115" t="n">
        <x:v>354392.3</x:v>
      </x:c>
    </x:row>
    <x:row r="36">
      <x:c r="A36" s="104" t="str">
        <x:v>Russie</x:v>
      </x:c>
      <x:c r="B36" s="104" t="str">
        <x:v>ELINAR</x:v>
      </x:c>
      <x:c r="C36" s="104" t="str">
        <x:v>TRA</x:v>
      </x:c>
      <x:c r="D36" s="104" t="str">
        <x:v>USD</x:v>
      </x:c>
      <x:c r="E36" s="104" t="str">
        <x:v>Chiffre d'affaires MGA</x:v>
      </x:c>
      <x:c r="F36" s="104" t="str">
        <x:v>MGA</x:v>
      </x:c>
      <x:c r="G36" s="116" t="n">
        <x:f>IF($D36="USD",G35*'Donnees SOMIDA'!$B$5,IF($D36="JPY",G35*'Donnees SOMIDA'!$B$6,0))</x:f>
        <x:v>98102563.2</x:v>
      </x:c>
      <x:c r="H36" s="116" t="n">
        <x:f>IF($D36="USD",H35*'Donnees SOMIDA'!$B$5,IF($D36="JPY",H35*'Donnees SOMIDA'!$B$6,0))</x:f>
        <x:v>134160170.4</x:v>
      </x:c>
      <x:c r="I36" s="116" t="n">
        <x:f>IF($D36="USD",I35*'Donnees SOMIDA'!$B$5,IF($D36="JPY",I35*'Donnees SOMIDA'!$B$6,0))</x:f>
        <x:v>99531895.19999999</x:v>
      </x:c>
      <x:c r="J36" s="116" t="n">
        <x:f>IF($D36="USD",J35*'Donnees SOMIDA'!$B$5,IF($D36="JPY",J35*'Donnees SOMIDA'!$B$6,0))</x:f>
        <x:v>138448075.2</x:v>
      </x:c>
      <x:c r="K36" s="116" t="n">
        <x:f>IF($D36="USD",K35*'Donnees SOMIDA'!$B$5,IF($D36="JPY",K35*'Donnees SOMIDA'!$B$6,0))</x:f>
        <x:v>169957857.6</x:v>
      </x:c>
      <x:c r="L36" s="116" t="n">
        <x:f>IF($D36="USD",L35*'Donnees SOMIDA'!$B$5,IF($D36="JPY",L35*'Donnees SOMIDA'!$B$6,0))</x:f>
        <x:v>101610890.4</x:v>
      </x:c>
      <x:c r="M36" s="116" t="n">
        <x:f>IF($D36="USD",M35*'Donnees SOMIDA'!$B$5,IF($D36="JPY",M35*'Donnees SOMIDA'!$B$6,0))</x:f>
        <x:v>106158669.6</x:v>
      </x:c>
      <x:c r="N36" s="116" t="n">
        <x:f>IF($D36="USD",N35*'Donnees SOMIDA'!$B$5,IF($D36="JPY",N35*'Donnees SOMIDA'!$B$6,0))</x:f>
        <x:v>110381640</x:v>
      </x:c>
      <x:c r="O36" s="116" t="n">
        <x:f>IF($D36="USD",O35*'Donnees SOMIDA'!$B$5,IF($D36="JPY",O35*'Donnees SOMIDA'!$B$6,0))</x:f>
        <x:v>154690248</x:v>
      </x:c>
      <x:c r="P36" s="116" t="n">
        <x:f>IF($D36="USD",P35*'Donnees SOMIDA'!$B$5,IF($D36="JPY",P35*'Donnees SOMIDA'!$B$6,0))</x:f>
        <x:v>172036852.79999998</x:v>
      </x:c>
      <x:c r="Q36" s="116" t="n">
        <x:f>IF($D36="USD",Q35*'Donnees SOMIDA'!$B$5,IF($D36="JPY",Q35*'Donnees SOMIDA'!$B$6,0))</x:f>
        <x:v>166969279.2</x:v>
      </x:c>
      <x:c r="R36" s="116" t="n">
        <x:f>IF($D36="USD",R35*'Donnees SOMIDA'!$B$5,IF($D36="JPY",R35*'Donnees SOMIDA'!$B$6,0))</x:f>
        <x:v>163980746.4</x:v>
      </x:c>
      <x:c r="S36" s="116" t="n">
        <x:f>SUM(G36:R36)</x:f>
        <x:v>1616028888</x:v>
      </x:c>
    </x:row>
    <x:row r="37">
      <x:c r="A37" s="102" t="str">
        <x:v>Russie</x:v>
      </x:c>
      <x:c r="B37" s="102" t="str">
        <x:v>ELINAR</x:v>
      </x:c>
      <x:c r="C37" s="103" t="str">
        <x:v>BSA</x:v>
      </x:c>
      <x:c r="D37" s="103" t="str">
        <x:v>USD</x:v>
      </x:c>
      <x:c r="E37" s="103" t="str">
        <x:v>Quantité exportée</x:v>
      </x:c>
      <x:c r="F37" s="103" t="str">
        <x:v>tonnes</x:v>
      </x:c>
      <x:c r="G37" s="115" t="n">
        <x:v>11.55</x:v>
      </x:c>
      <x:c r="H37" s="115" t="n">
        <x:v>14.98</x:v>
      </x:c>
      <x:c r="I37" s="115" t="n">
        <x:v>15.59</x:v>
      </x:c>
      <x:c r="J37" s="115" t="n">
        <x:v>9.82</x:v>
      </x:c>
      <x:c r="K37" s="115" t="n">
        <x:v>10.63</x:v>
      </x:c>
      <x:c r="L37" s="115" t="n">
        <x:v>11.38</x:v>
      </x:c>
      <x:c r="M37" s="115" t="n">
        <x:v>9.51</x:v>
      </x:c>
      <x:c r="N37" s="115" t="n">
        <x:v>14.9</x:v>
      </x:c>
      <x:c r="O37" s="115" t="n">
        <x:v>14.16</x:v>
      </x:c>
      <x:c r="P37" s="115" t="n">
        <x:v>11.97</x:v>
      </x:c>
      <x:c r="Q37" s="115" t="n">
        <x:v>14.24</x:v>
      </x:c>
      <x:c r="R37" s="115" t="n">
        <x:v>14.39</x:v>
      </x:c>
      <x:c r="S37" s="115" t="n">
        <x:v>153.12</x:v>
      </x:c>
    </x:row>
    <x:row r="38">
      <x:c r="A38" s="102" t="str">
        <x:v>Russie</x:v>
      </x:c>
      <x:c r="B38" s="102" t="str">
        <x:v>ELINAR</x:v>
      </x:c>
      <x:c r="C38" s="103" t="str">
        <x:v>BSA</x:v>
      </x:c>
      <x:c r="D38" s="103" t="str">
        <x:v>USD</x:v>
      </x:c>
      <x:c r="E38" s="103" t="str">
        <x:v>Chiffre d'affaires devise</x:v>
      </x:c>
      <x:c r="F38" s="103" t="str">
        <x:v>USD</x:v>
      </x:c>
      <x:c r="G38" s="115" t="n">
        <x:v>13969.73</x:v>
      </x:c>
      <x:c r="H38" s="115" t="n">
        <x:v>18118.31</x:v>
      </x:c>
      <x:c r="I38" s="115" t="n">
        <x:v>18856.1</x:v>
      </x:c>
      <x:c r="J38" s="115" t="n">
        <x:v>11877.29</x:v>
      </x:c>
      <x:c r="K38" s="115" t="n">
        <x:v>12856.99</x:v>
      </x:c>
      <x:c r="L38" s="115" t="n">
        <x:v>13764.11</x:v>
      </x:c>
      <x:c r="M38" s="115" t="n">
        <x:v>11502.34</x:v>
      </x:c>
      <x:c r="N38" s="115" t="n">
        <x:v>18021.55</x:v>
      </x:c>
      <x:c r="O38" s="115" t="n">
        <x:v>17126.52</x:v>
      </x:c>
      <x:c r="P38" s="115" t="n">
        <x:v>14477.72</x:v>
      </x:c>
      <x:c r="Q38" s="115" t="n">
        <x:v>17223.28</x:v>
      </x:c>
      <x:c r="R38" s="115" t="n">
        <x:v>17404.71</x:v>
      </x:c>
      <x:c r="S38" s="115" t="n">
        <x:v>185198.65</x:v>
      </x:c>
    </x:row>
    <x:row r="39">
      <x:c r="A39" s="104" t="str">
        <x:v>Russie</x:v>
      </x:c>
      <x:c r="B39" s="104" t="str">
        <x:v>ELINAR</x:v>
      </x:c>
      <x:c r="C39" s="104" t="str">
        <x:v>BSA</x:v>
      </x:c>
      <x:c r="D39" s="104" t="str">
        <x:v>USD</x:v>
      </x:c>
      <x:c r="E39" s="104" t="str">
        <x:v>Chiffre d'affaires MGA</x:v>
      </x:c>
      <x:c r="F39" s="104" t="str">
        <x:v>MGA</x:v>
      </x:c>
      <x:c r="G39" s="116" t="n">
        <x:f>IF($D39="USD",G38*'Donnees SOMIDA'!$B$5,IF($D39="JPY",G38*'Donnees SOMIDA'!$B$6,0))</x:f>
        <x:v>63701968.8</x:v>
      </x:c>
      <x:c r="H39" s="116" t="n">
        <x:f>IF($D39="USD",H38*'Donnees SOMIDA'!$B$5,IF($D39="JPY",H38*'Donnees SOMIDA'!$B$6,0))</x:f>
        <x:v>82619493.60000001</x:v>
      </x:c>
      <x:c r="I39" s="116" t="n">
        <x:f>IF($D39="USD",I38*'Donnees SOMIDA'!$B$5,IF($D39="JPY",I38*'Donnees SOMIDA'!$B$6,0))</x:f>
        <x:v>85983816</x:v>
      </x:c>
      <x:c r="J39" s="116" t="n">
        <x:f>IF($D39="USD",J38*'Donnees SOMIDA'!$B$5,IF($D39="JPY",J38*'Donnees SOMIDA'!$B$6,0))</x:f>
        <x:v>54160442.400000006</x:v>
      </x:c>
      <x:c r="K39" s="116" t="n">
        <x:f>IF($D39="USD",K38*'Donnees SOMIDA'!$B$5,IF($D39="JPY",K38*'Donnees SOMIDA'!$B$6,0))</x:f>
        <x:v>58627874.4</x:v>
      </x:c>
      <x:c r="L39" s="116" t="n">
        <x:f>IF($D39="USD",L38*'Donnees SOMIDA'!$B$5,IF($D39="JPY",L38*'Donnees SOMIDA'!$B$6,0))</x:f>
        <x:v>62764341.6</x:v>
      </x:c>
      <x:c r="M39" s="116" t="n">
        <x:f>IF($D39="USD",M38*'Donnees SOMIDA'!$B$5,IF($D39="JPY",M38*'Donnees SOMIDA'!$B$6,0))</x:f>
        <x:v>52450670.4</x:v>
      </x:c>
      <x:c r="N39" s="116" t="n">
        <x:f>IF($D39="USD",N38*'Donnees SOMIDA'!$B$5,IF($D39="JPY",N38*'Donnees SOMIDA'!$B$6,0))</x:f>
        <x:v>82178268</x:v>
      </x:c>
      <x:c r="O39" s="116" t="n">
        <x:f>IF($D39="USD",O38*'Donnees SOMIDA'!$B$5,IF($D39="JPY",O38*'Donnees SOMIDA'!$B$6,0))</x:f>
        <x:v>78096931.2</x:v>
      </x:c>
      <x:c r="P39" s="116" t="n">
        <x:f>IF($D39="USD",P38*'Donnees SOMIDA'!$B$5,IF($D39="JPY",P38*'Donnees SOMIDA'!$B$6,0))</x:f>
        <x:v>66018403.199999996</x:v>
      </x:c>
      <x:c r="Q39" s="116" t="n">
        <x:f>IF($D39="USD",Q38*'Donnees SOMIDA'!$B$5,IF($D39="JPY",Q38*'Donnees SOMIDA'!$B$6,0))</x:f>
        <x:v>78538156.8</x:v>
      </x:c>
      <x:c r="R39" s="116" t="n">
        <x:f>IF($D39="USD",R38*'Donnees SOMIDA'!$B$5,IF($D39="JPY",R38*'Donnees SOMIDA'!$B$6,0))</x:f>
        <x:v>79365477.6</x:v>
      </x:c>
      <x:c r="S39" s="116" t="n">
        <x:f>SUM(G39:R39)</x:f>
        <x:v>844505844.0000001</x:v>
      </x:c>
    </x:row>
    <x:row r="40">
      <x:c r="A40" s="105" t="str">
        <x:v>Chine</x:v>
      </x:c>
      <x:c r="B40" s="105" t="str">
        <x:v>REPRESENTANT CHINE - A VALIDER</x:v>
      </x:c>
      <x:c r="C40" s="106" t="str">
        <x:v>ABR COUPE</x:v>
      </x:c>
      <x:c r="D40" s="106" t="str">
        <x:v>USD</x:v>
      </x:c>
      <x:c r="E40" s="106" t="str">
        <x:v>Quantité exportée</x:v>
      </x:c>
      <x:c r="F40" s="106" t="str">
        <x:v>tonnes</x:v>
      </x:c>
      <x:c r="G40" s="117" t="n">
        <x:v>26.9</x:v>
      </x:c>
      <x:c r="H40" s="117" t="n">
        <x:v>16.43</x:v>
      </x:c>
      <x:c r="I40" s="117" t="n">
        <x:v>17.52</x:v>
      </x:c>
      <x:c r="J40" s="117" t="n">
        <x:v>23.77</x:v>
      </x:c>
      <x:c r="K40" s="117" t="n">
        <x:v>17.88</x:v>
      </x:c>
      <x:c r="L40" s="117" t="n">
        <x:v>26.92</x:v>
      </x:c>
      <x:c r="M40" s="117" t="n">
        <x:v>27.03</x:v>
      </x:c>
      <x:c r="N40" s="117" t="n">
        <x:v>21.05</x:v>
      </x:c>
      <x:c r="O40" s="117" t="n">
        <x:v>21.77</x:v>
      </x:c>
      <x:c r="P40" s="117" t="n">
        <x:v>25.49</x:v>
      </x:c>
      <x:c r="Q40" s="117" t="n">
        <x:v>27.44</x:v>
      </x:c>
      <x:c r="R40" s="117" t="n">
        <x:v>16.4</x:v>
      </x:c>
      <x:c r="S40" s="117" t="n">
        <x:v>268.6</x:v>
      </x:c>
    </x:row>
    <x:row r="41">
      <x:c r="A41" s="107" t="str">
        <x:v>Chine</x:v>
      </x:c>
      <x:c r="B41" s="107" t="str">
        <x:v>REPRESENTANT CHINE - A VALIDER</x:v>
      </x:c>
      <x:c r="C41" s="108" t="str">
        <x:v>ABR COUPE</x:v>
      </x:c>
      <x:c r="D41" s="108" t="str">
        <x:v>USD</x:v>
      </x:c>
      <x:c r="E41" s="108" t="str">
        <x:v>Chiffre d'affaires devise</x:v>
      </x:c>
      <x:c r="F41" s="108" t="str">
        <x:v>USD</x:v>
      </x:c>
      <x:c r="G41" s="118" t="n">
        <x:v>39980.12</x:v>
      </x:c>
      <x:c r="H41" s="118" t="n">
        <x:v>24419.09</x:v>
      </x:c>
      <x:c r="I41" s="118" t="n">
        <x:v>26039.1</x:v>
      </x:c>
      <x:c r="J41" s="118" t="n">
        <x:v>35328.16</x:v>
      </x:c>
      <x:c r="K41" s="118" t="n">
        <x:v>26574.15</x:v>
      </x:c>
      <x:c r="L41" s="118" t="n">
        <x:v>40009.85</x:v>
      </x:c>
      <x:c r="M41" s="118" t="n">
        <x:v>40173.34</x:v>
      </x:c>
      <x:c r="N41" s="118" t="n">
        <x:v>31285.56</x:v>
      </x:c>
      <x:c r="O41" s="118" t="n">
        <x:v>32355.66</x:v>
      </x:c>
      <x:c r="P41" s="118" t="n">
        <x:v>37884.51</x:v>
      </x:c>
      <x:c r="Q41" s="118" t="n">
        <x:v>40782.7</x:v>
      </x:c>
      <x:c r="R41" s="118" t="n">
        <x:v>24374.5</x:v>
      </x:c>
      <x:c r="S41" s="118" t="n">
        <x:v>399206.74</x:v>
      </x:c>
    </x:row>
    <x:row r="42">
      <x:c r="A42" s="109" t="str">
        <x:v>Chine</x:v>
      </x:c>
      <x:c r="B42" s="109" t="str">
        <x:v>REPRESENTANT CHINE - A VALIDER</x:v>
      </x:c>
      <x:c r="C42" s="109" t="str">
        <x:v>ABR COUPE</x:v>
      </x:c>
      <x:c r="D42" s="109" t="str">
        <x:v>USD</x:v>
      </x:c>
      <x:c r="E42" s="109" t="str">
        <x:v>Chiffre d'affaires MGA</x:v>
      </x:c>
      <x:c r="F42" s="109" t="str">
        <x:v>MGA</x:v>
      </x:c>
      <x:c r="G42" s="119" t="n">
        <x:f>IF($D42="USD",G41*'Donnees SOMIDA'!$B$5,IF($D42="JPY",G41*'Donnees SOMIDA'!$B$6,0))</x:f>
        <x:v>182309347.20000002</x:v>
      </x:c>
      <x:c r="H42" s="119" t="n">
        <x:f>IF($D42="USD",H41*'Donnees SOMIDA'!$B$5,IF($D42="JPY",H41*'Donnees SOMIDA'!$B$6,0))</x:f>
        <x:v>111351050.4</x:v>
      </x:c>
      <x:c r="I42" s="119" t="n">
        <x:f>IF($D42="USD",I41*'Donnees SOMIDA'!$B$5,IF($D42="JPY",I41*'Donnees SOMIDA'!$B$6,0))</x:f>
        <x:v>118738296</x:v>
      </x:c>
      <x:c r="J42" s="119" t="n">
        <x:f>IF($D42="USD",J41*'Donnees SOMIDA'!$B$5,IF($D42="JPY",J41*'Donnees SOMIDA'!$B$6,0))</x:f>
        <x:v>161096409.60000002</x:v>
      </x:c>
      <x:c r="K42" s="119" t="n">
        <x:f>IF($D42="USD",K41*'Donnees SOMIDA'!$B$5,IF($D42="JPY",K41*'Donnees SOMIDA'!$B$6,0))</x:f>
        <x:v>121178124</x:v>
      </x:c>
      <x:c r="L42" s="119" t="n">
        <x:f>IF($D42="USD",L41*'Donnees SOMIDA'!$B$5,IF($D42="JPY",L41*'Donnees SOMIDA'!$B$6,0))</x:f>
        <x:v>182444916</x:v>
      </x:c>
      <x:c r="M42" s="119" t="n">
        <x:f>IF($D42="USD",M41*'Donnees SOMIDA'!$B$5,IF($D42="JPY",M41*'Donnees SOMIDA'!$B$6,0))</x:f>
        <x:v>183190430.39999998</x:v>
      </x:c>
      <x:c r="N42" s="119" t="n">
        <x:f>IF($D42="USD",N41*'Donnees SOMIDA'!$B$5,IF($D42="JPY",N41*'Donnees SOMIDA'!$B$6,0))</x:f>
        <x:v>142662153.6</x:v>
      </x:c>
      <x:c r="O42" s="119" t="n">
        <x:f>IF($D42="USD",O41*'Donnees SOMIDA'!$B$5,IF($D42="JPY",O41*'Donnees SOMIDA'!$B$6,0))</x:f>
        <x:v>147541809.6</x:v>
      </x:c>
      <x:c r="P42" s="119" t="n">
        <x:f>IF($D42="USD",P41*'Donnees SOMIDA'!$B$5,IF($D42="JPY",P41*'Donnees SOMIDA'!$B$6,0))</x:f>
        <x:v>172753365.60000002</x:v>
      </x:c>
      <x:c r="Q42" s="119" t="n">
        <x:f>IF($D42="USD",Q41*'Donnees SOMIDA'!$B$5,IF($D42="JPY",Q41*'Donnees SOMIDA'!$B$6,0))</x:f>
        <x:v>185969112</x:v>
      </x:c>
      <x:c r="R42" s="119" t="n">
        <x:f>IF($D42="USD",R41*'Donnees SOMIDA'!$B$5,IF($D42="JPY",R41*'Donnees SOMIDA'!$B$6,0))</x:f>
        <x:v>111147720</x:v>
      </x:c>
      <x:c r="S42" s="119" t="n">
        <x:f>SUM(G42:R42)</x:f>
        <x:v>1820382734.4</x:v>
      </x:c>
    </x:row>
    <x:row r="43">
      <x:c r="A43" s="107" t="str">
        <x:v>Chine</x:v>
      </x:c>
      <x:c r="B43" s="107" t="str">
        <x:v>REPRESENTANT CHINE - A VALIDER</x:v>
      </x:c>
      <x:c r="C43" s="108" t="str">
        <x:v>FP1 COUPE</x:v>
      </x:c>
      <x:c r="D43" s="108" t="str">
        <x:v>USD</x:v>
      </x:c>
      <x:c r="E43" s="108" t="str">
        <x:v>Quantité exportée</x:v>
      </x:c>
      <x:c r="F43" s="108" t="str">
        <x:v>tonnes</x:v>
      </x:c>
      <x:c r="G43" s="118" t="n">
        <x:v>22.31</x:v>
      </x:c>
      <x:c r="H43" s="118" t="n">
        <x:v>17.42</x:v>
      </x:c>
      <x:c r="I43" s="118" t="n">
        <x:v>12.71</x:v>
      </x:c>
      <x:c r="J43" s="118" t="n">
        <x:v>21.46</x:v>
      </x:c>
      <x:c r="K43" s="118" t="n">
        <x:v>22.29</x:v>
      </x:c>
      <x:c r="L43" s="118" t="n">
        <x:v>13.51</x:v>
      </x:c>
      <x:c r="M43" s="118" t="n">
        <x:v>19.18</x:v>
      </x:c>
      <x:c r="N43" s="118" t="n">
        <x:v>22.27</x:v>
      </x:c>
      <x:c r="O43" s="118" t="n">
        <x:v>14.62</x:v>
      </x:c>
      <x:c r="P43" s="118" t="n">
        <x:v>17.44</x:v>
      </x:c>
      <x:c r="Q43" s="118" t="n">
        <x:v>16.63</x:v>
      </x:c>
      <x:c r="R43" s="118" t="n">
        <x:v>17.9</x:v>
      </x:c>
      <x:c r="S43" s="118" t="n">
        <x:v>217.74</x:v>
      </x:c>
    </x:row>
    <x:row r="44">
      <x:c r="A44" s="107" t="str">
        <x:v>Chine</x:v>
      </x:c>
      <x:c r="B44" s="107" t="str">
        <x:v>REPRESENTANT CHINE - A VALIDER</x:v>
      </x:c>
      <x:c r="C44" s="108" t="str">
        <x:v>FP1 COUPE</x:v>
      </x:c>
      <x:c r="D44" s="108" t="str">
        <x:v>USD</x:v>
      </x:c>
      <x:c r="E44" s="108" t="str">
        <x:v>Chiffre d'affaires devise</x:v>
      </x:c>
      <x:c r="F44" s="108" t="str">
        <x:v>USD</x:v>
      </x:c>
      <x:c r="G44" s="118" t="n">
        <x:v>30185.43</x:v>
      </x:c>
      <x:c r="H44" s="118" t="n">
        <x:v>23569.26</x:v>
      </x:c>
      <x:c r="I44" s="118" t="n">
        <x:v>17196.63</x:v>
      </x:c>
      <x:c r="J44" s="118" t="n">
        <x:v>29035.38</x:v>
      </x:c>
      <x:c r="K44" s="118" t="n">
        <x:v>30158.37</x:v>
      </x:c>
      <x:c r="L44" s="118" t="n">
        <x:v>18279.03</x:v>
      </x:c>
      <x:c r="M44" s="118" t="n">
        <x:v>25950.54</x:v>
      </x:c>
      <x:c r="N44" s="118" t="n">
        <x:v>30131.31</x:v>
      </x:c>
      <x:c r="O44" s="118" t="n">
        <x:v>19780.86</x:v>
      </x:c>
      <x:c r="P44" s="118" t="n">
        <x:v>23596.32</x:v>
      </x:c>
      <x:c r="Q44" s="118" t="n">
        <x:v>22500.39</x:v>
      </x:c>
      <x:c r="R44" s="118" t="n">
        <x:v>24218.7</x:v>
      </x:c>
      <x:c r="S44" s="118" t="n">
        <x:v>294602.22</x:v>
      </x:c>
    </x:row>
    <x:row r="45">
      <x:c r="A45" s="109" t="str">
        <x:v>Chine</x:v>
      </x:c>
      <x:c r="B45" s="109" t="str">
        <x:v>REPRESENTANT CHINE - A VALIDER</x:v>
      </x:c>
      <x:c r="C45" s="109" t="str">
        <x:v>FP1 COUPE</x:v>
      </x:c>
      <x:c r="D45" s="109" t="str">
        <x:v>USD</x:v>
      </x:c>
      <x:c r="E45" s="109" t="str">
        <x:v>Chiffre d'affaires MGA</x:v>
      </x:c>
      <x:c r="F45" s="109" t="str">
        <x:v>MGA</x:v>
      </x:c>
      <x:c r="G45" s="119" t="n">
        <x:f>IF($D45="USD",G44*'Donnees SOMIDA'!$B$5,IF($D45="JPY",G44*'Donnees SOMIDA'!$B$6,0))</x:f>
        <x:v>137645560.8</x:v>
      </x:c>
      <x:c r="H45" s="119" t="n">
        <x:f>IF($D45="USD",H44*'Donnees SOMIDA'!$B$5,IF($D45="JPY",H44*'Donnees SOMIDA'!$B$6,0))</x:f>
        <x:v>107475825.6</x:v>
      </x:c>
      <x:c r="I45" s="119" t="n">
        <x:f>IF($D45="USD",I44*'Donnees SOMIDA'!$B$5,IF($D45="JPY",I44*'Donnees SOMIDA'!$B$6,0))</x:f>
        <x:v>78416632.80000001</x:v>
      </x:c>
      <x:c r="J45" s="119" t="n">
        <x:f>IF($D45="USD",J44*'Donnees SOMIDA'!$B$5,IF($D45="JPY",J44*'Donnees SOMIDA'!$B$6,0))</x:f>
        <x:v>132401332.80000001</x:v>
      </x:c>
      <x:c r="K45" s="119" t="n">
        <x:f>IF($D45="USD",K44*'Donnees SOMIDA'!$B$5,IF($D45="JPY",K44*'Donnees SOMIDA'!$B$6,0))</x:f>
        <x:v>137522167.2</x:v>
      </x:c>
      <x:c r="L45" s="119" t="n">
        <x:f>IF($D45="USD",L44*'Donnees SOMIDA'!$B$5,IF($D45="JPY",L44*'Donnees SOMIDA'!$B$6,0))</x:f>
        <x:v>83352376.8</x:v>
      </x:c>
      <x:c r="M45" s="119" t="n">
        <x:f>IF($D45="USD",M44*'Donnees SOMIDA'!$B$5,IF($D45="JPY",M44*'Donnees SOMIDA'!$B$6,0))</x:f>
        <x:v>118334462.4</x:v>
      </x:c>
      <x:c r="N45" s="119" t="n">
        <x:f>IF($D45="USD",N44*'Donnees SOMIDA'!$B$5,IF($D45="JPY",N44*'Donnees SOMIDA'!$B$6,0))</x:f>
        <x:v>137398773.6</x:v>
      </x:c>
      <x:c r="O45" s="119" t="n">
        <x:f>IF($D45="USD",O44*'Donnees SOMIDA'!$B$5,IF($D45="JPY",O44*'Donnees SOMIDA'!$B$6,0))</x:f>
        <x:v>90200721.60000001</x:v>
      </x:c>
      <x:c r="P45" s="119" t="n">
        <x:f>IF($D45="USD",P44*'Donnees SOMIDA'!$B$5,IF($D45="JPY",P44*'Donnees SOMIDA'!$B$6,0))</x:f>
        <x:v>107599219.2</x:v>
      </x:c>
      <x:c r="Q45" s="119" t="n">
        <x:f>IF($D45="USD",Q44*'Donnees SOMIDA'!$B$5,IF($D45="JPY",Q44*'Donnees SOMIDA'!$B$6,0))</x:f>
        <x:v>102601778.39999999</x:v>
      </x:c>
      <x:c r="R45" s="119" t="n">
        <x:f>IF($D45="USD",R44*'Donnees SOMIDA'!$B$5,IF($D45="JPY",R44*'Donnees SOMIDA'!$B$6,0))</x:f>
        <x:v>110437272</x:v>
      </x:c>
      <x:c r="S45" s="119" t="n">
        <x:f>SUM(G45:R45)</x:f>
        <x:v>1343386123.2</x:v>
      </x:c>
    </x:row>
    <x:row r="46">
      <x:c r="A46" s="107" t="str">
        <x:v>Chine</x:v>
      </x:c>
      <x:c r="B46" s="107" t="str">
        <x:v>REPRESENTANT CHINE - A VALIDER</x:v>
      </x:c>
      <x:c r="C46" s="108" t="str">
        <x:v>FP2 COUPE</x:v>
      </x:c>
      <x:c r="D46" s="108" t="str">
        <x:v>USD</x:v>
      </x:c>
      <x:c r="E46" s="108" t="str">
        <x:v>Quantité exportée</x:v>
      </x:c>
      <x:c r="F46" s="108" t="str">
        <x:v>tonnes</x:v>
      </x:c>
      <x:c r="G46" s="118" t="n">
        <x:v>12.42</x:v>
      </x:c>
      <x:c r="H46" s="118" t="n">
        <x:v>12.18</x:v>
      </x:c>
      <x:c r="I46" s="118" t="n">
        <x:v>13.32</x:v>
      </x:c>
      <x:c r="J46" s="118" t="n">
        <x:v>11.58</x:v>
      </x:c>
      <x:c r="K46" s="118" t="n">
        <x:v>18.16</x:v>
      </x:c>
      <x:c r="L46" s="118" t="n">
        <x:v>14.94</x:v>
      </x:c>
      <x:c r="M46" s="118" t="n">
        <x:v>19.51</x:v>
      </x:c>
      <x:c r="N46" s="118" t="n">
        <x:v>19.72</x:v>
      </x:c>
      <x:c r="O46" s="118" t="n">
        <x:v>11.21</x:v>
      </x:c>
      <x:c r="P46" s="118" t="n">
        <x:v>11.75</x:v>
      </x:c>
      <x:c r="Q46" s="118" t="n">
        <x:v>11.67</x:v>
      </x:c>
      <x:c r="R46" s="118" t="n">
        <x:v>16.55</x:v>
      </x:c>
      <x:c r="S46" s="118" t="n">
        <x:v>173.01</x:v>
      </x:c>
    </x:row>
    <x:row r="47">
      <x:c r="A47" s="107" t="str">
        <x:v>Chine</x:v>
      </x:c>
      <x:c r="B47" s="107" t="str">
        <x:v>REPRESENTANT CHINE - A VALIDER</x:v>
      </x:c>
      <x:c r="C47" s="108" t="str">
        <x:v>FP2 COUPE</x:v>
      </x:c>
      <x:c r="D47" s="108" t="str">
        <x:v>USD</x:v>
      </x:c>
      <x:c r="E47" s="108" t="str">
        <x:v>Chiffre d'affaires devise</x:v>
      </x:c>
      <x:c r="F47" s="108" t="str">
        <x:v>USD</x:v>
      </x:c>
      <x:c r="G47" s="118" t="n">
        <x:v>16167.74</x:v>
      </x:c>
      <x:c r="H47" s="118" t="n">
        <x:v>15855.32</x:v>
      </x:c>
      <x:c r="I47" s="118" t="n">
        <x:v>17339.31</x:v>
      </x:c>
      <x:c r="J47" s="118" t="n">
        <x:v>15074.26</x:v>
      </x:c>
      <x:c r="K47" s="118" t="n">
        <x:v>23639.78</x:v>
      </x:c>
      <x:c r="L47" s="118" t="n">
        <x:v>19448.15</x:v>
      </x:c>
      <x:c r="M47" s="118" t="n">
        <x:v>25397.14</x:v>
      </x:c>
      <x:c r="N47" s="118" t="n">
        <x:v>25670.51</x:v>
      </x:c>
      <x:c r="O47" s="118" t="n">
        <x:v>14592.62</x:v>
      </x:c>
      <x:c r="P47" s="118" t="n">
        <x:v>15295.56</x:v>
      </x:c>
      <x:c r="Q47" s="118" t="n">
        <x:v>15191.42</x:v>
      </x:c>
      <x:c r="R47" s="118" t="n">
        <x:v>21543.96</x:v>
      </x:c>
      <x:c r="S47" s="118" t="n">
        <x:v>225215.77</x:v>
      </x:c>
    </x:row>
    <x:row r="48">
      <x:c r="A48" s="109" t="str">
        <x:v>Chine</x:v>
      </x:c>
      <x:c r="B48" s="109" t="str">
        <x:v>REPRESENTANT CHINE - A VALIDER</x:v>
      </x:c>
      <x:c r="C48" s="109" t="str">
        <x:v>FP2 COUPE</x:v>
      </x:c>
      <x:c r="D48" s="109" t="str">
        <x:v>USD</x:v>
      </x:c>
      <x:c r="E48" s="109" t="str">
        <x:v>Chiffre d'affaires MGA</x:v>
      </x:c>
      <x:c r="F48" s="109" t="str">
        <x:v>MGA</x:v>
      </x:c>
      <x:c r="G48" s="119" t="n">
        <x:f>IF($D48="USD",G47*'Donnees SOMIDA'!$B$5,IF($D48="JPY",G47*'Donnees SOMIDA'!$B$6,0))</x:f>
        <x:v>73724894.4</x:v>
      </x:c>
      <x:c r="H48" s="119" t="n">
        <x:f>IF($D48="USD",H47*'Donnees SOMIDA'!$B$5,IF($D48="JPY",H47*'Donnees SOMIDA'!$B$6,0))</x:f>
        <x:v>72300259.2</x:v>
      </x:c>
      <x:c r="I48" s="119" t="n">
        <x:f>IF($D48="USD",I47*'Donnees SOMIDA'!$B$5,IF($D48="JPY",I47*'Donnees SOMIDA'!$B$6,0))</x:f>
        <x:v>79067253.60000001</x:v>
      </x:c>
      <x:c r="J48" s="119" t="n">
        <x:f>IF($D48="USD",J47*'Donnees SOMIDA'!$B$5,IF($D48="JPY",J47*'Donnees SOMIDA'!$B$6,0))</x:f>
        <x:v>68738625.6</x:v>
      </x:c>
      <x:c r="K48" s="119" t="n">
        <x:f>IF($D48="USD",K47*'Donnees SOMIDA'!$B$5,IF($D48="JPY",K47*'Donnees SOMIDA'!$B$6,0))</x:f>
        <x:v>107797396.8</x:v>
      </x:c>
      <x:c r="L48" s="119" t="n">
        <x:f>IF($D48="USD",L47*'Donnees SOMIDA'!$B$5,IF($D48="JPY",L47*'Donnees SOMIDA'!$B$6,0))</x:f>
        <x:v>88683564</x:v>
      </x:c>
      <x:c r="M48" s="119" t="n">
        <x:f>IF($D48="USD",M47*'Donnees SOMIDA'!$B$5,IF($D48="JPY",M47*'Donnees SOMIDA'!$B$6,0))</x:f>
        <x:v>115810958.39999999</x:v>
      </x:c>
      <x:c r="N48" s="119" t="n">
        <x:f>IF($D48="USD",N47*'Donnees SOMIDA'!$B$5,IF($D48="JPY",N47*'Donnees SOMIDA'!$B$6,0))</x:f>
        <x:v>117057525.6</x:v>
      </x:c>
      <x:c r="O48" s="119" t="n">
        <x:f>IF($D48="USD",O47*'Donnees SOMIDA'!$B$5,IF($D48="JPY",O47*'Donnees SOMIDA'!$B$6,0))</x:f>
        <x:v>66542347.2</x:v>
      </x:c>
      <x:c r="P48" s="119" t="n">
        <x:f>IF($D48="USD",P47*'Donnees SOMIDA'!$B$5,IF($D48="JPY",P47*'Donnees SOMIDA'!$B$6,0))</x:f>
        <x:v>69747753.6</x:v>
      </x:c>
      <x:c r="Q48" s="119" t="n">
        <x:f>IF($D48="USD",Q47*'Donnees SOMIDA'!$B$5,IF($D48="JPY",Q47*'Donnees SOMIDA'!$B$6,0))</x:f>
        <x:v>69272875.2</x:v>
      </x:c>
      <x:c r="R48" s="119" t="n">
        <x:f>IF($D48="USD",R47*'Donnees SOMIDA'!$B$5,IF($D48="JPY",R47*'Donnees SOMIDA'!$B$6,0))</x:f>
        <x:v>98240457.6</x:v>
      </x:c>
      <x:c r="S48" s="119" t="n">
        <x:f>SUM(G48:R48)</x:f>
        <x:v>1026983911.2000003</x:v>
      </x:c>
    </x:row>
    <x:row r="49">
      <x:c r="A49" s="107" t="str">
        <x:v>Chine</x:v>
      </x:c>
      <x:c r="B49" s="107" t="str">
        <x:v>REPRESENTANT CHINE - A VALIDER</x:v>
      </x:c>
      <x:c r="C49" s="108" t="str">
        <x:v>TRA</x:v>
      </x:c>
      <x:c r="D49" s="108" t="str">
        <x:v>USD</x:v>
      </x:c>
      <x:c r="E49" s="108" t="str">
        <x:v>Quantité exportée</x:v>
      </x:c>
      <x:c r="F49" s="108" t="str">
        <x:v>tonnes</x:v>
      </x:c>
      <x:c r="G49" s="118" t="n">
        <x:v>20.77</x:v>
      </x:c>
      <x:c r="H49" s="118" t="n">
        <x:v>17.04</x:v>
      </x:c>
      <x:c r="I49" s="118" t="n">
        <x:v>24.03</x:v>
      </x:c>
      <x:c r="J49" s="118" t="n">
        <x:v>19.43</x:v>
      </x:c>
      <x:c r="K49" s="118" t="n">
        <x:v>25.01</x:v>
      </x:c>
      <x:c r="L49" s="118" t="n">
        <x:v>17.84</x:v>
      </x:c>
      <x:c r="M49" s="118" t="n">
        <x:v>21.01</x:v>
      </x:c>
      <x:c r="N49" s="118" t="n">
        <x:v>25.6</x:v>
      </x:c>
      <x:c r="O49" s="118" t="n">
        <x:v>17.41</x:v>
      </x:c>
      <x:c r="P49" s="118" t="n">
        <x:v>21.82</x:v>
      </x:c>
      <x:c r="Q49" s="118" t="n">
        <x:v>17.39</x:v>
      </x:c>
      <x:c r="R49" s="118" t="n">
        <x:v>21.9</x:v>
      </x:c>
      <x:c r="S49" s="118" t="n">
        <x:v>249.25</x:v>
      </x:c>
    </x:row>
    <x:row r="50">
      <x:c r="A50" s="107" t="str">
        <x:v>Chine</x:v>
      </x:c>
      <x:c r="B50" s="107" t="str">
        <x:v>REPRESENTANT CHINE - A VALIDER</x:v>
      </x:c>
      <x:c r="C50" s="108" t="str">
        <x:v>TRA</x:v>
      </x:c>
      <x:c r="D50" s="108" t="str">
        <x:v>USD</x:v>
      </x:c>
      <x:c r="E50" s="108" t="str">
        <x:v>Chiffre d'affaires devise</x:v>
      </x:c>
      <x:c r="F50" s="108" t="str">
        <x:v>USD</x:v>
      </x:c>
      <x:c r="G50" s="118" t="n">
        <x:v>29592.06</x:v>
      </x:c>
      <x:c r="H50" s="118" t="n">
        <x:v>24277.74</x:v>
      </x:c>
      <x:c r="I50" s="118" t="n">
        <x:v>34236.74</x:v>
      </x:c>
      <x:c r="J50" s="118" t="n">
        <x:v>27682.89</x:v>
      </x:c>
      <x:c r="K50" s="118" t="n">
        <x:v>35633</x:v>
      </x:c>
      <x:c r="L50" s="118" t="n">
        <x:v>25417.54</x:v>
      </x:c>
      <x:c r="M50" s="118" t="n">
        <x:v>29934</x:v>
      </x:c>
      <x:c r="N50" s="118" t="n">
        <x:v>36473.6</x:v>
      </x:c>
      <x:c r="O50" s="118" t="n">
        <x:v>24804.9</x:v>
      </x:c>
      <x:c r="P50" s="118" t="n">
        <x:v>31088.04</x:v>
      </x:c>
      <x:c r="Q50" s="118" t="n">
        <x:v>24776.4</x:v>
      </x:c>
      <x:c r="R50" s="118" t="n">
        <x:v>31202.02</x:v>
      </x:c>
      <x:c r="S50" s="118" t="n">
        <x:v>355118.93</x:v>
      </x:c>
    </x:row>
    <x:row r="51">
      <x:c r="A51" s="109" t="str">
        <x:v>Chine</x:v>
      </x:c>
      <x:c r="B51" s="109" t="str">
        <x:v>REPRESENTANT CHINE - A VALIDER</x:v>
      </x:c>
      <x:c r="C51" s="109" t="str">
        <x:v>TRA</x:v>
      </x:c>
      <x:c r="D51" s="109" t="str">
        <x:v>USD</x:v>
      </x:c>
      <x:c r="E51" s="109" t="str">
        <x:v>Chiffre d'affaires MGA</x:v>
      </x:c>
      <x:c r="F51" s="109" t="str">
        <x:v>MGA</x:v>
      </x:c>
      <x:c r="G51" s="119" t="n">
        <x:f>IF($D51="USD",G50*'Donnees SOMIDA'!$B$5,IF($D51="JPY",G50*'Donnees SOMIDA'!$B$6,0))</x:f>
        <x:v>134939793.6</x:v>
      </x:c>
      <x:c r="H51" s="119" t="n">
        <x:f>IF($D51="USD",H50*'Donnees SOMIDA'!$B$5,IF($D51="JPY",H50*'Donnees SOMIDA'!$B$6,0))</x:f>
        <x:v>110706494.4</x:v>
      </x:c>
      <x:c r="I51" s="119" t="n">
        <x:f>IF($D51="USD",I50*'Donnees SOMIDA'!$B$5,IF($D51="JPY",I50*'Donnees SOMIDA'!$B$6,0))</x:f>
        <x:v>156119534.39999998</x:v>
      </x:c>
      <x:c r="J51" s="119" t="n">
        <x:f>IF($D51="USD",J50*'Donnees SOMIDA'!$B$5,IF($D51="JPY",J50*'Donnees SOMIDA'!$B$6,0))</x:f>
        <x:v>126233978.39999999</x:v>
      </x:c>
      <x:c r="K51" s="119" t="n">
        <x:f>IF($D51="USD",K50*'Donnees SOMIDA'!$B$5,IF($D51="JPY",K50*'Donnees SOMIDA'!$B$6,0))</x:f>
        <x:v>162486480</x:v>
      </x:c>
      <x:c r="L51" s="119" t="n">
        <x:f>IF($D51="USD",L50*'Donnees SOMIDA'!$B$5,IF($D51="JPY",L50*'Donnees SOMIDA'!$B$6,0))</x:f>
        <x:v>115903982.4</x:v>
      </x:c>
      <x:c r="M51" s="119" t="n">
        <x:f>IF($D51="USD",M50*'Donnees SOMIDA'!$B$5,IF($D51="JPY",M50*'Donnees SOMIDA'!$B$6,0))</x:f>
        <x:v>136499040</x:v>
      </x:c>
      <x:c r="N51" s="119" t="n">
        <x:f>IF($D51="USD",N50*'Donnees SOMIDA'!$B$5,IF($D51="JPY",N50*'Donnees SOMIDA'!$B$6,0))</x:f>
        <x:v>166319616</x:v>
      </x:c>
      <x:c r="O51" s="119" t="n">
        <x:f>IF($D51="USD",O50*'Donnees SOMIDA'!$B$5,IF($D51="JPY",O50*'Donnees SOMIDA'!$B$6,0))</x:f>
        <x:v>113110344</x:v>
      </x:c>
      <x:c r="P51" s="119" t="n">
        <x:f>IF($D51="USD",P50*'Donnees SOMIDA'!$B$5,IF($D51="JPY",P50*'Donnees SOMIDA'!$B$6,0))</x:f>
        <x:v>141761462.4</x:v>
      </x:c>
      <x:c r="Q51" s="119" t="n">
        <x:f>IF($D51="USD",Q50*'Donnees SOMIDA'!$B$5,IF($D51="JPY",Q50*'Donnees SOMIDA'!$B$6,0))</x:f>
        <x:v>112980384</x:v>
      </x:c>
      <x:c r="R51" s="119" t="n">
        <x:f>IF($D51="USD",R50*'Donnees SOMIDA'!$B$5,IF($D51="JPY",R50*'Donnees SOMIDA'!$B$6,0))</x:f>
        <x:v>142281211.2</x:v>
      </x:c>
      <x:c r="S51" s="119" t="n">
        <x:f>SUM(G51:R51)</x:f>
        <x:v>1619342320.8</x:v>
      </x:c>
    </x:row>
    <x:row r="52">
      <x:c r="A52" s="107" t="str">
        <x:v>Chine</x:v>
      </x:c>
      <x:c r="B52" s="107" t="str">
        <x:v>REPRESENTANT CHINE - A VALIDER</x:v>
      </x:c>
      <x:c r="C52" s="108" t="str">
        <x:v>BSA</x:v>
      </x:c>
      <x:c r="D52" s="108" t="str">
        <x:v>USD</x:v>
      </x:c>
      <x:c r="E52" s="108" t="str">
        <x:v>Quantité exportée</x:v>
      </x:c>
      <x:c r="F52" s="108" t="str">
        <x:v>tonnes</x:v>
      </x:c>
      <x:c r="G52" s="118" t="n">
        <x:v>10.1</x:v>
      </x:c>
      <x:c r="H52" s="118" t="n">
        <x:v>13.56</x:v>
      </x:c>
      <x:c r="I52" s="118" t="n">
        <x:v>14.16</x:v>
      </x:c>
      <x:c r="J52" s="118" t="n">
        <x:v>13.22</x:v>
      </x:c>
      <x:c r="K52" s="118" t="n">
        <x:v>13.07</x:v>
      </x:c>
      <x:c r="L52" s="118" t="n">
        <x:v>11.04</x:v>
      </x:c>
      <x:c r="M52" s="118" t="n">
        <x:v>13.82</x:v>
      </x:c>
      <x:c r="N52" s="118" t="n">
        <x:v>14.34</x:v>
      </x:c>
      <x:c r="O52" s="118" t="n">
        <x:v>10.68</x:v>
      </x:c>
      <x:c r="P52" s="118" t="n">
        <x:v>10.06</x:v>
      </x:c>
      <x:c r="Q52" s="118" t="n">
        <x:v>14.38</x:v>
      </x:c>
      <x:c r="R52" s="118" t="n">
        <x:v>12.25</x:v>
      </x:c>
      <x:c r="S52" s="118" t="n">
        <x:v>150.68</x:v>
      </x:c>
    </x:row>
    <x:row r="53">
      <x:c r="A53" s="107" t="str">
        <x:v>Chine</x:v>
      </x:c>
      <x:c r="B53" s="107" t="str">
        <x:v>REPRESENTANT CHINE - A VALIDER</x:v>
      </x:c>
      <x:c r="C53" s="108" t="str">
        <x:v>BSA</x:v>
      </x:c>
      <x:c r="D53" s="108" t="str">
        <x:v>USD</x:v>
      </x:c>
      <x:c r="E53" s="108" t="str">
        <x:v>Chiffre d'affaires devise</x:v>
      </x:c>
      <x:c r="F53" s="108" t="str">
        <x:v>USD</x:v>
      </x:c>
      <x:c r="G53" s="118" t="n">
        <x:v>12215.95</x:v>
      </x:c>
      <x:c r="H53" s="118" t="n">
        <x:v>16400.82</x:v>
      </x:c>
      <x:c r="I53" s="118" t="n">
        <x:v>17126.52</x:v>
      </x:c>
      <x:c r="J53" s="118" t="n">
        <x:v>15989.59</x:v>
      </x:c>
      <x:c r="K53" s="118" t="n">
        <x:v>15808.17</x:v>
      </x:c>
      <x:c r="L53" s="118" t="n">
        <x:v>13352.88</x:v>
      </x:c>
      <x:c r="M53" s="118" t="n">
        <x:v>16715.29</x:v>
      </x:c>
      <x:c r="N53" s="118" t="n">
        <x:v>17344.23</x:v>
      </x:c>
      <x:c r="O53" s="118" t="n">
        <x:v>12917.46</x:v>
      </x:c>
      <x:c r="P53" s="118" t="n">
        <x:v>12167.57</x:v>
      </x:c>
      <x:c r="Q53" s="118" t="n">
        <x:v>17392.61</x:v>
      </x:c>
      <x:c r="R53" s="118" t="n">
        <x:v>14816.38</x:v>
      </x:c>
      <x:c r="S53" s="118" t="n">
        <x:v>182247.47</x:v>
      </x:c>
    </x:row>
    <x:row r="54">
      <x:c r="A54" s="109" t="str">
        <x:v>Chine</x:v>
      </x:c>
      <x:c r="B54" s="109" t="str">
        <x:v>REPRESENTANT CHINE - A VALIDER</x:v>
      </x:c>
      <x:c r="C54" s="109" t="str">
        <x:v>BSA</x:v>
      </x:c>
      <x:c r="D54" s="109" t="str">
        <x:v>USD</x:v>
      </x:c>
      <x:c r="E54" s="109" t="str">
        <x:v>Chiffre d'affaires MGA</x:v>
      </x:c>
      <x:c r="F54" s="109" t="str">
        <x:v>MGA</x:v>
      </x:c>
      <x:c r="G54" s="119" t="n">
        <x:f>IF($D54="USD",G53*'Donnees SOMIDA'!$B$5,IF($D54="JPY",G53*'Donnees SOMIDA'!$B$6,0))</x:f>
        <x:v>55704732</x:v>
      </x:c>
      <x:c r="H54" s="119" t="n">
        <x:f>IF($D54="USD",H53*'Donnees SOMIDA'!$B$5,IF($D54="JPY",H53*'Donnees SOMIDA'!$B$6,0))</x:f>
        <x:v>74787739.2</x:v>
      </x:c>
      <x:c r="I54" s="119" t="n">
        <x:f>IF($D54="USD",I53*'Donnees SOMIDA'!$B$5,IF($D54="JPY",I53*'Donnees SOMIDA'!$B$6,0))</x:f>
        <x:v>78096931.2</x:v>
      </x:c>
      <x:c r="J54" s="119" t="n">
        <x:f>IF($D54="USD",J53*'Donnees SOMIDA'!$B$5,IF($D54="JPY",J53*'Donnees SOMIDA'!$B$6,0))</x:f>
        <x:v>72912530.4</x:v>
      </x:c>
      <x:c r="K54" s="119" t="n">
        <x:f>IF($D54="USD",K53*'Donnees SOMIDA'!$B$5,IF($D54="JPY",K53*'Donnees SOMIDA'!$B$6,0))</x:f>
        <x:v>72085255.2</x:v>
      </x:c>
      <x:c r="L54" s="119" t="n">
        <x:f>IF($D54="USD",L53*'Donnees SOMIDA'!$B$5,IF($D54="JPY",L53*'Donnees SOMIDA'!$B$6,0))</x:f>
        <x:v>60889132.8</x:v>
      </x:c>
      <x:c r="M54" s="119" t="n">
        <x:f>IF($D54="USD",M53*'Donnees SOMIDA'!$B$5,IF($D54="JPY",M53*'Donnees SOMIDA'!$B$6,0))</x:f>
        <x:v>76221722.4</x:v>
      </x:c>
      <x:c r="N54" s="119" t="n">
        <x:f>IF($D54="USD",N53*'Donnees SOMIDA'!$B$5,IF($D54="JPY",N53*'Donnees SOMIDA'!$B$6,0))</x:f>
        <x:v>79089688.8</x:v>
      </x:c>
      <x:c r="O54" s="119" t="n">
        <x:f>IF($D54="USD",O53*'Donnees SOMIDA'!$B$5,IF($D54="JPY",O53*'Donnees SOMIDA'!$B$6,0))</x:f>
        <x:v>58903617.599999994</x:v>
      </x:c>
      <x:c r="P54" s="119" t="n">
        <x:f>IF($D54="USD",P53*'Donnees SOMIDA'!$B$5,IF($D54="JPY",P53*'Donnees SOMIDA'!$B$6,0))</x:f>
        <x:v>55484119.199999996</x:v>
      </x:c>
      <x:c r="Q54" s="119" t="n">
        <x:f>IF($D54="USD",Q53*'Donnees SOMIDA'!$B$5,IF($D54="JPY",Q53*'Donnees SOMIDA'!$B$6,0))</x:f>
        <x:v>79310301.60000001</x:v>
      </x:c>
      <x:c r="R54" s="119" t="n">
        <x:f>IF($D54="USD",R53*'Donnees SOMIDA'!$B$5,IF($D54="JPY",R53*'Donnees SOMIDA'!$B$6,0))</x:f>
        <x:v>67562692.8</x:v>
      </x:c>
      <x:c r="S54" s="119" t="n">
        <x:f>SUM(G54:R54)</x:f>
        <x:v>831048463.2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A5:C5"/>
    <x:mergeCell ref="D5:F5"/>
    <x:mergeCell ref="G5:I5"/>
    <x:mergeCell ref="J5:L5"/>
    <x:mergeCell ref="M5:O5"/>
    <x:mergeCell ref="P5:S5"/>
    <x:mergeCell ref="A7:S7"/>
  </x:mergeCells>
  <x:conditionalFormatting sqref="S10:S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A74A3F-6AFA-3C89-6848-3917534EA35A}">
            <x14:dataBar gradient="1">
              <x14:cfvo type="min"/>
              <x14:cfvo type="max"/>
              <x14:fillColor rgb="FFA02B93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0" hidden="0" customWidth="1"/>
    <x:col min="3" max="3" width="24" hidden="0" customWidth="1"/>
    <x:col min="4" max="4" width="4.75" hidden="0" customWidth="1"/>
    <x:col min="5" max="5" width="8.88000011444091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8.880000114440918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8.880000114440918" hidden="0" customWidth="1"/>
    <x:col min="17" max="17" width="9.880000114440918" hidden="0" customWidth="1"/>
  </x:cols>
  <x:sheetData>
    <x:row r="1">
      <x:c r="A1" s="6" t="str">
        <x:v>Pays</x:v>
      </x:c>
      <x:c r="B1" s="6" t="str">
        <x:v>Entité représentatrice</x:v>
      </x:c>
      <x:c r="C1" s="6" t="str">
        <x:v>Nature frais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Japon</x:v>
      </x:c>
      <x:c r="B2" t="str">
        <x:v>GOODEIS</x:v>
      </x:c>
      <x:c r="C2" t="str">
        <x:v>Transport local</x:v>
      </x:c>
      <x:c r="D2" t="str">
        <x:v>MGA</x:v>
      </x:c>
      <x:c r="E2" s="16" t="n">
        <x:v>14753000</x:v>
      </x:c>
      <x:c r="F2" s="16" t="n">
        <x:v>13416000</x:v>
      </x:c>
      <x:c r="G2" s="16" t="n">
        <x:v>17106000</x:v>
      </x:c>
      <x:c r="H2" s="16" t="n">
        <x:v>15581000</x:v>
      </x:c>
      <x:c r="I2" s="16" t="n">
        <x:v>16042000</x:v>
      </x:c>
      <x:c r="J2" s="16" t="n">
        <x:v>15646000</x:v>
      </x:c>
      <x:c r="K2" s="16" t="n">
        <x:v>14831000</x:v>
      </x:c>
      <x:c r="L2" s="16" t="n">
        <x:v>16267000</x:v>
      </x:c>
      <x:c r="M2" s="16" t="n">
        <x:v>16701000</x:v>
      </x:c>
      <x:c r="N2" s="16" t="n">
        <x:v>14028000</x:v>
      </x:c>
      <x:c r="O2" s="16" t="n">
        <x:v>13499000</x:v>
      </x:c>
      <x:c r="P2" s="16" t="n">
        <x:v>16836000</x:v>
      </x:c>
      <x:c r="Q2" s="16" t="n">
        <x:v>184706000</x:v>
      </x:c>
    </x:row>
    <x:row r="3">
      <x:c r="A3" t="str">
        <x:v>Japon</x:v>
      </x:c>
      <x:c r="B3" t="str">
        <x:v>GOODEIS</x:v>
      </x:c>
      <x:c r="C3" t="str">
        <x:v>Transit &amp; documents</x:v>
      </x:c>
      <x:c r="D3" t="str">
        <x:v>MGA</x:v>
      </x:c>
      <x:c r="E3" s="16" t="n">
        <x:v>7654000</x:v>
      </x:c>
      <x:c r="F3" s="16" t="n">
        <x:v>7887000</x:v>
      </x:c>
      <x:c r="G3" s="16" t="n">
        <x:v>7855000</x:v>
      </x:c>
      <x:c r="H3" s="16" t="n">
        <x:v>7863000</x:v>
      </x:c>
      <x:c r="I3" s="16" t="n">
        <x:v>7310000</x:v>
      </x:c>
      <x:c r="J3" s="16" t="n">
        <x:v>6543000</x:v>
      </x:c>
      <x:c r="K3" s="16" t="n">
        <x:v>7123000</x:v>
      </x:c>
      <x:c r="L3" s="16" t="n">
        <x:v>7323000</x:v>
      </x:c>
      <x:c r="M3" s="16" t="n">
        <x:v>6950000</x:v>
      </x:c>
      <x:c r="N3" s="16" t="n">
        <x:v>6690000</x:v>
      </x:c>
      <x:c r="O3" s="16" t="n">
        <x:v>6145000</x:v>
      </x:c>
      <x:c r="P3" s="16" t="n">
        <x:v>7893000</x:v>
      </x:c>
      <x:c r="Q3" s="16" t="n">
        <x:v>87236000</x:v>
      </x:c>
    </x:row>
    <x:row r="4">
      <x:c r="A4" t="str">
        <x:v>Japon</x:v>
      </x:c>
      <x:c r="B4" t="str">
        <x:v>GOODEIS</x:v>
      </x:c>
      <x:c r="C4" t="str">
        <x:v>Manutention portuaire</x:v>
      </x:c>
      <x:c r="D4" t="str">
        <x:v>MGA</x:v>
      </x:c>
      <x:c r="E4" s="16" t="n">
        <x:v>8393000</x:v>
      </x:c>
      <x:c r="F4" s="16" t="n">
        <x:v>10022000</x:v>
      </x:c>
      <x:c r="G4" s="16" t="n">
        <x:v>8553000</x:v>
      </x:c>
      <x:c r="H4" s="16" t="n">
        <x:v>9369000</x:v>
      </x:c>
      <x:c r="I4" s="16" t="n">
        <x:v>8782000</x:v>
      </x:c>
      <x:c r="J4" s="16" t="n">
        <x:v>8174000</x:v>
      </x:c>
      <x:c r="K4" s="16" t="n">
        <x:v>10658000</x:v>
      </x:c>
      <x:c r="L4" s="16" t="n">
        <x:v>8430000</x:v>
      </x:c>
      <x:c r="M4" s="16" t="n">
        <x:v>7975000</x:v>
      </x:c>
      <x:c r="N4" s="16" t="n">
        <x:v>10003000</x:v>
      </x:c>
      <x:c r="O4" s="16" t="n">
        <x:v>8894000</x:v>
      </x:c>
      <x:c r="P4" s="16" t="n">
        <x:v>8458000</x:v>
      </x:c>
      <x:c r="Q4" s="16" t="n">
        <x:v>107711000</x:v>
      </x:c>
    </x:row>
    <x:row r="5">
      <x:c r="A5" t="str">
        <x:v>Japon</x:v>
      </x:c>
      <x:c r="B5" t="str">
        <x:v>GOODEIS</x:v>
      </x:c>
      <x:c r="C5" t="str">
        <x:v>Fret international</x:v>
      </x:c>
      <x:c r="D5" t="str">
        <x:v>MGA</x:v>
      </x:c>
      <x:c r="E5" s="16" t="n">
        <x:v>56351000</x:v>
      </x:c>
      <x:c r="F5" s="16" t="n">
        <x:v>45347000</x:v>
      </x:c>
      <x:c r="G5" s="16" t="n">
        <x:v>54531000</x:v>
      </x:c>
      <x:c r="H5" s="16" t="n">
        <x:v>55988000</x:v>
      </x:c>
      <x:c r="I5" s="16" t="n">
        <x:v>56202000</x:v>
      </x:c>
      <x:c r="J5" s="16" t="n">
        <x:v>53591000</x:v>
      </x:c>
      <x:c r="K5" s="16" t="n">
        <x:v>45273000</x:v>
      </x:c>
      <x:c r="L5" s="16" t="n">
        <x:v>54702000</x:v>
      </x:c>
      <x:c r="M5" s="16" t="n">
        <x:v>52777000</x:v>
      </x:c>
      <x:c r="N5" s="16" t="n">
        <x:v>46571000</x:v>
      </x:c>
      <x:c r="O5" s="16" t="n">
        <x:v>44719000</x:v>
      </x:c>
      <x:c r="P5" s="16" t="n">
        <x:v>58538000</x:v>
      </x:c>
      <x:c r="Q5" s="16" t="n">
        <x:v>624590000</x:v>
      </x:c>
    </x:row>
    <x:row r="6">
      <x:c r="A6" t="str">
        <x:v>Japon</x:v>
      </x:c>
      <x:c r="B6" t="str">
        <x:v>GOODEIS</x:v>
      </x:c>
      <x:c r="C6" t="str">
        <x:v>Assurance transport</x:v>
      </x:c>
      <x:c r="D6" t="str">
        <x:v>MGA</x:v>
      </x:c>
      <x:c r="E6" s="16" t="n">
        <x:v>4510000</x:v>
      </x:c>
      <x:c r="F6" s="16" t="n">
        <x:v>4969000</x:v>
      </x:c>
      <x:c r="G6" s="16" t="n">
        <x:v>4443000</x:v>
      </x:c>
      <x:c r="H6" s="16" t="n">
        <x:v>4441000</x:v>
      </x:c>
      <x:c r="I6" s="16" t="n">
        <x:v>4569000</x:v>
      </x:c>
      <x:c r="J6" s="16" t="n">
        <x:v>4890000</x:v>
      </x:c>
      <x:c r="K6" s="16" t="n">
        <x:v>4609000</x:v>
      </x:c>
      <x:c r="L6" s="16" t="n">
        <x:v>4801000</x:v>
      </x:c>
      <x:c r="M6" s="16" t="n">
        <x:v>4545000</x:v>
      </x:c>
      <x:c r="N6" s="16" t="n">
        <x:v>4426000</x:v>
      </x:c>
      <x:c r="O6" s="16" t="n">
        <x:v>4644000</x:v>
      </x:c>
      <x:c r="P6" s="16" t="n">
        <x:v>5482000</x:v>
      </x:c>
      <x:c r="Q6" s="16" t="n">
        <x:v>56329000</x:v>
      </x:c>
    </x:row>
    <x:row r="7">
      <x:c r="A7" t="str">
        <x:v>Japon</x:v>
      </x:c>
      <x:c r="B7" t="str">
        <x:v>GOODEIS</x:v>
      </x:c>
      <x:c r="C7" t="str">
        <x:v>Frais bancaires export</x:v>
      </x:c>
      <x:c r="D7" t="str">
        <x:v>MGA</x:v>
      </x:c>
      <x:c r="E7" s="16" t="n">
        <x:v>3963000</x:v>
      </x:c>
      <x:c r="F7" s="16" t="n">
        <x:v>3201000</x:v>
      </x:c>
      <x:c r="G7" s="16" t="n">
        <x:v>3005000</x:v>
      </x:c>
      <x:c r="H7" s="16" t="n">
        <x:v>3266000</x:v>
      </x:c>
      <x:c r="I7" s="16" t="n">
        <x:v>3044000</x:v>
      </x:c>
      <x:c r="J7" s="16" t="n">
        <x:v>3874000</x:v>
      </x:c>
      <x:c r="K7" s="16" t="n">
        <x:v>3413000</x:v>
      </x:c>
      <x:c r="L7" s="16" t="n">
        <x:v>3007000</x:v>
      </x:c>
      <x:c r="M7" s="16" t="n">
        <x:v>4015000</x:v>
      </x:c>
      <x:c r="N7" s="16" t="n">
        <x:v>3765000</x:v>
      </x:c>
      <x:c r="O7" s="16" t="n">
        <x:v>3991000</x:v>
      </x:c>
      <x:c r="P7" s="16" t="n">
        <x:v>3614000</x:v>
      </x:c>
      <x:c r="Q7" s="16" t="n">
        <x:v>42158000</x:v>
      </x:c>
    </x:row>
    <x:row r="8">
      <x:c r="A8" t="str">
        <x:v>Russie</x:v>
      </x:c>
      <x:c r="B8" t="str">
        <x:v>ELINAR</x:v>
      </x:c>
      <x:c r="C8" t="str">
        <x:v>Transport local</x:v>
      </x:c>
      <x:c r="D8" t="str">
        <x:v>MGA</x:v>
      </x:c>
      <x:c r="E8" s="16" t="n">
        <x:v>15484000</x:v>
      </x:c>
      <x:c r="F8" s="16" t="n">
        <x:v>14794000</x:v>
      </x:c>
      <x:c r="G8" s="16" t="n">
        <x:v>15698000</x:v>
      </x:c>
      <x:c r="H8" s="16" t="n">
        <x:v>16581000</x:v>
      </x:c>
      <x:c r="I8" s="16" t="n">
        <x:v>14471000</x:v>
      </x:c>
      <x:c r="J8" s="16" t="n">
        <x:v>14589000</x:v>
      </x:c>
      <x:c r="K8" s="16" t="n">
        <x:v>14271000</x:v>
      </x:c>
      <x:c r="L8" s="16" t="n">
        <x:v>18467000</x:v>
      </x:c>
      <x:c r="M8" s="16" t="n">
        <x:v>16038000</x:v>
      </x:c>
      <x:c r="N8" s="16" t="n">
        <x:v>15447000</x:v>
      </x:c>
      <x:c r="O8" s="16" t="n">
        <x:v>15290000</x:v>
      </x:c>
      <x:c r="P8" s="16" t="n">
        <x:v>13865000</x:v>
      </x:c>
      <x:c r="Q8" s="16" t="n">
        <x:v>184995000</x:v>
      </x:c>
    </x:row>
    <x:row r="9">
      <x:c r="A9" t="str">
        <x:v>Russie</x:v>
      </x:c>
      <x:c r="B9" t="str">
        <x:v>ELINAR</x:v>
      </x:c>
      <x:c r="C9" t="str">
        <x:v>Transit &amp; documents</x:v>
      </x:c>
      <x:c r="D9" t="str">
        <x:v>MGA</x:v>
      </x:c>
      <x:c r="E9" s="16" t="n">
        <x:v>8250000</x:v>
      </x:c>
      <x:c r="F9" s="16" t="n">
        <x:v>6729000</x:v>
      </x:c>
      <x:c r="G9" s="16" t="n">
        <x:v>6584000</x:v>
      </x:c>
      <x:c r="H9" s="16" t="n">
        <x:v>7219000</x:v>
      </x:c>
      <x:c r="I9" s="16" t="n">
        <x:v>6904000</x:v>
      </x:c>
      <x:c r="J9" s="16" t="n">
        <x:v>6591000</x:v>
      </x:c>
      <x:c r="K9" s="16" t="n">
        <x:v>7806000</x:v>
      </x:c>
      <x:c r="L9" s="16" t="n">
        <x:v>6414000</x:v>
      </x:c>
      <x:c r="M9" s="16" t="n">
        <x:v>6761000</x:v>
      </x:c>
      <x:c r="N9" s="16" t="n">
        <x:v>8166000</x:v>
      </x:c>
      <x:c r="O9" s="16" t="n">
        <x:v>8209000</x:v>
      </x:c>
      <x:c r="P9" s="16" t="n">
        <x:v>6880000</x:v>
      </x:c>
      <x:c r="Q9" s="16" t="n">
        <x:v>86513000</x:v>
      </x:c>
    </x:row>
    <x:row r="10">
      <x:c r="A10" t="str">
        <x:v>Russie</x:v>
      </x:c>
      <x:c r="B10" t="str">
        <x:v>ELINAR</x:v>
      </x:c>
      <x:c r="C10" t="str">
        <x:v>Manutention portuaire</x:v>
      </x:c>
      <x:c r="D10" t="str">
        <x:v>MGA</x:v>
      </x:c>
      <x:c r="E10" s="16" t="n">
        <x:v>10696000</x:v>
      </x:c>
      <x:c r="F10" s="16" t="n">
        <x:v>9472000</x:v>
      </x:c>
      <x:c r="G10" s="16" t="n">
        <x:v>9605000</x:v>
      </x:c>
      <x:c r="H10" s="16" t="n">
        <x:v>8691000</x:v>
      </x:c>
      <x:c r="I10" s="16" t="n">
        <x:v>9005000</x:v>
      </x:c>
      <x:c r="J10" s="16" t="n">
        <x:v>10990000</x:v>
      </x:c>
      <x:c r="K10" s="16" t="n">
        <x:v>10995000</x:v>
      </x:c>
      <x:c r="L10" s="16" t="n">
        <x:v>11615000</x:v>
      </x:c>
      <x:c r="M10" s="16" t="n">
        <x:v>10935000</x:v>
      </x:c>
      <x:c r="N10" s="16" t="n">
        <x:v>10567000</x:v>
      </x:c>
      <x:c r="O10" s="16" t="n">
        <x:v>8695000</x:v>
      </x:c>
      <x:c r="P10" s="16" t="n">
        <x:v>9248000</x:v>
      </x:c>
      <x:c r="Q10" s="16" t="n">
        <x:v>120514000</x:v>
      </x:c>
    </x:row>
    <x:row r="11">
      <x:c r="A11" t="str">
        <x:v>Russie</x:v>
      </x:c>
      <x:c r="B11" t="str">
        <x:v>ELINAR</x:v>
      </x:c>
      <x:c r="C11" t="str">
        <x:v>Fret international</x:v>
      </x:c>
      <x:c r="D11" t="str">
        <x:v>MGA</x:v>
      </x:c>
      <x:c r="E11" s="16" t="n">
        <x:v>64525000</x:v>
      </x:c>
      <x:c r="F11" s="16" t="n">
        <x:v>50230000</x:v>
      </x:c>
      <x:c r="G11" s="16" t="n">
        <x:v>59102000</x:v>
      </x:c>
      <x:c r="H11" s="16" t="n">
        <x:v>51234000</x:v>
      </x:c>
      <x:c r="I11" s="16" t="n">
        <x:v>56834000</x:v>
      </x:c>
      <x:c r="J11" s="16" t="n">
        <x:v>63939000</x:v>
      </x:c>
      <x:c r="K11" s="16" t="n">
        <x:v>51924000</x:v>
      </x:c>
      <x:c r="L11" s="16" t="n">
        <x:v>59121000</x:v>
      </x:c>
      <x:c r="M11" s="16" t="n">
        <x:v>49118000</x:v>
      </x:c>
      <x:c r="N11" s="16" t="n">
        <x:v>59321000</x:v>
      </x:c>
      <x:c r="O11" s="16" t="n">
        <x:v>58507000</x:v>
      </x:c>
      <x:c r="P11" s="16" t="n">
        <x:v>53455000</x:v>
      </x:c>
      <x:c r="Q11" s="16" t="n">
        <x:v>677310000</x:v>
      </x:c>
    </x:row>
    <x:row r="12">
      <x:c r="A12" t="str">
        <x:v>Russie</x:v>
      </x:c>
      <x:c r="B12" t="str">
        <x:v>ELINAR</x:v>
      </x:c>
      <x:c r="C12" t="str">
        <x:v>Assurance transport</x:v>
      </x:c>
      <x:c r="D12" t="str">
        <x:v>MGA</x:v>
      </x:c>
      <x:c r="E12" s="16" t="n">
        <x:v>6079000</x:v>
      </x:c>
      <x:c r="F12" s="16" t="n">
        <x:v>5921000</x:v>
      </x:c>
      <x:c r="G12" s="16" t="n">
        <x:v>5863000</x:v>
      </x:c>
      <x:c r="H12" s="16" t="n">
        <x:v>5778000</x:v>
      </x:c>
      <x:c r="I12" s="16" t="n">
        <x:v>5073000</x:v>
      </x:c>
      <x:c r="J12" s="16" t="n">
        <x:v>5964000</x:v>
      </x:c>
      <x:c r="K12" s="16" t="n">
        <x:v>5357000</x:v>
      </x:c>
      <x:c r="L12" s="16" t="n">
        <x:v>5155000</x:v>
      </x:c>
      <x:c r="M12" s="16" t="n">
        <x:v>5545000</x:v>
      </x:c>
      <x:c r="N12" s="16" t="n">
        <x:v>6030000</x:v>
      </x:c>
      <x:c r="O12" s="16" t="n">
        <x:v>5970000</x:v>
      </x:c>
      <x:c r="P12" s="16" t="n">
        <x:v>5060000</x:v>
      </x:c>
      <x:c r="Q12" s="16" t="n">
        <x:v>67795000</x:v>
      </x:c>
    </x:row>
    <x:row r="13">
      <x:c r="A13" t="str">
        <x:v>Russie</x:v>
      </x:c>
      <x:c r="B13" t="str">
        <x:v>ELINAR</x:v>
      </x:c>
      <x:c r="C13" t="str">
        <x:v>Frais bancaires export</x:v>
      </x:c>
      <x:c r="D13" t="str">
        <x:v>MGA</x:v>
      </x:c>
      <x:c r="E13" s="16" t="n">
        <x:v>4355000</x:v>
      </x:c>
      <x:c r="F13" s="16" t="n">
        <x:v>3965000</x:v>
      </x:c>
      <x:c r="G13" s="16" t="n">
        <x:v>4020000</x:v>
      </x:c>
      <x:c r="H13" s="16" t="n">
        <x:v>4194000</x:v>
      </x:c>
      <x:c r="I13" s="16" t="n">
        <x:v>3910000</x:v>
      </x:c>
      <x:c r="J13" s="16" t="n">
        <x:v>3244000</x:v>
      </x:c>
      <x:c r="K13" s="16" t="n">
        <x:v>4037000</x:v>
      </x:c>
      <x:c r="L13" s="16" t="n">
        <x:v>4173000</x:v>
      </x:c>
      <x:c r="M13" s="16" t="n">
        <x:v>3649000</x:v>
      </x:c>
      <x:c r="N13" s="16" t="n">
        <x:v>4135000</x:v>
      </x:c>
      <x:c r="O13" s="16" t="n">
        <x:v>3425000</x:v>
      </x:c>
      <x:c r="P13" s="16" t="n">
        <x:v>4263000</x:v>
      </x:c>
      <x:c r="Q13" s="16" t="n">
        <x:v>47370000</x:v>
      </x:c>
    </x:row>
    <x:row r="14">
      <x:c r="A14" t="str">
        <x:v>Chine</x:v>
      </x:c>
      <x:c r="B14" t="str">
        <x:v>REPRESENTANT CHINE</x:v>
      </x:c>
      <x:c r="C14" t="str">
        <x:v>Transport local</x:v>
      </x:c>
      <x:c r="D14" t="str">
        <x:v>MGA</x:v>
      </x:c>
      <x:c r="E14" s="16" t="n">
        <x:v>11374000</x:v>
      </x:c>
      <x:c r="F14" s="16" t="n">
        <x:v>13394000</x:v>
      </x:c>
      <x:c r="G14" s="16" t="n">
        <x:v>12635000</x:v>
      </x:c>
      <x:c r="H14" s="16" t="n">
        <x:v>14432000</x:v>
      </x:c>
      <x:c r="I14" s="16" t="n">
        <x:v>13174000</x:v>
      </x:c>
      <x:c r="J14" s="16" t="n">
        <x:v>14997000</x:v>
      </x:c>
      <x:c r="K14" s="16" t="n">
        <x:v>12655000</x:v>
      </x:c>
      <x:c r="L14" s="16" t="n">
        <x:v>13143000</x:v>
      </x:c>
      <x:c r="M14" s="16" t="n">
        <x:v>12520000</x:v>
      </x:c>
      <x:c r="N14" s="16" t="n">
        <x:v>13189000</x:v>
      </x:c>
      <x:c r="O14" s="16" t="n">
        <x:v>11733000</x:v>
      </x:c>
      <x:c r="P14" s="16" t="n">
        <x:v>15129000</x:v>
      </x:c>
      <x:c r="Q14" s="16" t="n">
        <x:v>158375000</x:v>
      </x:c>
    </x:row>
    <x:row r="15">
      <x:c r="A15" t="str">
        <x:v>Chine</x:v>
      </x:c>
      <x:c r="B15" t="str">
        <x:v>REPRESENTANT CHINE</x:v>
      </x:c>
      <x:c r="C15" t="str">
        <x:v>Transit &amp; documents</x:v>
      </x:c>
      <x:c r="D15" t="str">
        <x:v>MGA</x:v>
      </x:c>
      <x:c r="E15" s="16" t="n">
        <x:v>5566000</x:v>
      </x:c>
      <x:c r="F15" s="16" t="n">
        <x:v>6892000</x:v>
      </x:c>
      <x:c r="G15" s="16" t="n">
        <x:v>6576000</x:v>
      </x:c>
      <x:c r="H15" s="16" t="n">
        <x:v>6615000</x:v>
      </x:c>
      <x:c r="I15" s="16" t="n">
        <x:v>5708000</x:v>
      </x:c>
      <x:c r="J15" s="16" t="n">
        <x:v>6692000</x:v>
      </x:c>
      <x:c r="K15" s="16" t="n">
        <x:v>5858000</x:v>
      </x:c>
      <x:c r="L15" s="16" t="n">
        <x:v>7038000</x:v>
      </x:c>
      <x:c r="M15" s="16" t="n">
        <x:v>5306000</x:v>
      </x:c>
      <x:c r="N15" s="16" t="n">
        <x:v>5306000</x:v>
      </x:c>
      <x:c r="O15" s="16" t="n">
        <x:v>6152000</x:v>
      </x:c>
      <x:c r="P15" s="16" t="n">
        <x:v>5725000</x:v>
      </x:c>
      <x:c r="Q15" s="16" t="n">
        <x:v>73434000</x:v>
      </x:c>
    </x:row>
    <x:row r="16">
      <x:c r="A16" t="str">
        <x:v>Chine</x:v>
      </x:c>
      <x:c r="B16" t="str">
        <x:v>REPRESENTANT CHINE</x:v>
      </x:c>
      <x:c r="C16" t="str">
        <x:v>Manutention portuaire</x:v>
      </x:c>
      <x:c r="D16" t="str">
        <x:v>MGA</x:v>
      </x:c>
      <x:c r="E16" s="16" t="n">
        <x:v>7142000</x:v>
      </x:c>
      <x:c r="F16" s="16" t="n">
        <x:v>9081000</x:v>
      </x:c>
      <x:c r="G16" s="16" t="n">
        <x:v>9021000</x:v>
      </x:c>
      <x:c r="H16" s="16" t="n">
        <x:v>8583000</x:v>
      </x:c>
      <x:c r="I16" s="16" t="n">
        <x:v>8804000</x:v>
      </x:c>
      <x:c r="J16" s="16" t="n">
        <x:v>9058000</x:v>
      </x:c>
      <x:c r="K16" s="16" t="n">
        <x:v>8982000</x:v>
      </x:c>
      <x:c r="L16" s="16" t="n">
        <x:v>7738000</x:v>
      </x:c>
      <x:c r="M16" s="16" t="n">
        <x:v>8657000</x:v>
      </x:c>
      <x:c r="N16" s="16" t="n">
        <x:v>8345000</x:v>
      </x:c>
      <x:c r="O16" s="16" t="n">
        <x:v>8797000</x:v>
      </x:c>
      <x:c r="P16" s="16" t="n">
        <x:v>8004000</x:v>
      </x:c>
      <x:c r="Q16" s="16" t="n">
        <x:v>102212000</x:v>
      </x:c>
    </x:row>
    <x:row r="17">
      <x:c r="A17" t="str">
        <x:v>Chine</x:v>
      </x:c>
      <x:c r="B17" t="str">
        <x:v>REPRESENTANT CHINE</x:v>
      </x:c>
      <x:c r="C17" t="str">
        <x:v>Fret international</x:v>
      </x:c>
      <x:c r="D17" t="str">
        <x:v>MGA</x:v>
      </x:c>
      <x:c r="E17" s="16" t="n">
        <x:v>40310000</x:v>
      </x:c>
      <x:c r="F17" s="16" t="n">
        <x:v>45983000</x:v>
      </x:c>
      <x:c r="G17" s="16" t="n">
        <x:v>42376000</x:v>
      </x:c>
      <x:c r="H17" s="16" t="n">
        <x:v>45451000</x:v>
      </x:c>
      <x:c r="I17" s="16" t="n">
        <x:v>44543000</x:v>
      </x:c>
      <x:c r="J17" s="16" t="n">
        <x:v>47393000</x:v>
      </x:c>
      <x:c r="K17" s="16" t="n">
        <x:v>49577000</x:v>
      </x:c>
      <x:c r="L17" s="16" t="n">
        <x:v>49776000</x:v>
      </x:c>
      <x:c r="M17" s="16" t="n">
        <x:v>45853000</x:v>
      </x:c>
      <x:c r="N17" s="16" t="n">
        <x:v>50348000</x:v>
      </x:c>
      <x:c r="O17" s="16" t="n">
        <x:v>53594000</x:v>
      </x:c>
      <x:c r="P17" s="16" t="n">
        <x:v>50079000</x:v>
      </x:c>
      <x:c r="Q17" s="16" t="n">
        <x:v>565283000</x:v>
      </x:c>
    </x:row>
    <x:row r="18">
      <x:c r="A18" t="str">
        <x:v>Chine</x:v>
      </x:c>
      <x:c r="B18" t="str">
        <x:v>REPRESENTANT CHINE</x:v>
      </x:c>
      <x:c r="C18" t="str">
        <x:v>Assurance transport</x:v>
      </x:c>
      <x:c r="D18" t="str">
        <x:v>MGA</x:v>
      </x:c>
      <x:c r="E18" s="16" t="n">
        <x:v>4606000</x:v>
      </x:c>
      <x:c r="F18" s="16" t="n">
        <x:v>4715000</x:v>
      </x:c>
      <x:c r="G18" s="16" t="n">
        <x:v>4780000</x:v>
      </x:c>
      <x:c r="H18" s="16" t="n">
        <x:v>4090000</x:v>
      </x:c>
      <x:c r="I18" s="16" t="n">
        <x:v>5103000</x:v>
      </x:c>
      <x:c r="J18" s="16" t="n">
        <x:v>4453000</x:v>
      </x:c>
      <x:c r="K18" s="16" t="n">
        <x:v>4201000</x:v>
      </x:c>
      <x:c r="L18" s="16" t="n">
        <x:v>4591000</x:v>
      </x:c>
      <x:c r="M18" s="16" t="n">
        <x:v>4804000</x:v>
      </x:c>
      <x:c r="N18" s="16" t="n">
        <x:v>3865000</x:v>
      </x:c>
      <x:c r="O18" s="16" t="n">
        <x:v>4372000</x:v>
      </x:c>
      <x:c r="P18" s="16" t="n">
        <x:v>4564000</x:v>
      </x:c>
      <x:c r="Q18" s="16" t="n">
        <x:v>54144000</x:v>
      </x:c>
    </x:row>
    <x:row r="19">
      <x:c r="A19" t="str">
        <x:v>Chine</x:v>
      </x:c>
      <x:c r="B19" t="str">
        <x:v>REPRESENTANT CHINE</x:v>
      </x:c>
      <x:c r="C19" t="str">
        <x:v>Frais bancaires export</x:v>
      </x:c>
      <x:c r="D19" t="str">
        <x:v>MGA</x:v>
      </x:c>
      <x:c r="E19" s="16" t="n">
        <x:v>2738000</x:v>
      </x:c>
      <x:c r="F19" s="16" t="n">
        <x:v>2841000</x:v>
      </x:c>
      <x:c r="G19" s="16" t="n">
        <x:v>3472000</x:v>
      </x:c>
      <x:c r="H19" s="16" t="n">
        <x:v>2966000</x:v>
      </x:c>
      <x:c r="I19" s="16" t="n">
        <x:v>3506000</x:v>
      </x:c>
      <x:c r="J19" s="16" t="n">
        <x:v>3362000</x:v>
      </x:c>
      <x:c r="K19" s="16" t="n">
        <x:v>2930000</x:v>
      </x:c>
      <x:c r="L19" s="16" t="n">
        <x:v>2653000</x:v>
      </x:c>
      <x:c r="M19" s="16" t="n">
        <x:v>3420000</x:v>
      </x:c>
      <x:c r="N19" s="16" t="n">
        <x:v>3289000</x:v>
      </x:c>
      <x:c r="O19" s="16" t="n">
        <x:v>2772000</x:v>
      </x:c>
      <x:c r="P19" s="16" t="n">
        <x:v>3156000</x:v>
      </x:c>
      <x:c r="Q19" s="16" t="n">
        <x:v>37105000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7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2.130000114440918" hidden="0" customWidth="1"/>
  </x:cols>
  <x:sheetData>
    <x:row r="1">
      <x:c r="A1" s="6" t="str">
        <x:v>Indicateur</x:v>
      </x:c>
      <x:c r="B1" s="6" t="str">
        <x:v>Unité</x:v>
      </x:c>
      <x:c r="C1" s="6" t="str">
        <x:v>Janvier</x:v>
      </x:c>
      <x:c r="D1" s="6" t="str">
        <x:v>Février</x:v>
      </x:c>
      <x:c r="E1" s="6" t="str">
        <x:v>Mars</x:v>
      </x:c>
      <x:c r="F1" s="6" t="str">
        <x:v>Avril</x:v>
      </x:c>
      <x:c r="G1" s="6" t="str">
        <x:v>Mai</x:v>
      </x:c>
      <x:c r="H1" s="6" t="str">
        <x:v>Juin</x:v>
      </x:c>
      <x:c r="I1" s="6" t="str">
        <x:v>Juillet</x:v>
      </x:c>
      <x:c r="J1" s="6" t="str">
        <x:v>Août</x:v>
      </x:c>
      <x:c r="K1" s="6" t="str">
        <x:v>Septembre</x:v>
      </x:c>
      <x:c r="L1" s="6" t="str">
        <x:v>Octobre</x:v>
      </x:c>
      <x:c r="M1" s="6" t="str">
        <x:v>Novembre</x:v>
      </x:c>
      <x:c r="N1" s="6" t="str">
        <x:v>Décembre</x:v>
      </x:c>
      <x:c r="O1" s="6" t="str">
        <x:v>Total annuel</x:v>
      </x:c>
    </x:row>
    <x:row r="2">
      <x:c r="A2" t="str">
        <x:v>CA export</x:v>
      </x:c>
      <x:c r="B2" t="str">
        <x:v>MGA</x:v>
      </x:c>
      <x:c r="C2" s="16" t="n">
        <x:f>SUMIF(Exportations!$E$2:$E$46,"Chiffre d'affaires MGA",Exportations!$G$2:$G$46)</x:f>
        <x:v>1269385167.6</x:v>
      </x:c>
      <x:c r="D2" s="16" t="n">
        <x:f>SUMIF(Exportations!$E$2:$E$46,"Chiffre d'affaires MGA",Exportations!$H$2:$H$46)</x:f>
        <x:v>1291282918.1999998</x:v>
      </x:c>
      <x:c r="E2" s="16" t="n">
        <x:f>SUMIF(Exportations!$E$2:$E$46,"Chiffre d'affaires MGA",Exportations!$I$2:$I$46)</x:f>
        <x:v>1169244151.8</x:v>
      </x:c>
      <x:c r="F2" s="16" t="n">
        <x:f>SUMIF(Exportations!$E$2:$E$46,"Chiffre d'affaires MGA",Exportations!$J$2:$J$46)</x:f>
        <x:v>1320021203.9999998</x:v>
      </x:c>
      <x:c r="G2" s="16" t="n">
        <x:f>SUMIF(Exportations!$E$2:$E$46,"Chiffre d'affaires MGA",Exportations!$K$2:$K$46)</x:f>
        <x:v>1280563194</x:v>
      </x:c>
      <x:c r="H2" s="16" t="n">
        <x:f>SUMIF(Exportations!$E$2:$E$46,"Chiffre d'affaires MGA",Exportations!$L$2:$L$46)</x:f>
        <x:v>1290373285.8</x:v>
      </x:c>
      <x:c r="I2" s="16" t="n">
        <x:f>SUMIF(Exportations!$E$2:$E$46,"Chiffre d'affaires MGA",Exportations!$M$2:$M$46)</x:f>
        <x:v>1269700531.8000002</x:v>
      </x:c>
      <x:c r="J2" s="16" t="n">
        <x:f>SUMIF(Exportations!$E$2:$E$46,"Chiffre d'affaires MGA",Exportations!$N$2:$N$46)</x:f>
        <x:v>1275899211.6</x:v>
      </x:c>
      <x:c r="K2" s="16" t="n">
        <x:f>SUMIF(Exportations!$E$2:$E$46,"Chiffre d'affaires MGA",Exportations!$O$2:$O$46)</x:f>
        <x:v>1355746196.3999999</x:v>
      </x:c>
      <x:c r="L2" s="16" t="n">
        <x:f>SUMIF(Exportations!$E$2:$E$46,"Chiffre d'affaires MGA",Exportations!$P$2:$P$46)</x:f>
        <x:v>1339340543.4</x:v>
      </x:c>
      <x:c r="M2" s="16" t="n">
        <x:f>SUMIF(Exportations!$E$2:$E$46,"Chiffre d'affaires MGA",Exportations!$Q$2:$Q$46)</x:f>
        <x:v>1366185365.4</x:v>
      </x:c>
      <x:c r="N2" s="16" t="n">
        <x:f>SUMIF(Exportations!$E$2:$E$46,"Chiffre d'affaires MGA",Exportations!$R$2:$R$46)</x:f>
        <x:v>1319240865.6</x:v>
      </x:c>
      <x:c r="O2" s="16" t="n">
        <x:f>SUM(C2:N2)</x:f>
        <x:v>15546982635.6</x:v>
      </x:c>
    </x:row>
    <x:row r="3">
      <x:c r="A3" t="str">
        <x:v>Charges exploitation</x:v>
      </x:c>
      <x:c r="B3" t="str">
        <x:v>MGA</x:v>
      </x:c>
      <x:c r="C3" s="16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497063000</x:v>
      </x:c>
      <x:c r="D3" s="16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474648000</x:v>
      </x:c>
      <x:c r="E3" s="16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512268000</x:v>
      </x:c>
      <x:c r="F3" s="16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492465000</x:v>
      </x:c>
      <x:c r="G3" s="16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483997000</x:v>
      </x:c>
      <x:c r="H3" s="16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508731000</x:v>
      </x:c>
      <x:c r="I3" s="16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479659000</x:v>
      </x:c>
      <x:c r="J3" s="16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516961000</x:v>
      </x:c>
      <x:c r="K3" s="16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495070000</x:v>
      </x:c>
      <x:c r="L3" s="16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492007000</x:v>
      </x:c>
      <x:c r="M3" s="16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492343000</x:v>
      </x:c>
      <x:c r="N3" s="16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504250000</x:v>
      </x:c>
      <x:c r="O3" s="16" t="n">
        <x:f>SUM(C3:N3)</x:f>
        <x:v>5949462000</x:v>
      </x:c>
    </x:row>
    <x:row r="4">
      <x:c r="A4" t="str">
        <x:v>Frais export</x:v>
      </x:c>
      <x:c r="B4" t="str">
        <x:v>MGA</x:v>
      </x:c>
      <x:c r="C4" s="16" t="n">
        <x:f>SUM('Frais Export'!$E$2:$E$19)</x:f>
        <x:v>276749000</x:v>
      </x:c>
      <x:c r="D4" s="16" t="n">
        <x:f>SUM('Frais Export'!$F$2:$F$19)</x:f>
        <x:v>258859000</x:v>
      </x:c>
      <x:c r="E4" s="16" t="n">
        <x:f>SUM('Frais Export'!$G$2:$G$19)</x:f>
        <x:v>275225000</x:v>
      </x:c>
      <x:c r="F4" s="16" t="n">
        <x:f>SUM('Frais Export'!$H$2:$H$19)</x:f>
        <x:v>272342000</x:v>
      </x:c>
      <x:c r="G4" s="16" t="n">
        <x:f>SUM('Frais Export'!$I$2:$I$19)</x:f>
        <x:v>272984000</x:v>
      </x:c>
      <x:c r="H4" s="16" t="n">
        <x:f>SUM('Frais Export'!$J$2:$J$19)</x:f>
        <x:v>283990000</x:v>
      </x:c>
      <x:c r="I4" s="16" t="n">
        <x:f>SUM('Frais Export'!$K$2:$K$19)</x:f>
        <x:v>264500000</x:v>
      </x:c>
      <x:c r="J4" s="16" t="n">
        <x:f>SUM('Frais Export'!$L$2:$L$19)</x:f>
        <x:v>284414000</x:v>
      </x:c>
      <x:c r="K4" s="16" t="n">
        <x:f>SUM('Frais Export'!$M$2:$M$19)</x:f>
        <x:v>265569000</x:v>
      </x:c>
      <x:c r="L4" s="16" t="n">
        <x:f>SUM('Frais Export'!$N$2:$N$19)</x:f>
        <x:v>273491000</x:v>
      </x:c>
      <x:c r="M4" s="16" t="n">
        <x:f>SUM('Frais Export'!$O$2:$O$19)</x:f>
        <x:v>269408000</x:v>
      </x:c>
      <x:c r="N4" s="16" t="n">
        <x:f>SUM('Frais Export'!$P$2:$P$19)</x:f>
        <x:v>280249000</x:v>
      </x:c>
      <x:c r="O4" s="16" t="n">
        <x:f>SUM(C4:N4)</x:f>
        <x:v>3277780000</x:v>
      </x:c>
    </x:row>
    <x:row r="5">
      <x:c r="A5" t="str">
        <x:v>Masse salariale</x:v>
      </x:c>
      <x:c r="B5" t="str">
        <x:v>MGA</x:v>
      </x:c>
      <x:c r="C5" s="16" t="n">
        <x:f>SUM(Employes!$I$2:$I$61)</x:f>
        <x:v>306904000</x:v>
      </x:c>
      <x:c r="D5" s="16" t="n">
        <x:f>SUM(Employes!$I$2:$I$61)</x:f>
        <x:v>306904000</x:v>
      </x:c>
      <x:c r="E5" s="16" t="n">
        <x:f>SUM(Employes!$I$2:$I$61)</x:f>
        <x:v>306904000</x:v>
      </x:c>
      <x:c r="F5" s="16" t="n">
        <x:f>SUM(Employes!$I$2:$I$61)</x:f>
        <x:v>306904000</x:v>
      </x:c>
      <x:c r="G5" s="16" t="n">
        <x:f>SUM(Employes!$I$2:$I$61)</x:f>
        <x:v>306904000</x:v>
      </x:c>
      <x:c r="H5" s="16" t="n">
        <x:f>SUM(Employes!$I$2:$I$61)</x:f>
        <x:v>306904000</x:v>
      </x:c>
      <x:c r="I5" s="16" t="n">
        <x:f>SUM(Employes!$I$2:$I$61)</x:f>
        <x:v>306904000</x:v>
      </x:c>
      <x:c r="J5" s="16" t="n">
        <x:f>SUM(Employes!$I$2:$I$61)</x:f>
        <x:v>306904000</x:v>
      </x:c>
      <x:c r="K5" s="16" t="n">
        <x:f>SUM(Employes!$I$2:$I$61)</x:f>
        <x:v>306904000</x:v>
      </x:c>
      <x:c r="L5" s="16" t="n">
        <x:f>SUM(Employes!$I$2:$I$61)</x:f>
        <x:v>306904000</x:v>
      </x:c>
      <x:c r="M5" s="16" t="n">
        <x:f>SUM(Employes!$I$2:$I$61)</x:f>
        <x:v>306904000</x:v>
      </x:c>
      <x:c r="N5" s="16" t="n">
        <x:f>SUM(Employes!$I$2:$I$61)</x:f>
        <x:v>306904000</x:v>
      </x:c>
      <x:c r="O5" s="16" t="n">
        <x:f>SUM(C5:N5)</x:f>
        <x:v>3682848000</x:v>
      </x:c>
    </x:row>
    <x:row r="6">
      <x:c r="A6" t="str">
        <x:v>Résultat opérationnel</x:v>
      </x:c>
      <x:c r="B6" t="str">
        <x:v>MGA</x:v>
      </x:c>
      <x:c r="C6" s="16" t="n">
        <x:f>C2-C3-C4-C5-C8</x:f>
        <x:v>181714140.61909497</x:v>
      </x:c>
      <x:c r="D6" s="16" t="n">
        <x:f>D2-D3-D4-D5-D8</x:f>
        <x:v>237353141.21909487</x:v>
      </x:c>
      <x:c r="E6" s="16" t="n">
        <x:f>E2-E3-E4-E5-E8</x:f>
        <x:v>61328374.819095</x:v>
      </x:c>
      <x:c r="F6" s="16" t="n">
        <x:f>F2-F3-F4-F5-F8</x:f>
        <x:v>234791427.01909482</x:v>
      </x:c>
      <x:c r="G6" s="16" t="n">
        <x:f>G2-G3-G4-G5-G8</x:f>
        <x:v>203159417.01909506</x:v>
      </x:c>
      <x:c r="H6" s="16" t="n">
        <x:f>H2-H3-H4-H5-H8</x:f>
        <x:v>177229508.81909502</x:v>
      </x:c>
      <x:c r="I6" s="16" t="n">
        <x:f>I2-I3-I4-I5-I8</x:f>
        <x:v>205118754.81909525</x:v>
      </x:c>
      <x:c r="J6" s="16" t="n">
        <x:f>J2-J3-J4-J5-J8</x:f>
        <x:v>154101434.61909497</x:v>
      </x:c>
      <x:c r="K6" s="16" t="n">
        <x:f>K2-K3-K4-K5-K8</x:f>
        <x:v>274684419.4190949</x:v>
      </x:c>
      <x:c r="L6" s="16" t="n">
        <x:f>L2-L3-L4-L5-L8</x:f>
        <x:v>253419766.41909516</x:v>
      </x:c>
      <x:c r="M6" s="16" t="n">
        <x:f>M2-M3-M4-M5-M8</x:f>
        <x:v>284011588.41909516</x:v>
      </x:c>
      <x:c r="N6" s="16" t="n">
        <x:f>N2-N3-N4-N5-N8</x:f>
        <x:v>214319088.61909497</x:v>
      </x:c>
      <x:c r="O6" s="16" t="n">
        <x:f>SUM(C6:N6)</x:f>
        <x:v>2481231061.8291397</x:v>
      </x:c>
    </x:row>
    <x:row r="7">
      <x:c r="A7" t="str">
        <x:v>Marge opérationnelle</x:v>
      </x:c>
      <x:c r="B7" t="str">
        <x:v>%</x:v>
      </x:c>
      <x:c r="C7" s="20" t="n">
        <x:f>IFERROR(C6/C2,0)</x:f>
        <x:v>0.14315130289623448</x:v>
      </x:c>
      <x:c r="D7" s="20" t="n">
        <x:f>IFERROR(D6/D2,0)</x:f>
        <x:v>0.18381188031973372</x:v>
      </x:c>
      <x:c r="E7" s="20" t="n">
        <x:f>IFERROR(E6/E2,0)</x:f>
        <x:v>0.05245129917877516</x:v>
      </x:c>
      <x:c r="F7" s="20" t="n">
        <x:f>IFERROR(F6/F2,0)</x:f>
        <x:v>0.1778694359663444</x:v>
      </x:c>
      <x:c r="G7" s="20" t="n">
        <x:f>IFERROR(G6/G2,0)</x:f>
        <x:v>0.15864848995425293</x:v>
      </x:c>
      <x:c r="H7" s="20" t="n">
        <x:f>IFERROR(H6/H2,0)</x:f>
        <x:v>0.13734747206054956</x:v>
      </x:c>
      <x:c r="I7" s="20" t="n">
        <x:f>IFERROR(I6/I2,0)</x:f>
        <x:v>0.16154892408236388</x:v>
      </x:c>
      <x:c r="J7" s="20" t="n">
        <x:f>IFERROR(J6/J2,0)</x:f>
        <x:v>0.1207786894278656</x:v>
      </x:c>
      <x:c r="K7" s="20" t="n">
        <x:f>IFERROR(K6/K2,0)</x:f>
        <x:v>0.20260755305711506</x:v>
      </x:c>
      <x:c r="L7" s="20" t="n">
        <x:f>IFERROR(L6/L2,0)</x:f>
        <x:v>0.18921234608173151</x:v>
      </x:c>
      <x:c r="M7" s="20" t="n">
        <x:f>IFERROR(M6/M2,0)</x:f>
        <x:v>0.2078865691376664</x:v>
      </x:c>
      <x:c r="N7" s="20" t="n">
        <x:f>IFERROR(N6/N2,0)</x:f>
        <x:v>0.1624563748801256</x:v>
      </x:c>
      <x:c r="O7" s="20" t="n">
        <x:f>IFERROR(O6/O2,0)</x:f>
        <x:v>0.15959566688828314</x:v>
      </x:c>
    </x:row>
    <x:row r="8">
      <x:c r="A8" t="str">
        <x:v>Amortissements</x:v>
      </x:c>
      <x:c r="B8" t="str">
        <x:v>MGA</x:v>
      </x:c>
      <x:c r="C8" t="n">
        <x:f>SUM(Amortissements!E2:E80)</x:f>
        <x:v>6955026.980904947</x:v>
      </x:c>
      <x:c r="D8" t="n">
        <x:f>SUM(Amortissements!F2:F80)</x:f>
        <x:v>13518776.98090495</x:v>
      </x:c>
      <x:c r="E8" t="n">
        <x:f>SUM(Amortissements!G2:G80)</x:f>
        <x:v>13518776.98090495</x:v>
      </x:c>
      <x:c r="F8" t="n">
        <x:f>SUM(Amortissements!H2:H80)</x:f>
        <x:v>13518776.98090495</x:v>
      </x:c>
      <x:c r="G8" t="n">
        <x:f>SUM(Amortissements!I2:I80)</x:f>
        <x:v>13518776.98090495</x:v>
      </x:c>
      <x:c r="H8" t="n">
        <x:f>SUM(Amortissements!J2:J80)</x:f>
        <x:v>13518776.98090495</x:v>
      </x:c>
      <x:c r="I8" t="n">
        <x:f>SUM(Amortissements!K2:K80)</x:f>
        <x:v>13518776.98090495</x:v>
      </x:c>
      <x:c r="J8" t="n">
        <x:f>SUM(Amortissements!L2:L80)</x:f>
        <x:v>13518776.98090495</x:v>
      </x:c>
      <x:c r="K8" t="n">
        <x:f>SUM(Amortissements!M2:M80)</x:f>
        <x:v>13518776.98090495</x:v>
      </x:c>
      <x:c r="L8" t="n">
        <x:f>SUM(Amortissements!N2:N80)</x:f>
        <x:v>13518776.98090495</x:v>
      </x:c>
      <x:c r="M8" t="n">
        <x:f>SUM(Amortissements!O2:O80)</x:f>
        <x:v>13518776.98090495</x:v>
      </x:c>
      <x:c r="N8" t="n">
        <x:f>SUM(Amortissements!P2:P80)</x:f>
        <x:v>13518776.98090495</x:v>
      </x:c>
      <x:c r="O8" t="n">
        <x:f>SUM(C8:N8)</x:f>
        <x:v>155661573.7708594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31" t="str">
        <x:v>COMPTE DE RÉSULTAT PAR NATURE — SOMIDA 2025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</x:row>
    <x:row r="2">
      <x:c r="A2" t="str">
        <x:v>Montants en MGA</x:v>
      </x:c>
    </x:row>
    <x:row r="4">
      <x:c r="A4" s="133" t="str">
        <x:v>Rubriques</x:v>
      </x:c>
      <x:c r="B4" s="133" t="str">
        <x:v>Janvier</x:v>
      </x:c>
      <x:c r="C4" s="133" t="str">
        <x:v>Février</x:v>
      </x:c>
      <x:c r="D4" s="133" t="str">
        <x:v>Mars</x:v>
      </x:c>
      <x:c r="E4" s="133" t="str">
        <x:v>Avril</x:v>
      </x:c>
      <x:c r="F4" s="133" t="str">
        <x:v>Mai</x:v>
      </x:c>
      <x:c r="G4" s="133" t="str">
        <x:v>Juin</x:v>
      </x:c>
      <x:c r="H4" s="133" t="str">
        <x:v>Juillet</x:v>
      </x:c>
      <x:c r="I4" s="133" t="str">
        <x:v>Août</x:v>
      </x:c>
      <x:c r="J4" s="133" t="str">
        <x:v>Septembre</x:v>
      </x:c>
      <x:c r="K4" s="133" t="str">
        <x:v>Octobre</x:v>
      </x:c>
      <x:c r="L4" s="133" t="str">
        <x:v>Novembre</x:v>
      </x:c>
      <x:c r="M4" s="133" t="str">
        <x:v>Décembre</x:v>
      </x:c>
      <x:c r="N4" s="133" t="str">
        <x:v>Total annuel</x:v>
      </x:c>
    </x:row>
    <x:row r="5">
      <x:c r="A5" t="str">
        <x:v>Chiffre d'affaires</x:v>
      </x:c>
      <x:c r="B5" s="16" t="n">
        <x:f>IF(Synthese!C2="",0,Synthese!C2)</x:f>
        <x:v>1269385167.6</x:v>
      </x:c>
      <x:c r="C5" s="16" t="n">
        <x:f>IF(Synthese!D2="",0,Synthese!D2)</x:f>
        <x:v>1291282918.1999998</x:v>
      </x:c>
      <x:c r="D5" s="16" t="n">
        <x:f>IF(Synthese!E2="",0,Synthese!E2)</x:f>
        <x:v>1169244151.8</x:v>
      </x:c>
      <x:c r="E5" s="16" t="n">
        <x:f>IF(Synthese!F2="",0,Synthese!F2)</x:f>
        <x:v>1320021203.9999998</x:v>
      </x:c>
      <x:c r="F5" s="16" t="n">
        <x:f>IF(Synthese!G2="",0,Synthese!G2)</x:f>
        <x:v>1280563194</x:v>
      </x:c>
      <x:c r="G5" s="16" t="n">
        <x:f>IF(Synthese!H2="",0,Synthese!H2)</x:f>
        <x:v>1290373285.8</x:v>
      </x:c>
      <x:c r="H5" s="16" t="n">
        <x:f>IF(Synthese!I2="",0,Synthese!I2)</x:f>
        <x:v>1269700531.8000002</x:v>
      </x:c>
      <x:c r="I5" s="16" t="n">
        <x:f>IF(Synthese!J2="",0,Synthese!J2)</x:f>
        <x:v>1275899211.6</x:v>
      </x:c>
      <x:c r="J5" s="16" t="n">
        <x:f>IF(Synthese!K2="",0,Synthese!K2)</x:f>
        <x:v>1355746196.3999999</x:v>
      </x:c>
      <x:c r="K5" s="16" t="n">
        <x:f>IF(Synthese!L2="",0,Synthese!L2)</x:f>
        <x:v>1339340543.4</x:v>
      </x:c>
      <x:c r="L5" s="16" t="n">
        <x:f>IF(Synthese!M2="",0,Synthese!M2)</x:f>
        <x:v>1366185365.4</x:v>
      </x:c>
      <x:c r="M5" s="16" t="n">
        <x:f>IF(Synthese!N2="",0,Synthese!N2)</x:f>
        <x:v>1319240865.6</x:v>
      </x:c>
      <x:c r="N5" s="16" t="n">
        <x:f>SUM(B5:M5)</x:f>
        <x:v>15546982635.6</x:v>
      </x:c>
    </x:row>
    <x:row r="6">
      <x:c r="A6" t="str">
        <x:v>Production stockée</x:v>
      </x:c>
      <x:c r="B6" s="16" t="n">
        <x:f>0</x:f>
        <x:v>0</x:v>
      </x:c>
      <x:c r="C6" s="16" t="n">
        <x:f>0</x:f>
        <x:v>0</x:v>
      </x:c>
      <x:c r="D6" s="16" t="n">
        <x:f>0</x:f>
        <x:v>0</x:v>
      </x:c>
      <x:c r="E6" s="16" t="n">
        <x:f>0</x:f>
        <x:v>0</x:v>
      </x:c>
      <x:c r="F6" s="16" t="n">
        <x:f>0</x:f>
        <x:v>0</x:v>
      </x:c>
      <x:c r="G6" s="16" t="n">
        <x:f>0</x:f>
        <x:v>0</x:v>
      </x:c>
      <x:c r="H6" s="16" t="n">
        <x:f>0</x:f>
        <x:v>0</x:v>
      </x:c>
      <x:c r="I6" s="16" t="n">
        <x:f>0</x:f>
        <x:v>0</x:v>
      </x:c>
      <x:c r="J6" s="16" t="n">
        <x:f>0</x:f>
        <x:v>0</x:v>
      </x:c>
      <x:c r="K6" s="16" t="n">
        <x:f>0</x:f>
        <x:v>0</x:v>
      </x:c>
      <x:c r="L6" s="16" t="n">
        <x:f>0</x:f>
        <x:v>0</x:v>
      </x:c>
      <x:c r="M6" s="16" t="n">
        <x:f>0</x:f>
        <x:v>0</x:v>
      </x:c>
      <x:c r="N6" s="16" t="n">
        <x:f>SUM(B6:M6)</x:f>
        <x:v>0</x:v>
      </x:c>
    </x:row>
    <x:row r="7">
      <x:c r="A7" t="str">
        <x:v>Production immobilisée</x:v>
      </x:c>
      <x:c r="B7" s="16" t="n">
        <x:f>0</x:f>
        <x:v>0</x:v>
      </x:c>
      <x:c r="C7" s="16" t="n">
        <x:f>0</x:f>
        <x:v>0</x:v>
      </x:c>
      <x:c r="D7" s="16" t="n">
        <x:f>0</x:f>
        <x:v>0</x:v>
      </x:c>
      <x:c r="E7" s="16" t="n">
        <x:f>0</x:f>
        <x:v>0</x:v>
      </x:c>
      <x:c r="F7" s="16" t="n">
        <x:f>0</x:f>
        <x:v>0</x:v>
      </x:c>
      <x:c r="G7" s="16" t="n">
        <x:f>0</x:f>
        <x:v>0</x:v>
      </x:c>
      <x:c r="H7" s="16" t="n">
        <x:f>0</x:f>
        <x:v>0</x:v>
      </x:c>
      <x:c r="I7" s="16" t="n">
        <x:f>0</x:f>
        <x:v>0</x:v>
      </x:c>
      <x:c r="J7" s="16" t="n">
        <x:f>0</x:f>
        <x:v>0</x:v>
      </x:c>
      <x:c r="K7" s="16" t="n">
        <x:f>0</x:f>
        <x:v>0</x:v>
      </x:c>
      <x:c r="L7" s="16" t="n">
        <x:f>0</x:f>
        <x:v>0</x:v>
      </x:c>
      <x:c r="M7" s="16" t="n">
        <x:f>0</x:f>
        <x:v>0</x:v>
      </x:c>
      <x:c r="N7" s="16" t="n">
        <x:f>SUM(B7:M7)</x:f>
        <x:v>0</x:v>
      </x:c>
    </x:row>
    <x:row r="8">
      <x:c r="A8" s="135" t="str">
        <x:v>I. PRODUCTION DE L'EXERCICE</x:v>
      </x:c>
      <x:c r="B8" s="128" t="n">
        <x:f>SUM(B5:B7)</x:f>
        <x:v>1269385167.6</x:v>
      </x:c>
      <x:c r="C8" s="128" t="n">
        <x:f>SUM(C5:C7)</x:f>
        <x:v>1291282918.1999998</x:v>
      </x:c>
      <x:c r="D8" s="128" t="n">
        <x:f>SUM(D5:D7)</x:f>
        <x:v>1169244151.8</x:v>
      </x:c>
      <x:c r="E8" s="128" t="n">
        <x:f>SUM(E5:E7)</x:f>
        <x:v>1320021203.9999998</x:v>
      </x:c>
      <x:c r="F8" s="128" t="n">
        <x:f>SUM(F5:F7)</x:f>
        <x:v>1280563194</x:v>
      </x:c>
      <x:c r="G8" s="128" t="n">
        <x:f>SUM(G5:G7)</x:f>
        <x:v>1290373285.8</x:v>
      </x:c>
      <x:c r="H8" s="128" t="n">
        <x:f>SUM(H5:H7)</x:f>
        <x:v>1269700531.8000002</x:v>
      </x:c>
      <x:c r="I8" s="128" t="n">
        <x:f>SUM(I5:I7)</x:f>
        <x:v>1275899211.6</x:v>
      </x:c>
      <x:c r="J8" s="128" t="n">
        <x:f>SUM(J5:J7)</x:f>
        <x:v>1355746196.3999999</x:v>
      </x:c>
      <x:c r="K8" s="128" t="n">
        <x:f>SUM(K5:K7)</x:f>
        <x:v>1339340543.4</x:v>
      </x:c>
      <x:c r="L8" s="128" t="n">
        <x:f>SUM(L5:L7)</x:f>
        <x:v>1366185365.4</x:v>
      </x:c>
      <x:c r="M8" s="128" t="n">
        <x:f>SUM(M5:M7)</x:f>
        <x:v>1319240865.6</x:v>
      </x:c>
      <x:c r="N8" s="128" t="n">
        <x:f>SUM(B8:M8)</x:f>
        <x:v>15546982635.6</x:v>
      </x:c>
    </x:row>
    <x:row r="9">
      <x:c r="A9" t="str">
        <x:v>Achats consommés / charges directes de production</x:v>
      </x:c>
      <x:c r="B9" s="16" t="n">
        <x:f>SUMIF(Charges!$A$2:$A$27,"PRODUCTION",Charges!$E$2:$E$27)</x:f>
        <x:v>354635000</x:v>
      </x:c>
      <x:c r="C9" s="16" t="n">
        <x:f>SUMIF(Charges!$A$2:$A$27,"PRODUCTION",Charges!$F$2:$F$27)</x:f>
        <x:v>334168000</x:v>
      </x:c>
      <x:c r="D9" s="16" t="n">
        <x:f>SUMIF(Charges!$A$2:$A$27,"PRODUCTION",Charges!$G$2:$G$27)</x:f>
        <x:v>369186000</x:v>
      </x:c>
      <x:c r="E9" s="16" t="n">
        <x:f>SUMIF(Charges!$A$2:$A$27,"PRODUCTION",Charges!$H$2:$H$27)</x:f>
        <x:v>344012000</x:v>
      </x:c>
      <x:c r="F9" s="16" t="n">
        <x:f>SUMIF(Charges!$A$2:$A$27,"PRODUCTION",Charges!$I$2:$I$27)</x:f>
        <x:v>336915000</x:v>
      </x:c>
      <x:c r="G9" s="16" t="n">
        <x:f>SUMIF(Charges!$A$2:$A$27,"PRODUCTION",Charges!$J$2:$J$27)</x:f>
        <x:v>352823000</x:v>
      </x:c>
      <x:c r="H9" s="16" t="n">
        <x:f>SUMIF(Charges!$A$2:$A$27,"PRODUCTION",Charges!$K$2:$K$27)</x:f>
        <x:v>336928000</x:v>
      </x:c>
      <x:c r="I9" s="16" t="n">
        <x:f>SUMIF(Charges!$A$2:$A$27,"PRODUCTION",Charges!$L$2:$L$27)</x:f>
        <x:v>366872000</x:v>
      </x:c>
      <x:c r="J9" s="16" t="n">
        <x:f>SUMIF(Charges!$A$2:$A$27,"PRODUCTION",Charges!$M$2:$M$27)</x:f>
        <x:v>341227000</x:v>
      </x:c>
      <x:c r="K9" s="16" t="n">
        <x:f>SUMIF(Charges!$A$2:$A$27,"PRODUCTION",Charges!$N$2:$N$27)</x:f>
        <x:v>347828000</x:v>
      </x:c>
      <x:c r="L9" s="16" t="n">
        <x:f>SUMIF(Charges!$A$2:$A$27,"PRODUCTION",Charges!$O$2:$O$27)</x:f>
        <x:v>350113000</x:v>
      </x:c>
      <x:c r="M9" s="16" t="n">
        <x:f>SUMIF(Charges!$A$2:$A$27,"PRODUCTION",Charges!$P$2:$P$27)</x:f>
        <x:v>352107000</x:v>
      </x:c>
      <x:c r="N9" s="16" t="n">
        <x:f>SUM(B9:M9)</x:f>
        <x:v>4186814000</x:v>
      </x:c>
    </x:row>
    <x:row r="10">
      <x:c r="A10" t="str">
        <x:v>Services extérieurs et autres consommations</x:v>
      </x:c>
      <x:c r="B10" s="16" t="n">
        <x:f>SUMIF(Charges!$A$2:$A$27,"ADMINISTRATION",Charges!$E$2:$E$27)-SUMIF(Charges!$B$2:$B$27,"Salaires administratifs",Charges!$E$2:$E$27)+SUMIF(Charges!$A$2:$A$27,"LOGISTIQUE",Charges!$E$2:$E$27)+SUMIF(Charges!$A$2:$A$27,"SECURITE",Charges!$E$2:$E$27)+SUM('Frais Export'!$E$2:$E$50)</x:f>
        <x:v>389933000</x:v>
      </x:c>
      <x:c r="C10" s="16" t="n">
        <x:f>SUMIF(Charges!$A$2:$A$27,"ADMINISTRATION",Charges!$F$2:$F$27)-SUMIF(Charges!$B$2:$B$27,"Salaires administratifs",Charges!$F$2:$F$27)+SUMIF(Charges!$A$2:$A$27,"LOGISTIQUE",Charges!$F$2:$F$27)+SUMIF(Charges!$A$2:$A$27,"SECURITE",Charges!$F$2:$F$27)+SUM('Frais Export'!$F$2:$F$50)</x:f>
        <x:v>372336000</x:v>
      </x:c>
      <x:c r="D10" s="16" t="n">
        <x:f>SUMIF(Charges!$A$2:$A$27,"ADMINISTRATION",Charges!$G$2:$G$27)-SUMIF(Charges!$B$2:$B$27,"Salaires administratifs",Charges!$G$2:$G$27)+SUMIF(Charges!$A$2:$A$27,"LOGISTIQUE",Charges!$G$2:$G$27)+SUMIF(Charges!$A$2:$A$27,"SECURITE",Charges!$G$2:$G$27)+SUM('Frais Export'!$G$2:$G$50)</x:f>
        <x:v>392944000</x:v>
      </x:c>
      <x:c r="E10" s="16" t="n">
        <x:f>SUMIF(Charges!$A$2:$A$27,"ADMINISTRATION",Charges!$H$2:$H$27)-SUMIF(Charges!$B$2:$B$27,"Salaires administratifs",Charges!$H$2:$H$27)+SUMIF(Charges!$A$2:$A$27,"LOGISTIQUE",Charges!$H$2:$H$27)+SUMIF(Charges!$A$2:$A$27,"SECURITE",Charges!$H$2:$H$27)+SUM('Frais Export'!$H$2:$H$50)</x:f>
        <x:v>395121000</x:v>
      </x:c>
      <x:c r="F10" s="16" t="n">
        <x:f>SUMIF(Charges!$A$2:$A$27,"ADMINISTRATION",Charges!$I$2:$I$27)-SUMIF(Charges!$B$2:$B$27,"Salaires administratifs",Charges!$I$2:$I$27)+SUMIF(Charges!$A$2:$A$27,"LOGISTIQUE",Charges!$I$2:$I$27)+SUMIF(Charges!$A$2:$A$27,"SECURITE",Charges!$I$2:$I$27)+SUM('Frais Export'!$I$2:$I$50)</x:f>
        <x:v>388713000</x:v>
      </x:c>
      <x:c r="G10" s="16" t="n">
        <x:f>SUMIF(Charges!$A$2:$A$27,"ADMINISTRATION",Charges!$J$2:$J$27)-SUMIF(Charges!$B$2:$B$27,"Salaires administratifs",Charges!$J$2:$J$27)+SUMIF(Charges!$A$2:$A$27,"LOGISTIQUE",Charges!$J$2:$J$27)+SUMIF(Charges!$A$2:$A$27,"SECURITE",Charges!$J$2:$J$27)+SUM('Frais Export'!$J$2:$J$50)</x:f>
        <x:v>409870000</x:v>
      </x:c>
      <x:c r="H10" s="16" t="n">
        <x:f>SUMIF(Charges!$A$2:$A$27,"ADMINISTRATION",Charges!$K$2:$K$27)-SUMIF(Charges!$B$2:$B$27,"Salaires administratifs",Charges!$K$2:$K$27)+SUMIF(Charges!$A$2:$A$27,"LOGISTIQUE",Charges!$K$2:$K$27)+SUMIF(Charges!$A$2:$A$27,"SECURITE",Charges!$K$2:$K$27)+SUM('Frais Export'!$K$2:$K$50)</x:f>
        <x:v>381645000</x:v>
      </x:c>
      <x:c r="I10" s="16" t="n">
        <x:f>SUMIF(Charges!$A$2:$A$27,"ADMINISTRATION",Charges!$L$2:$L$27)-SUMIF(Charges!$B$2:$B$27,"Salaires administratifs",Charges!$L$2:$L$27)+SUMIF(Charges!$A$2:$A$27,"LOGISTIQUE",Charges!$L$2:$L$27)+SUMIF(Charges!$A$2:$A$27,"SECURITE",Charges!$L$2:$L$27)+SUM('Frais Export'!$L$2:$L$50)</x:f>
        <x:v>402837000</x:v>
      </x:c>
      <x:c r="J10" s="16" t="n">
        <x:f>SUMIF(Charges!$A$2:$A$27,"ADMINISTRATION",Charges!$M$2:$M$27)-SUMIF(Charges!$B$2:$B$27,"Salaires administratifs",Charges!$M$2:$M$27)+SUMIF(Charges!$A$2:$A$27,"LOGISTIQUE",Charges!$M$2:$M$27)+SUMIF(Charges!$A$2:$A$27,"SECURITE",Charges!$M$2:$M$27)+SUM('Frais Export'!$M$2:$M$50)</x:f>
        <x:v>387961000</x:v>
      </x:c>
      <x:c r="K10" s="16" t="n">
        <x:f>SUMIF(Charges!$A$2:$A$27,"ADMINISTRATION",Charges!$N$2:$N$27)-SUMIF(Charges!$B$2:$B$27,"Salaires administratifs",Charges!$N$2:$N$27)+SUMIF(Charges!$A$2:$A$27,"LOGISTIQUE",Charges!$N$2:$N$27)+SUMIF(Charges!$A$2:$A$27,"SECURITE",Charges!$N$2:$N$27)+SUM('Frais Export'!$N$2:$N$50)</x:f>
        <x:v>391871000</x:v>
      </x:c>
      <x:c r="L10" s="16" t="n">
        <x:f>SUMIF(Charges!$A$2:$A$27,"ADMINISTRATION",Charges!$O$2:$O$27)-SUMIF(Charges!$B$2:$B$27,"Salaires administratifs",Charges!$O$2:$O$27)+SUMIF(Charges!$A$2:$A$27,"LOGISTIQUE",Charges!$O$2:$O$27)+SUMIF(Charges!$A$2:$A$27,"SECURITE",Charges!$O$2:$O$27)+SUM('Frais Export'!$O$2:$O$50)</x:f>
        <x:v>384471000</x:v>
      </x:c>
      <x:c r="M10" s="16" t="n">
        <x:f>SUMIF(Charges!$A$2:$A$27,"ADMINISTRATION",Charges!$P$2:$P$27)-SUMIF(Charges!$B$2:$B$27,"Salaires administratifs",Charges!$P$2:$P$27)+SUMIF(Charges!$A$2:$A$27,"LOGISTIQUE",Charges!$P$2:$P$27)+SUMIF(Charges!$A$2:$A$27,"SECURITE",Charges!$P$2:$P$27)+SUM('Frais Export'!$P$2:$P$50)</x:f>
        <x:v>400594000</x:v>
      </x:c>
      <x:c r="N10" s="16" t="n">
        <x:f>SUM(B10:M10)</x:f>
        <x:v>4698296000</x:v>
      </x:c>
    </x:row>
    <x:row r="11">
      <x:c r="A11" s="135" t="str">
        <x:v>II. CONSOMMATION DE L'EXERCICE</x:v>
      </x:c>
      <x:c r="B11" s="128" t="n">
        <x:f>SUM(B9:B10)</x:f>
        <x:v>744568000</x:v>
      </x:c>
      <x:c r="C11" s="128" t="n">
        <x:f>SUM(C9:C10)</x:f>
        <x:v>706504000</x:v>
      </x:c>
      <x:c r="D11" s="128" t="n">
        <x:f>SUM(D9:D10)</x:f>
        <x:v>762130000</x:v>
      </x:c>
      <x:c r="E11" s="128" t="n">
        <x:f>SUM(E9:E10)</x:f>
        <x:v>739133000</x:v>
      </x:c>
      <x:c r="F11" s="128" t="n">
        <x:f>SUM(F9:F10)</x:f>
        <x:v>725628000</x:v>
      </x:c>
      <x:c r="G11" s="128" t="n">
        <x:f>SUM(G9:G10)</x:f>
        <x:v>762693000</x:v>
      </x:c>
      <x:c r="H11" s="128" t="n">
        <x:f>SUM(H9:H10)</x:f>
        <x:v>718573000</x:v>
      </x:c>
      <x:c r="I11" s="128" t="n">
        <x:f>SUM(I9:I10)</x:f>
        <x:v>769709000</x:v>
      </x:c>
      <x:c r="J11" s="128" t="n">
        <x:f>SUM(J9:J10)</x:f>
        <x:v>729188000</x:v>
      </x:c>
      <x:c r="K11" s="128" t="n">
        <x:f>SUM(K9:K10)</x:f>
        <x:v>739699000</x:v>
      </x:c>
      <x:c r="L11" s="128" t="n">
        <x:f>SUM(L9:L10)</x:f>
        <x:v>734584000</x:v>
      </x:c>
      <x:c r="M11" s="128" t="n">
        <x:f>SUM(M9:M10)</x:f>
        <x:v>752701000</x:v>
      </x:c>
      <x:c r="N11" s="128" t="n">
        <x:f>SUM(B11:M11)</x:f>
        <x:v>8885110000</x:v>
      </x:c>
    </x:row>
    <x:row r="12">
      <x:c r="A12" s="135" t="str">
        <x:v>III. VALEUR AJOUTÉE D'EXPLOITATION (I-II)</x:v>
      </x:c>
      <x:c r="B12" s="128" t="n">
        <x:f>B8-B11</x:f>
        <x:v>524817167.5999999</x:v>
      </x:c>
      <x:c r="C12" s="128" t="n">
        <x:f>C8-C11</x:f>
        <x:v>584778918.1999998</x:v>
      </x:c>
      <x:c r="D12" s="128" t="n">
        <x:f>D8-D11</x:f>
        <x:v>407114151.79999995</x:v>
      </x:c>
      <x:c r="E12" s="128" t="n">
        <x:f>E8-E11</x:f>
        <x:v>580888203.9999998</x:v>
      </x:c>
      <x:c r="F12" s="128" t="n">
        <x:f>F8-F11</x:f>
        <x:v>554935194</x:v>
      </x:c>
      <x:c r="G12" s="128" t="n">
        <x:f>G8-G11</x:f>
        <x:v>527680285.79999995</x:v>
      </x:c>
      <x:c r="H12" s="128" t="n">
        <x:f>H8-H11</x:f>
        <x:v>551127531.8000002</x:v>
      </x:c>
      <x:c r="I12" s="128" t="n">
        <x:f>I8-I11</x:f>
        <x:v>506190211.5999999</x:v>
      </x:c>
      <x:c r="J12" s="128" t="n">
        <x:f>J8-J11</x:f>
        <x:v>626558196.3999999</x:v>
      </x:c>
      <x:c r="K12" s="128" t="n">
        <x:f>K8-K11</x:f>
        <x:v>599641543.4000001</x:v>
      </x:c>
      <x:c r="L12" s="128" t="n">
        <x:f>L8-L11</x:f>
        <x:v>631601365.4000001</x:v>
      </x:c>
      <x:c r="M12" s="128" t="n">
        <x:f>M8-M11</x:f>
        <x:v>566539865.5999999</x:v>
      </x:c>
      <x:c r="N12" s="128" t="n">
        <x:f>SUM(B12:M12)</x:f>
        <x:v>6661872635.6</x:v>
      </x:c>
    </x:row>
    <x:row r="13">
      <x:c r="A13" t="str">
        <x:v>Subventions d'exploitation</x:v>
      </x:c>
      <x:c r="B13" s="16" t="n">
        <x:f>0</x:f>
        <x:v>0</x:v>
      </x:c>
      <x:c r="C13" s="16" t="n">
        <x:f>0</x:f>
        <x:v>0</x:v>
      </x:c>
      <x:c r="D13" s="16" t="n">
        <x:f>0</x:f>
        <x:v>0</x:v>
      </x:c>
      <x:c r="E13" s="16" t="n">
        <x:f>0</x:f>
        <x:v>0</x:v>
      </x:c>
      <x:c r="F13" s="16" t="n">
        <x:f>0</x:f>
        <x:v>0</x:v>
      </x:c>
      <x:c r="G13" s="16" t="n">
        <x:f>0</x:f>
        <x:v>0</x:v>
      </x:c>
      <x:c r="H13" s="16" t="n">
        <x:f>0</x:f>
        <x:v>0</x:v>
      </x:c>
      <x:c r="I13" s="16" t="n">
        <x:f>0</x:f>
        <x:v>0</x:v>
      </x:c>
      <x:c r="J13" s="16" t="n">
        <x:f>0</x:f>
        <x:v>0</x:v>
      </x:c>
      <x:c r="K13" s="16" t="n">
        <x:f>0</x:f>
        <x:v>0</x:v>
      </x:c>
      <x:c r="L13" s="16" t="n">
        <x:f>0</x:f>
        <x:v>0</x:v>
      </x:c>
      <x:c r="M13" s="16" t="n">
        <x:f>0</x:f>
        <x:v>0</x:v>
      </x:c>
      <x:c r="N13" s="16" t="n">
        <x:f>SUM(B13:M13)</x:f>
        <x:v>0</x:v>
      </x:c>
    </x:row>
    <x:row r="14">
      <x:c r="A14" t="str">
        <x:v>Impôts, taxes et versements assimilés</x:v>
      </x:c>
      <x:c r="B14" s="16" t="n">
        <x:f>SUMIF(Charges!$A$2:$A$27,"FISCAL",Charges!$E$2:$E$27)</x:f>
        <x:v>29244000</x:v>
      </x:c>
      <x:c r="C14" s="16" t="n">
        <x:f>SUMIF(Charges!$A$2:$A$27,"FISCAL",Charges!$F$2:$F$27)</x:f>
        <x:v>27003000</x:v>
      </x:c>
      <x:c r="D14" s="16" t="n">
        <x:f>SUMIF(Charges!$A$2:$A$27,"FISCAL",Charges!$G$2:$G$27)</x:f>
        <x:v>25363000</x:v>
      </x:c>
      <x:c r="E14" s="16" t="n">
        <x:f>SUMIF(Charges!$A$2:$A$27,"FISCAL",Charges!$H$2:$H$27)</x:f>
        <x:v>25674000</x:v>
      </x:c>
      <x:c r="F14" s="16" t="n">
        <x:f>SUMIF(Charges!$A$2:$A$27,"FISCAL",Charges!$I$2:$I$27)</x:f>
        <x:v>31353000</x:v>
      </x:c>
      <x:c r="G14" s="16" t="n">
        <x:f>SUMIF(Charges!$A$2:$A$27,"FISCAL",Charges!$J$2:$J$27)</x:f>
        <x:v>30028000</x:v>
      </x:c>
      <x:c r="H14" s="16" t="n">
        <x:f>SUMIF(Charges!$A$2:$A$27,"FISCAL",Charges!$K$2:$K$27)</x:f>
        <x:v>25586000</x:v>
      </x:c>
      <x:c r="I14" s="16" t="n">
        <x:f>SUMIF(Charges!$A$2:$A$27,"FISCAL",Charges!$L$2:$L$27)</x:f>
        <x:v>31666000</x:v>
      </x:c>
      <x:c r="J14" s="16" t="n">
        <x:f>SUMIF(Charges!$A$2:$A$27,"FISCAL",Charges!$M$2:$M$27)</x:f>
        <x:v>31451000</x:v>
      </x:c>
      <x:c r="K14" s="16" t="n">
        <x:f>SUMIF(Charges!$A$2:$A$27,"FISCAL",Charges!$N$2:$N$27)</x:f>
        <x:v>25799000</x:v>
      </x:c>
      <x:c r="L14" s="16" t="n">
        <x:f>SUMIF(Charges!$A$2:$A$27,"FISCAL",Charges!$O$2:$O$27)</x:f>
        <x:v>27167000</x:v>
      </x:c>
      <x:c r="M14" s="16" t="n">
        <x:f>SUMIF(Charges!$A$2:$A$27,"FISCAL",Charges!$P$2:$P$27)</x:f>
        <x:v>31798000</x:v>
      </x:c>
      <x:c r="N14" s="16" t="n">
        <x:f>SUM(B14:M14)</x:f>
        <x:v>342132000</x:v>
      </x:c>
    </x:row>
    <x:row r="15">
      <x:c r="A15" t="str">
        <x:v>Charges de personnel</x:v>
      </x:c>
      <x:c r="B15" s="16" t="n">
        <x:f>IF(Synthese!C5="",0,Synthese!C5)</x:f>
        <x:v>306904000</x:v>
      </x:c>
      <x:c r="C15" s="16" t="n">
        <x:f>IF(Synthese!D5="",0,Synthese!D5)</x:f>
        <x:v>306904000</x:v>
      </x:c>
      <x:c r="D15" s="16" t="n">
        <x:f>IF(Synthese!E5="",0,Synthese!E5)</x:f>
        <x:v>306904000</x:v>
      </x:c>
      <x:c r="E15" s="16" t="n">
        <x:f>IF(Synthese!F5="",0,Synthese!F5)</x:f>
        <x:v>306904000</x:v>
      </x:c>
      <x:c r="F15" s="16" t="n">
        <x:f>IF(Synthese!G5="",0,Synthese!G5)</x:f>
        <x:v>306904000</x:v>
      </x:c>
      <x:c r="G15" s="16" t="n">
        <x:f>IF(Synthese!H5="",0,Synthese!H5)</x:f>
        <x:v>306904000</x:v>
      </x:c>
      <x:c r="H15" s="16" t="n">
        <x:f>IF(Synthese!I5="",0,Synthese!I5)</x:f>
        <x:v>306904000</x:v>
      </x:c>
      <x:c r="I15" s="16" t="n">
        <x:f>IF(Synthese!J5="",0,Synthese!J5)</x:f>
        <x:v>306904000</x:v>
      </x:c>
      <x:c r="J15" s="16" t="n">
        <x:f>IF(Synthese!K5="",0,Synthese!K5)</x:f>
        <x:v>306904000</x:v>
      </x:c>
      <x:c r="K15" s="16" t="n">
        <x:f>IF(Synthese!L5="",0,Synthese!L5)</x:f>
        <x:v>306904000</x:v>
      </x:c>
      <x:c r="L15" s="16" t="n">
        <x:f>IF(Synthese!M5="",0,Synthese!M5)</x:f>
        <x:v>306904000</x:v>
      </x:c>
      <x:c r="M15" s="16" t="n">
        <x:f>IF(Synthese!N5="",0,Synthese!N5)</x:f>
        <x:v>306904000</x:v>
      </x:c>
      <x:c r="N15" s="16" t="n">
        <x:f>SUM(B15:M15)</x:f>
        <x:v>3682848000</x:v>
      </x:c>
    </x:row>
    <x:row r="16">
      <x:c r="A16" s="135" t="str">
        <x:v>IV. EXCÉDENT BRUT D'EXPLOITATION</x:v>
      </x:c>
      <x:c r="B16" s="128" t="n">
        <x:f>B12+B13-B14-B15</x:f>
        <x:v>188669167.5999999</x:v>
      </x:c>
      <x:c r="C16" s="128" t="n">
        <x:f>C12+C13-C14-C15</x:f>
        <x:v>250871918.1999998</x:v>
      </x:c>
      <x:c r="D16" s="128" t="n">
        <x:f>D12+D13-D14-D15</x:f>
        <x:v>74847151.79999995</x:v>
      </x:c>
      <x:c r="E16" s="128" t="n">
        <x:f>E12+E13-E14-E15</x:f>
        <x:v>248310203.99999976</x:v>
      </x:c>
      <x:c r="F16" s="128" t="n">
        <x:f>F12+F13-F14-F15</x:f>
        <x:v>216678194</x:v>
      </x:c>
      <x:c r="G16" s="128" t="n">
        <x:f>G12+G13-G14-G15</x:f>
        <x:v>190748285.79999995</x:v>
      </x:c>
      <x:c r="H16" s="128" t="n">
        <x:f>H12+H13-H14-H15</x:f>
        <x:v>218637531.8000002</x:v>
      </x:c>
      <x:c r="I16" s="128" t="n">
        <x:f>I12+I13-I14-I15</x:f>
        <x:v>167620211.5999999</x:v>
      </x:c>
      <x:c r="J16" s="128" t="n">
        <x:f>J12+J13-J14-J15</x:f>
        <x:v>288203196.39999986</x:v>
      </x:c>
      <x:c r="K16" s="128" t="n">
        <x:f>K12+K13-K14-K15</x:f>
        <x:v>266938543.4000001</x:v>
      </x:c>
      <x:c r="L16" s="128" t="n">
        <x:f>L12+L13-L14-L15</x:f>
        <x:v>297530365.4000001</x:v>
      </x:c>
      <x:c r="M16" s="128" t="n">
        <x:f>M12+M13-M14-M15</x:f>
        <x:v>227837865.5999999</x:v>
      </x:c>
      <x:c r="N16" s="128" t="n">
        <x:f>SUM(B16:M16)</x:f>
        <x:v>2636892635.5999994</x:v>
      </x:c>
    </x:row>
    <x:row r="17">
      <x:c r="A17" t="str">
        <x:v>Autres produits opérationnels</x:v>
      </x:c>
      <x:c r="B17" s="16" t="n">
        <x:f>0</x:f>
        <x:v>0</x:v>
      </x:c>
      <x:c r="C17" s="16" t="n">
        <x:f>0</x:f>
        <x:v>0</x:v>
      </x:c>
      <x:c r="D17" s="16" t="n">
        <x:f>0</x:f>
        <x:v>0</x:v>
      </x:c>
      <x:c r="E17" s="16" t="n">
        <x:f>0</x:f>
        <x:v>0</x:v>
      </x:c>
      <x:c r="F17" s="16" t="n">
        <x:f>0</x:f>
        <x:v>0</x:v>
      </x:c>
      <x:c r="G17" s="16" t="n">
        <x:f>0</x:f>
        <x:v>0</x:v>
      </x:c>
      <x:c r="H17" s="16" t="n">
        <x:f>0</x:f>
        <x:v>0</x:v>
      </x:c>
      <x:c r="I17" s="16" t="n">
        <x:f>0</x:f>
        <x:v>0</x:v>
      </x:c>
      <x:c r="J17" s="16" t="n">
        <x:f>0</x:f>
        <x:v>0</x:v>
      </x:c>
      <x:c r="K17" s="16" t="n">
        <x:f>0</x:f>
        <x:v>0</x:v>
      </x:c>
      <x:c r="L17" s="16" t="n">
        <x:f>0</x:f>
        <x:v>0</x:v>
      </x:c>
      <x:c r="M17" s="16" t="n">
        <x:f>0</x:f>
        <x:v>0</x:v>
      </x:c>
      <x:c r="N17" s="16" t="n">
        <x:f>SUM(B17:M17)</x:f>
        <x:v>0</x:v>
      </x:c>
    </x:row>
    <x:row r="18">
      <x:c r="A18" t="str">
        <x:v>Autres charges opérationnelles</x:v>
      </x:c>
      <x:c r="B18" s="16" t="n">
        <x:f>0</x:f>
        <x:v>0</x:v>
      </x:c>
      <x:c r="C18" s="16" t="n">
        <x:f>0</x:f>
        <x:v>0</x:v>
      </x:c>
      <x:c r="D18" s="16" t="n">
        <x:f>0</x:f>
        <x:v>0</x:v>
      </x:c>
      <x:c r="E18" s="16" t="n">
        <x:f>0</x:f>
        <x:v>0</x:v>
      </x:c>
      <x:c r="F18" s="16" t="n">
        <x:f>0</x:f>
        <x:v>0</x:v>
      </x:c>
      <x:c r="G18" s="16" t="n">
        <x:f>0</x:f>
        <x:v>0</x:v>
      </x:c>
      <x:c r="H18" s="16" t="n">
        <x:f>0</x:f>
        <x:v>0</x:v>
      </x:c>
      <x:c r="I18" s="16" t="n">
        <x:f>0</x:f>
        <x:v>0</x:v>
      </x:c>
      <x:c r="J18" s="16" t="n">
        <x:f>0</x:f>
        <x:v>0</x:v>
      </x:c>
      <x:c r="K18" s="16" t="n">
        <x:f>0</x:f>
        <x:v>0</x:v>
      </x:c>
      <x:c r="L18" s="16" t="n">
        <x:f>0</x:f>
        <x:v>0</x:v>
      </x:c>
      <x:c r="M18" s="16" t="n">
        <x:f>0</x:f>
        <x:v>0</x:v>
      </x:c>
      <x:c r="N18" s="16" t="n">
        <x:f>SUM(B18:M18)</x:f>
        <x:v>0</x:v>
      </x:c>
    </x:row>
    <x:row r="19">
      <x:c r="A19" t="str">
        <x:v>Dotations aux amortissements</x:v>
      </x:c>
      <x:c r="B19" s="16" t="n">
        <x:f>SUM(Amortissements!E2:E80)</x:f>
        <x:v>6955026.980904947</x:v>
      </x:c>
      <x:c r="C19" s="16" t="n">
        <x:f>SUM(Amortissements!F2:F80)</x:f>
        <x:v>13518776.98090495</x:v>
      </x:c>
      <x:c r="D19" s="16" t="n">
        <x:f>SUM(Amortissements!G2:G80)</x:f>
        <x:v>13518776.98090495</x:v>
      </x:c>
      <x:c r="E19" s="16" t="n">
        <x:f>SUM(Amortissements!H2:H80)</x:f>
        <x:v>13518776.98090495</x:v>
      </x:c>
      <x:c r="F19" s="16" t="n">
        <x:f>SUM(Amortissements!I2:I80)</x:f>
        <x:v>13518776.98090495</x:v>
      </x:c>
      <x:c r="G19" s="16" t="n">
        <x:f>SUM(Amortissements!J2:J80)</x:f>
        <x:v>13518776.98090495</x:v>
      </x:c>
      <x:c r="H19" s="16" t="n">
        <x:f>SUM(Amortissements!K2:K80)</x:f>
        <x:v>13518776.98090495</x:v>
      </x:c>
      <x:c r="I19" s="16" t="n">
        <x:f>SUM(Amortissements!L2:L80)</x:f>
        <x:v>13518776.98090495</x:v>
      </x:c>
      <x:c r="J19" s="16" t="n">
        <x:f>SUM(Amortissements!M2:M80)</x:f>
        <x:v>13518776.98090495</x:v>
      </x:c>
      <x:c r="K19" s="16" t="n">
        <x:f>SUM(Amortissements!N2:N80)</x:f>
        <x:v>13518776.98090495</x:v>
      </x:c>
      <x:c r="L19" s="16" t="n">
        <x:f>SUM(Amortissements!O2:O80)</x:f>
        <x:v>13518776.98090495</x:v>
      </x:c>
      <x:c r="M19" s="16" t="n">
        <x:f>SUM(Amortissements!P2:P80)</x:f>
        <x:v>13518776.98090495</x:v>
      </x:c>
      <x:c r="N19" s="16" t="n">
        <x:f>SUM(B19:M19)</x:f>
        <x:v>155661573.7708594</x:v>
      </x:c>
    </x:row>
    <x:row r="20">
      <x:c r="A20" t="str">
        <x:v>Provisions et pertes de valeur</x:v>
      </x:c>
      <x:c r="B20" s="16" t="n">
        <x:f>0</x:f>
        <x:v>0</x:v>
      </x:c>
      <x:c r="C20" s="16" t="n">
        <x:f>0</x:f>
        <x:v>0</x:v>
      </x:c>
      <x:c r="D20" s="16" t="n">
        <x:f>0</x:f>
        <x:v>0</x:v>
      </x:c>
      <x:c r="E20" s="16" t="n">
        <x:f>0</x:f>
        <x:v>0</x:v>
      </x:c>
      <x:c r="F20" s="16" t="n">
        <x:f>0</x:f>
        <x:v>0</x:v>
      </x:c>
      <x:c r="G20" s="16" t="n">
        <x:f>0</x:f>
        <x:v>0</x:v>
      </x:c>
      <x:c r="H20" s="16" t="n">
        <x:f>0</x:f>
        <x:v>0</x:v>
      </x:c>
      <x:c r="I20" s="16" t="n">
        <x:f>0</x:f>
        <x:v>0</x:v>
      </x:c>
      <x:c r="J20" s="16" t="n">
        <x:f>0</x:f>
        <x:v>0</x:v>
      </x:c>
      <x:c r="K20" s="16" t="n">
        <x:f>0</x:f>
        <x:v>0</x:v>
      </x:c>
      <x:c r="L20" s="16" t="n">
        <x:f>0</x:f>
        <x:v>0</x:v>
      </x:c>
      <x:c r="M20" s="16" t="n">
        <x:f>0</x:f>
        <x:v>0</x:v>
      </x:c>
      <x:c r="N20" s="16" t="n">
        <x:f>SUM(B20:M20)</x:f>
        <x:v>0</x:v>
      </x:c>
    </x:row>
    <x:row r="21">
      <x:c r="A21" t="str">
        <x:v>Reprises sur provisions et pertes de valeur</x:v>
      </x:c>
      <x:c r="B21" s="16" t="n">
        <x:f>0</x:f>
        <x:v>0</x:v>
      </x:c>
      <x:c r="C21" s="16" t="n">
        <x:f>0</x:f>
        <x:v>0</x:v>
      </x:c>
      <x:c r="D21" s="16" t="n">
        <x:f>0</x:f>
        <x:v>0</x:v>
      </x:c>
      <x:c r="E21" s="16" t="n">
        <x:f>0</x:f>
        <x:v>0</x:v>
      </x:c>
      <x:c r="F21" s="16" t="n">
        <x:f>0</x:f>
        <x:v>0</x:v>
      </x:c>
      <x:c r="G21" s="16" t="n">
        <x:f>0</x:f>
        <x:v>0</x:v>
      </x:c>
      <x:c r="H21" s="16" t="n">
        <x:f>0</x:f>
        <x:v>0</x:v>
      </x:c>
      <x:c r="I21" s="16" t="n">
        <x:f>0</x:f>
        <x:v>0</x:v>
      </x:c>
      <x:c r="J21" s="16" t="n">
        <x:f>0</x:f>
        <x:v>0</x:v>
      </x:c>
      <x:c r="K21" s="16" t="n">
        <x:f>0</x:f>
        <x:v>0</x:v>
      </x:c>
      <x:c r="L21" s="16" t="n">
        <x:f>0</x:f>
        <x:v>0</x:v>
      </x:c>
      <x:c r="M21" s="16" t="n">
        <x:f>0</x:f>
        <x:v>0</x:v>
      </x:c>
      <x:c r="N21" s="16" t="n">
        <x:f>SUM(B21:M21)</x:f>
        <x:v>0</x:v>
      </x:c>
    </x:row>
    <x:row r="22">
      <x:c r="A22" s="135" t="str">
        <x:v>V. RÉSULTAT OPÉRATIONNEL</x:v>
      </x:c>
      <x:c r="B22" s="128" t="n">
        <x:f>B16+B17-B18-B19-B20+B21</x:f>
        <x:v>181714140.61909497</x:v>
      </x:c>
      <x:c r="C22" s="128" t="n">
        <x:f>C16+C17-C18-C19-C20+C21</x:f>
        <x:v>237353141.21909487</x:v>
      </x:c>
      <x:c r="D22" s="128" t="n">
        <x:f>D16+D17-D18-D19-D20+D21</x:f>
        <x:v>61328374.819095</x:v>
      </x:c>
      <x:c r="E22" s="128" t="n">
        <x:f>E16+E17-E18-E19-E20+E21</x:f>
        <x:v>234791427.01909482</x:v>
      </x:c>
      <x:c r="F22" s="128" t="n">
        <x:f>F16+F17-F18-F19-F20+F21</x:f>
        <x:v>203159417.01909506</x:v>
      </x:c>
      <x:c r="G22" s="128" t="n">
        <x:f>G16+G17-G18-G19-G20+G21</x:f>
        <x:v>177229508.81909502</x:v>
      </x:c>
      <x:c r="H22" s="128" t="n">
        <x:f>H16+H17-H18-H19-H20+H21</x:f>
        <x:v>205118754.81909525</x:v>
      </x:c>
      <x:c r="I22" s="128" t="n">
        <x:f>I16+I17-I18-I19-I20+I21</x:f>
        <x:v>154101434.61909497</x:v>
      </x:c>
      <x:c r="J22" s="128" t="n">
        <x:f>J16+J17-J18-J19-J20+J21</x:f>
        <x:v>274684419.4190949</x:v>
      </x:c>
      <x:c r="K22" s="128" t="n">
        <x:f>K16+K17-K18-K19-K20+K21</x:f>
        <x:v>253419766.41909516</x:v>
      </x:c>
      <x:c r="L22" s="128" t="n">
        <x:f>L16+L17-L18-L19-L20+L21</x:f>
        <x:v>284011588.41909516</x:v>
      </x:c>
      <x:c r="M22" s="128" t="n">
        <x:f>M16+M17-M18-M19-M20+M21</x:f>
        <x:v>214319088.61909497</x:v>
      </x:c>
      <x:c r="N22" s="128" t="n">
        <x:f>SUM(B22:M22)</x:f>
        <x:v>2481231061.8291397</x:v>
      </x:c>
    </x:row>
    <x:row r="23">
      <x:c r="A23" t="str">
        <x:v>Produits financiers</x:v>
      </x:c>
      <x:c r="B23" s="16" t="n">
        <x:f>0</x:f>
        <x:v>0</x:v>
      </x:c>
      <x:c r="C23" s="16" t="n">
        <x:f>0</x:f>
        <x:v>0</x:v>
      </x:c>
      <x:c r="D23" s="16" t="n">
        <x:f>0</x:f>
        <x:v>0</x:v>
      </x:c>
      <x:c r="E23" s="16" t="n">
        <x:f>0</x:f>
        <x:v>0</x:v>
      </x:c>
      <x:c r="F23" s="16" t="n">
        <x:f>0</x:f>
        <x:v>0</x:v>
      </x:c>
      <x:c r="G23" s="16" t="n">
        <x:f>0</x:f>
        <x:v>0</x:v>
      </x:c>
      <x:c r="H23" s="16" t="n">
        <x:f>0</x:f>
        <x:v>0</x:v>
      </x:c>
      <x:c r="I23" s="16" t="n">
        <x:f>0</x:f>
        <x:v>0</x:v>
      </x:c>
      <x:c r="J23" s="16" t="n">
        <x:f>0</x:f>
        <x:v>0</x:v>
      </x:c>
      <x:c r="K23" s="16" t="n">
        <x:f>0</x:f>
        <x:v>0</x:v>
      </x:c>
      <x:c r="L23" s="16" t="n">
        <x:f>0</x:f>
        <x:v>0</x:v>
      </x:c>
      <x:c r="M23" s="16" t="n">
        <x:f>0</x:f>
        <x:v>0</x:v>
      </x:c>
      <x:c r="N23" s="16" t="n">
        <x:f>SUM(B23:M23)</x:f>
        <x:v>0</x:v>
      </x:c>
    </x:row>
    <x:row r="24">
      <x:c r="A24" t="str">
        <x:v>Charges financières</x:v>
      </x:c>
      <x:c r="B24" s="16" t="n">
        <x:f>SUMIF(Charges!$A$2:$A$27,"FINANCE",Charges!$E$2:$E$27)</x:f>
        <x:v>11685000</x:v>
      </x:c>
      <x:c r="C24" s="16" t="n">
        <x:f>SUMIF(Charges!$A$2:$A$27,"FINANCE",Charges!$F$2:$F$27)</x:f>
        <x:v>10438000</x:v>
      </x:c>
      <x:c r="D24" s="16" t="n">
        <x:f>SUMIF(Charges!$A$2:$A$27,"FINANCE",Charges!$G$2:$G$27)</x:f>
        <x:v>11337000</x:v>
      </x:c>
      <x:c r="E24" s="16" t="n">
        <x:f>SUMIF(Charges!$A$2:$A$27,"FINANCE",Charges!$H$2:$H$27)</x:f>
        <x:v>12666000</x:v>
      </x:c>
      <x:c r="F24" s="16" t="n">
        <x:f>SUMIF(Charges!$A$2:$A$27,"FINANCE",Charges!$I$2:$I$27)</x:f>
        <x:v>12415000</x:v>
      </x:c>
      <x:c r="G24" s="16" t="n">
        <x:f>SUMIF(Charges!$A$2:$A$27,"FINANCE",Charges!$J$2:$J$27)</x:f>
        <x:v>10706000</x:v>
      </x:c>
      <x:c r="H24" s="16" t="n">
        <x:f>SUMIF(Charges!$A$2:$A$27,"FINANCE",Charges!$K$2:$K$27)</x:f>
        <x:v>11040000</x:v>
      </x:c>
      <x:c r="I24" s="16" t="n">
        <x:f>SUMIF(Charges!$A$2:$A$27,"FINANCE",Charges!$L$2:$L$27)</x:f>
        <x:v>11489000</x:v>
      </x:c>
      <x:c r="J24" s="16" t="n">
        <x:f>SUMIF(Charges!$A$2:$A$27,"FINANCE",Charges!$M$2:$M$27)</x:f>
        <x:v>13016000</x:v>
      </x:c>
      <x:c r="K24" s="16" t="n">
        <x:f>SUMIF(Charges!$A$2:$A$27,"FINANCE",Charges!$N$2:$N$27)</x:f>
        <x:v>11515000</x:v>
      </x:c>
      <x:c r="L24" s="16" t="n">
        <x:f>SUMIF(Charges!$A$2:$A$27,"FINANCE",Charges!$O$2:$O$27)</x:f>
        <x:v>11901000</x:v>
      </x:c>
      <x:c r="M24" s="16" t="n">
        <x:f>SUMIF(Charges!$A$2:$A$27,"FINANCE",Charges!$P$2:$P$27)</x:f>
        <x:v>13200000</x:v>
      </x:c>
      <x:c r="N24" s="16" t="n">
        <x:f>SUM(B24:M24)</x:f>
        <x:v>141408000</x:v>
      </x:c>
    </x:row>
    <x:row r="25">
      <x:c r="A25" s="135" t="str">
        <x:v>VI. RÉSULTAT FINANCIER</x:v>
      </x:c>
      <x:c r="B25" s="128" t="n">
        <x:f>B23-B24</x:f>
        <x:v>-11685000</x:v>
      </x:c>
      <x:c r="C25" s="128" t="n">
        <x:f>C23-C24</x:f>
        <x:v>-10438000</x:v>
      </x:c>
      <x:c r="D25" s="128" t="n">
        <x:f>D23-D24</x:f>
        <x:v>-11337000</x:v>
      </x:c>
      <x:c r="E25" s="128" t="n">
        <x:f>E23-E24</x:f>
        <x:v>-12666000</x:v>
      </x:c>
      <x:c r="F25" s="128" t="n">
        <x:f>F23-F24</x:f>
        <x:v>-12415000</x:v>
      </x:c>
      <x:c r="G25" s="128" t="n">
        <x:f>G23-G24</x:f>
        <x:v>-10706000</x:v>
      </x:c>
      <x:c r="H25" s="128" t="n">
        <x:f>H23-H24</x:f>
        <x:v>-11040000</x:v>
      </x:c>
      <x:c r="I25" s="128" t="n">
        <x:f>I23-I24</x:f>
        <x:v>-11489000</x:v>
      </x:c>
      <x:c r="J25" s="128" t="n">
        <x:f>J23-J24</x:f>
        <x:v>-13016000</x:v>
      </x:c>
      <x:c r="K25" s="128" t="n">
        <x:f>K23-K24</x:f>
        <x:v>-11515000</x:v>
      </x:c>
      <x:c r="L25" s="128" t="n">
        <x:f>L23-L24</x:f>
        <x:v>-11901000</x:v>
      </x:c>
      <x:c r="M25" s="128" t="n">
        <x:f>M23-M24</x:f>
        <x:v>-13200000</x:v>
      </x:c>
      <x:c r="N25" s="128" t="n">
        <x:f>SUM(B25:M25)</x:f>
        <x:v>-141408000</x:v>
      </x:c>
    </x:row>
    <x:row r="26">
      <x:c r="A26" s="135" t="str">
        <x:v>VII. RÉSULTAT AVANT IMPÔTS (V+VI)</x:v>
      </x:c>
      <x:c r="B26" s="128" t="n">
        <x:f>B22+B25</x:f>
        <x:v>170029140.61909497</x:v>
      </x:c>
      <x:c r="C26" s="128" t="n">
        <x:f>C22+C25</x:f>
        <x:v>226915141.21909487</x:v>
      </x:c>
      <x:c r="D26" s="128" t="n">
        <x:f>D22+D25</x:f>
        <x:v>49991374.819095</x:v>
      </x:c>
      <x:c r="E26" s="128" t="n">
        <x:f>E22+E25</x:f>
        <x:v>222125427.01909482</x:v>
      </x:c>
      <x:c r="F26" s="128" t="n">
        <x:f>F22+F25</x:f>
        <x:v>190744417.01909506</x:v>
      </x:c>
      <x:c r="G26" s="128" t="n">
        <x:f>G22+G25</x:f>
        <x:v>166523508.81909502</x:v>
      </x:c>
      <x:c r="H26" s="128" t="n">
        <x:f>H22+H25</x:f>
        <x:v>194078754.81909525</x:v>
      </x:c>
      <x:c r="I26" s="128" t="n">
        <x:f>I22+I25</x:f>
        <x:v>142612434.61909497</x:v>
      </x:c>
      <x:c r="J26" s="128" t="n">
        <x:f>J22+J25</x:f>
        <x:v>261668419.41909492</x:v>
      </x:c>
      <x:c r="K26" s="128" t="n">
        <x:f>K22+K25</x:f>
        <x:v>241904766.41909516</x:v>
      </x:c>
      <x:c r="L26" s="128" t="n">
        <x:f>L22+L25</x:f>
        <x:v>272110588.41909516</x:v>
      </x:c>
      <x:c r="M26" s="128" t="n">
        <x:f>M22+M25</x:f>
        <x:v>201119088.61909497</x:v>
      </x:c>
      <x:c r="N26" s="128" t="n">
        <x:f>SUM(B26:M26)</x:f>
        <x:v>2339823061.8291397</x:v>
      </x:c>
    </x:row>
    <x:row r="27">
      <x:c r="A27" t="str">
        <x:v>Impôt exigible sur les résultats (20%)</x:v>
      </x:c>
      <x:c r="B27" s="16" t="n">
        <x:f>IF(B26&gt;0,B26*20%,0)</x:f>
        <x:v>34005828.12381899</x:v>
      </x:c>
      <x:c r="C27" s="16" t="n">
        <x:f>IF(C26&gt;0,C26*20%,0)</x:f>
        <x:v>45383028.243818976</x:v>
      </x:c>
      <x:c r="D27" s="16" t="n">
        <x:f>IF(D26&gt;0,D26*20%,0)</x:f>
        <x:v>9998274.963819</x:v>
      </x:c>
      <x:c r="E27" s="16" t="n">
        <x:f>IF(E26&gt;0,E26*20%,0)</x:f>
        <x:v>44425085.403818965</x:v>
      </x:c>
      <x:c r="F27" s="16" t="n">
        <x:f>IF(F26&gt;0,F26*20%,0)</x:f>
        <x:v>38148883.40381902</x:v>
      </x:c>
      <x:c r="G27" s="16" t="n">
        <x:f>IF(G26&gt;0,G26*20%,0)</x:f>
        <x:v>33304701.763819005</x:v>
      </x:c>
      <x:c r="H27" s="16" t="n">
        <x:f>IF(H26&gt;0,H26*20%,0)</x:f>
        <x:v>38815750.96381905</x:v>
      </x:c>
      <x:c r="I27" s="16" t="n">
        <x:f>IF(I26&gt;0,I26*20%,0)</x:f>
        <x:v>28522486.923818994</x:v>
      </x:c>
      <x:c r="J27" s="16" t="n">
        <x:f>IF(J26&gt;0,J26*20%,0)</x:f>
        <x:v>52333683.883818984</x:v>
      </x:c>
      <x:c r="K27" s="16" t="n">
        <x:f>IF(K26&gt;0,K26*20%,0)</x:f>
        <x:v>48380953.283819035</x:v>
      </x:c>
      <x:c r="L27" s="16" t="n">
        <x:f>IF(L26&gt;0,L26*20%,0)</x:f>
        <x:v>54422117.68381903</x:v>
      </x:c>
      <x:c r="M27" s="16" t="n">
        <x:f>IF(M26&gt;0,M26*20%,0)</x:f>
        <x:v>40223817.723818995</x:v>
      </x:c>
      <x:c r="N27" s="16" t="n">
        <x:f>SUM(B27:M27)</x:f>
        <x:v>467964612.3658281</x:v>
      </x:c>
    </x:row>
    <x:row r="28">
      <x:c r="A28" t="str">
        <x:v>Impôts différés</x:v>
      </x:c>
      <x:c r="B28" s="16" t="n">
        <x:f>0</x:f>
        <x:v>0</x:v>
      </x:c>
      <x:c r="C28" s="16" t="n">
        <x:f>0</x:f>
        <x:v>0</x:v>
      </x:c>
      <x:c r="D28" s="16" t="n">
        <x:f>0</x:f>
        <x:v>0</x:v>
      </x:c>
      <x:c r="E28" s="16" t="n">
        <x:f>0</x:f>
        <x:v>0</x:v>
      </x:c>
      <x:c r="F28" s="16" t="n">
        <x:f>0</x:f>
        <x:v>0</x:v>
      </x:c>
      <x:c r="G28" s="16" t="n">
        <x:f>0</x:f>
        <x:v>0</x:v>
      </x:c>
      <x:c r="H28" s="16" t="n">
        <x:f>0</x:f>
        <x:v>0</x:v>
      </x:c>
      <x:c r="I28" s="16" t="n">
        <x:f>0</x:f>
        <x:v>0</x:v>
      </x:c>
      <x:c r="J28" s="16" t="n">
        <x:f>0</x:f>
        <x:v>0</x:v>
      </x:c>
      <x:c r="K28" s="16" t="n">
        <x:f>0</x:f>
        <x:v>0</x:v>
      </x:c>
      <x:c r="L28" s="16" t="n">
        <x:f>0</x:f>
        <x:v>0</x:v>
      </x:c>
      <x:c r="M28" s="16" t="n">
        <x:f>0</x:f>
        <x:v>0</x:v>
      </x:c>
      <x:c r="N28" s="16" t="n">
        <x:f>SUM(B28:M28)</x:f>
        <x:v>0</x:v>
      </x:c>
    </x:row>
    <x:row r="29">
      <x:c r="A29" s="135" t="str">
        <x:v>VIII. RÉSULTAT NET DES ACTIVITÉS ORDINAIRES</x:v>
      </x:c>
      <x:c r="B29" s="128" t="n">
        <x:f>B26-B27-B28</x:f>
        <x:v>136023312.49527597</x:v>
      </x:c>
      <x:c r="C29" s="128" t="n">
        <x:f>C26-C27-C28</x:f>
        <x:v>181532112.9752759</x:v>
      </x:c>
      <x:c r="D29" s="128" t="n">
        <x:f>D26-D27-D28</x:f>
        <x:v>39993099.855276</x:v>
      </x:c>
      <x:c r="E29" s="128" t="n">
        <x:f>E26-E27-E28</x:f>
        <x:v>177700341.61527586</x:v>
      </x:c>
      <x:c r="F29" s="128" t="n">
        <x:f>F26-F27-F28</x:f>
        <x:v>152595533.61527604</x:v>
      </x:c>
      <x:c r="G29" s="128" t="n">
        <x:f>G26-G27-G28</x:f>
        <x:v>133218807.055276</x:v>
      </x:c>
      <x:c r="H29" s="128" t="n">
        <x:f>H26-H27-H28</x:f>
        <x:v>155263003.8552762</x:v>
      </x:c>
      <x:c r="I29" s="128" t="n">
        <x:f>I26-I27-I28</x:f>
        <x:v>114089947.69527598</x:v>
      </x:c>
      <x:c r="J29" s="128" t="n">
        <x:f>J26-J27-J28</x:f>
        <x:v>209334735.53527594</x:v>
      </x:c>
      <x:c r="K29" s="128" t="n">
        <x:f>K26-K27-K28</x:f>
        <x:v>193523813.13527614</x:v>
      </x:c>
      <x:c r="L29" s="128" t="n">
        <x:f>L26-L27-L28</x:f>
        <x:v>217688470.73527613</x:v>
      </x:c>
      <x:c r="M29" s="128" t="n">
        <x:f>M26-M27-M28</x:f>
        <x:v>160895270.89527598</x:v>
      </x:c>
      <x:c r="N29" s="128" t="n">
        <x:f>SUM(B29:M29)</x:f>
        <x:v>1871858449.4633124</x:v>
      </x:c>
    </x:row>
    <x:row r="30">
      <x:c r="A30" t="str">
        <x:v>Éléments extraordinaires - produits</x:v>
      </x:c>
      <x:c r="B30" s="16" t="n">
        <x:f>0</x:f>
        <x:v>0</x:v>
      </x:c>
      <x:c r="C30" s="16" t="n">
        <x:f>0</x:f>
        <x:v>0</x:v>
      </x:c>
      <x:c r="D30" s="16" t="n">
        <x:f>0</x:f>
        <x:v>0</x:v>
      </x:c>
      <x:c r="E30" s="16" t="n">
        <x:f>0</x:f>
        <x:v>0</x:v>
      </x:c>
      <x:c r="F30" s="16" t="n">
        <x:f>0</x:f>
        <x:v>0</x:v>
      </x:c>
      <x:c r="G30" s="16" t="n">
        <x:f>0</x:f>
        <x:v>0</x:v>
      </x:c>
      <x:c r="H30" s="16" t="n">
        <x:f>0</x:f>
        <x:v>0</x:v>
      </x:c>
      <x:c r="I30" s="16" t="n">
        <x:f>0</x:f>
        <x:v>0</x:v>
      </x:c>
      <x:c r="J30" s="16" t="n">
        <x:f>0</x:f>
        <x:v>0</x:v>
      </x:c>
      <x:c r="K30" s="16" t="n">
        <x:f>0</x:f>
        <x:v>0</x:v>
      </x:c>
      <x:c r="L30" s="16" t="n">
        <x:f>0</x:f>
        <x:v>0</x:v>
      </x:c>
      <x:c r="M30" s="16" t="n">
        <x:f>0</x:f>
        <x:v>0</x:v>
      </x:c>
      <x:c r="N30" s="16" t="n">
        <x:f>SUM(B30:M30)</x:f>
        <x:v>0</x:v>
      </x:c>
    </x:row>
    <x:row r="31">
      <x:c r="A31" t="str">
        <x:v>Éléments extraordinaires - charges</x:v>
      </x:c>
      <x:c r="B31" s="16" t="n">
        <x:f>0</x:f>
        <x:v>0</x:v>
      </x:c>
      <x:c r="C31" s="16" t="n">
        <x:f>0</x:f>
        <x:v>0</x:v>
      </x:c>
      <x:c r="D31" s="16" t="n">
        <x:f>0</x:f>
        <x:v>0</x:v>
      </x:c>
      <x:c r="E31" s="16" t="n">
        <x:f>0</x:f>
        <x:v>0</x:v>
      </x:c>
      <x:c r="F31" s="16" t="n">
        <x:f>0</x:f>
        <x:v>0</x:v>
      </x:c>
      <x:c r="G31" s="16" t="n">
        <x:f>0</x:f>
        <x:v>0</x:v>
      </x:c>
      <x:c r="H31" s="16" t="n">
        <x:f>0</x:f>
        <x:v>0</x:v>
      </x:c>
      <x:c r="I31" s="16" t="n">
        <x:f>0</x:f>
        <x:v>0</x:v>
      </x:c>
      <x:c r="J31" s="16" t="n">
        <x:f>0</x:f>
        <x:v>0</x:v>
      </x:c>
      <x:c r="K31" s="16" t="n">
        <x:f>0</x:f>
        <x:v>0</x:v>
      </x:c>
      <x:c r="L31" s="16" t="n">
        <x:f>0</x:f>
        <x:v>0</x:v>
      </x:c>
      <x:c r="M31" s="16" t="n">
        <x:f>0</x:f>
        <x:v>0</x:v>
      </x:c>
      <x:c r="N31" s="16" t="n">
        <x:f>SUM(B31:M31)</x:f>
        <x:v>0</x:v>
      </x:c>
    </x:row>
    <x:row r="32">
      <x:c r="A32" s="135" t="str">
        <x:v>IX. RÉSULTAT EXTRAORDINAIRE</x:v>
      </x:c>
      <x:c r="B32" s="128" t="n">
        <x:f>B30-B31</x:f>
        <x:v>0</x:v>
      </x:c>
      <x:c r="C32" s="128" t="n">
        <x:f>C30-C31</x:f>
        <x:v>0</x:v>
      </x:c>
      <x:c r="D32" s="128" t="n">
        <x:f>D30-D31</x:f>
        <x:v>0</x:v>
      </x:c>
      <x:c r="E32" s="128" t="n">
        <x:f>E30-E31</x:f>
        <x:v>0</x:v>
      </x:c>
      <x:c r="F32" s="128" t="n">
        <x:f>F30-F31</x:f>
        <x:v>0</x:v>
      </x:c>
      <x:c r="G32" s="128" t="n">
        <x:f>G30-G31</x:f>
        <x:v>0</x:v>
      </x:c>
      <x:c r="H32" s="128" t="n">
        <x:f>H30-H31</x:f>
        <x:v>0</x:v>
      </x:c>
      <x:c r="I32" s="128" t="n">
        <x:f>I30-I31</x:f>
        <x:v>0</x:v>
      </x:c>
      <x:c r="J32" s="128" t="n">
        <x:f>J30-J31</x:f>
        <x:v>0</x:v>
      </x:c>
      <x:c r="K32" s="128" t="n">
        <x:f>K30-K31</x:f>
        <x:v>0</x:v>
      </x:c>
      <x:c r="L32" s="128" t="n">
        <x:f>L30-L31</x:f>
        <x:v>0</x:v>
      </x:c>
      <x:c r="M32" s="128" t="n">
        <x:f>M30-M31</x:f>
        <x:v>0</x:v>
      </x:c>
      <x:c r="N32" s="128" t="n">
        <x:f>SUM(B32:M32)</x:f>
        <x:v>0</x:v>
      </x:c>
    </x:row>
    <x:row r="33">
      <x:c r="A33" s="137" t="str">
        <x:v>X. RÉSULTAT NET DE L'EXERCICE</x:v>
      </x:c>
      <x:c r="B33" s="138" t="n">
        <x:f>B29+B32</x:f>
        <x:v>136023312.49527597</x:v>
      </x:c>
      <x:c r="C33" s="138" t="n">
        <x:f>C29+C32</x:f>
        <x:v>181532112.9752759</x:v>
      </x:c>
      <x:c r="D33" s="138" t="n">
        <x:f>D29+D32</x:f>
        <x:v>39993099.855276</x:v>
      </x:c>
      <x:c r="E33" s="138" t="n">
        <x:f>E29+E32</x:f>
        <x:v>177700341.61527586</x:v>
      </x:c>
      <x:c r="F33" s="138" t="n">
        <x:f>F29+F32</x:f>
        <x:v>152595533.61527604</x:v>
      </x:c>
      <x:c r="G33" s="138" t="n">
        <x:f>G29+G32</x:f>
        <x:v>133218807.055276</x:v>
      </x:c>
      <x:c r="H33" s="138" t="n">
        <x:f>H29+H32</x:f>
        <x:v>155263003.8552762</x:v>
      </x:c>
      <x:c r="I33" s="138" t="n">
        <x:f>I29+I32</x:f>
        <x:v>114089947.69527598</x:v>
      </x:c>
      <x:c r="J33" s="138" t="n">
        <x:f>J29+J32</x:f>
        <x:v>209334735.53527594</x:v>
      </x:c>
      <x:c r="K33" s="138" t="n">
        <x:f>K29+K32</x:f>
        <x:v>193523813.13527614</x:v>
      </x:c>
      <x:c r="L33" s="138" t="n">
        <x:f>L29+L32</x:f>
        <x:v>217688470.73527613</x:v>
      </x:c>
      <x:c r="M33" s="138" t="n">
        <x:f>M29+M32</x:f>
        <x:v>160895270.89527598</x:v>
      </x:c>
      <x:c r="N33" s="138" t="n">
        <x:f>SUM(B33:M33)</x:f>
        <x:v>1871858449.4633124</x:v>
      </x:c>
    </x:row>
    <x:row r="34">
      <x:c r="A34" t="str">
        <x:v>Marge nette</x:v>
      </x:c>
      <x:c r="B34" s="139" t="n">
        <x:f>IFERROR(B33/B5,0)</x:f>
        <x:v>0.10715684724160786</x:v>
      </x:c>
      <x:c r="C34" s="139" t="n">
        <x:f>IFERROR(C33/C5,0)</x:f>
        <x:v>0.1405827572073244</x:v>
      </x:c>
      <x:c r="D34" s="139" t="n">
        <x:f>IFERROR(D33/D5,0)</x:f>
        <x:v>0.03420423338761916</x:v>
      </x:c>
      <x:c r="E34" s="139" t="n">
        <x:f>IFERROR(E33/E5,0)</x:f>
        <x:v>0.13461930844504516</x:v>
      </x:c>
      <x:c r="F34" s="139" t="n">
        <x:f>IFERROR(F33/F5,0)</x:f>
        <x:v>0.11916282955050794</x:v>
      </x:c>
      <x:c r="G34" s="139" t="n">
        <x:f>IFERROR(G33/G5,0)</x:f>
        <x:v>0.10324051847732077</x:v>
      </x:c>
      <x:c r="H34" s="139" t="n">
        <x:f>IFERROR(H33/H5,0)</x:f>
        <x:v>0.12228316832723261</x:v>
      </x:c>
      <x:c r="I34" s="139" t="n">
        <x:f>IFERROR(I33/I5,0)</x:f>
        <x:v>0.08941924774152434</x:v>
      </x:c>
      <x:c r="J34" s="139" t="n">
        <x:f>IFERROR(J33/J5,0)</x:f>
        <x:v>0.15440554883438798</x:v>
      </x:c>
      <x:c r="K34" s="139" t="n">
        <x:f>IFERROR(K33/K5,0)</x:f>
        <x:v>0.1444918651114703</x:v>
      </x:c>
      <x:c r="L34" s="139" t="n">
        <x:f>IFERROR(L33/L5,0)</x:f>
        <x:v>0.15934036203904145</x:v>
      </x:c>
      <x:c r="M34" s="139" t="n">
        <x:f>IFERROR(M33/M5,0)</x:f>
        <x:v>0.12196049644209565</x:v>
      </x:c>
      <x:c r="N34" s="139" t="n">
        <x:f>IFERROR(N33/N5,0)</x:f>
        <x:v>0.12040011192763979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51" t="str">
        <x:v>Catégorie</x:v>
      </x:c>
      <x:c r="B1" s="151" t="str">
        <x:v>Nature</x:v>
      </x:c>
      <x:c r="C1" s="151" t="str">
        <x:v>Périmètre général</x:v>
      </x:c>
      <x:c r="D1" s="151" t="str">
        <x:v>Unité</x:v>
      </x:c>
      <x:c r="E1" s="151" t="str">
        <x:v>Janvier</x:v>
      </x:c>
      <x:c r="F1" s="151" t="str">
        <x:v>Février</x:v>
      </x:c>
      <x:c r="G1" s="151" t="str">
        <x:v>Mars</x:v>
      </x:c>
      <x:c r="H1" s="151" t="str">
        <x:v>Avril</x:v>
      </x:c>
      <x:c r="I1" s="151" t="str">
        <x:v>Mai</x:v>
      </x:c>
      <x:c r="J1" s="151" t="str">
        <x:v>Juin</x:v>
      </x:c>
      <x:c r="K1" s="151" t="str">
        <x:v>Juillet</x:v>
      </x:c>
      <x:c r="L1" s="151" t="str">
        <x:v>Août</x:v>
      </x:c>
      <x:c r="M1" s="151" t="str">
        <x:v>Septembre</x:v>
      </x:c>
      <x:c r="N1" s="151" t="str">
        <x:v>Octobre</x:v>
      </x:c>
      <x:c r="O1" s="151" t="str">
        <x:v>Novembre</x:v>
      </x:c>
      <x:c r="P1" s="151" t="str">
        <x:v>Décembre</x:v>
      </x:c>
      <x:c r="Q1" s="151" t="str">
        <x:v>Total annuel</x:v>
      </x:c>
    </x:row>
    <x:row r="2" ht="21" customHeight="1">
      <x:c r="A2" s="154" t="str">
        <x:v>AMORTISSEMENT</x:v>
      </x:c>
      <x:c r="B2" s="154" t="str">
        <x:v>DOT.AMORT.MAT &amp; OUTILLAGE</x:v>
      </x:c>
      <x:c r="C2" s="154"/>
      <x:c r="D2" s="154" t="str">
        <x:v>MGA</x:v>
      </x:c>
      <x:c r="E2" s="155" t="n">
        <x:v>1575891.0383999997</x:v>
      </x:c>
      <x:c r="F2" s="155" t="n">
        <x:v>1575891.0383999997</x:v>
      </x:c>
      <x:c r="G2" s="155" t="n">
        <x:v>1575891.0383999997</x:v>
      </x:c>
      <x:c r="H2" s="155" t="n">
        <x:v>1575891.0383999997</x:v>
      </x:c>
      <x:c r="I2" s="155" t="n">
        <x:v>1575891.0383999997</x:v>
      </x:c>
      <x:c r="J2" s="155" t="n">
        <x:v>1575891.0383999997</x:v>
      </x:c>
      <x:c r="K2" s="155" t="n">
        <x:v>1575891.0383999997</x:v>
      </x:c>
      <x:c r="L2" s="155" t="n">
        <x:v>1575891.0383999997</x:v>
      </x:c>
      <x:c r="M2" s="155" t="n">
        <x:v>1575891.0383999997</x:v>
      </x:c>
      <x:c r="N2" s="155" t="n">
        <x:v>1575891.0383999997</x:v>
      </x:c>
      <x:c r="O2" s="155" t="n">
        <x:v>1575891.0383999997</x:v>
      </x:c>
      <x:c r="P2" s="155" t="n">
        <x:v>1575891.0383999997</x:v>
      </x:c>
      <x:c r="Q2" s="155" t="n">
        <x:v>18910692.460799996</x:v>
      </x:c>
    </x:row>
    <x:row r="3" ht="21" customHeight="1">
      <x:c r="A3" s="152" t="str">
        <x:v>AMORTISSEMENT</x:v>
      </x:c>
      <x:c r="B3" s="152" t="str">
        <x:v>DOT.AMORT.VEHICULE UTILITAIRE</x:v>
      </x:c>
      <x:c r="C3" s="152"/>
      <x:c r="D3" s="152" t="str">
        <x:v>MGA</x:v>
      </x:c>
      <x:c r="E3" s="153" t="n">
        <x:v>2657146.125</x:v>
      </x:c>
      <x:c r="F3" s="153" t="n">
        <x:v>2657146.125</x:v>
      </x:c>
      <x:c r="G3" s="153" t="n">
        <x:v>2657146.125</x:v>
      </x:c>
      <x:c r="H3" s="153" t="n">
        <x:v>2657146.125</x:v>
      </x:c>
      <x:c r="I3" s="153" t="n">
        <x:v>2657146.125</x:v>
      </x:c>
      <x:c r="J3" s="153" t="n">
        <x:v>2657146.125</x:v>
      </x:c>
      <x:c r="K3" s="153" t="n">
        <x:v>2657146.125</x:v>
      </x:c>
      <x:c r="L3" s="153" t="n">
        <x:v>2657146.125</x:v>
      </x:c>
      <x:c r="M3" s="153" t="n">
        <x:v>2657146.125</x:v>
      </x:c>
      <x:c r="N3" s="153" t="n">
        <x:v>2657146.125</x:v>
      </x:c>
      <x:c r="O3" s="153" t="n">
        <x:v>2657146.125</x:v>
      </x:c>
      <x:c r="P3" s="153" t="n">
        <x:v>2657146.125</x:v>
      </x:c>
      <x:c r="Q3" s="153" t="n">
        <x:v>31885753.5</x:v>
      </x:c>
    </x:row>
    <x:row r="4" ht="21" customHeight="1">
      <x:c r="A4" s="154" t="str">
        <x:v>AMORTISSEMENT</x:v>
      </x:c>
      <x:c r="B4" s="154" t="str">
        <x:v>Autres immobilisations 1</x:v>
      </x:c>
      <x:c r="C4" s="154"/>
      <x:c r="D4" s="154" t="str">
        <x:v>MGA</x:v>
      </x:c>
      <x:c r="E4" s="155" t="n">
        <x:v>0</x:v>
      </x:c>
      <x:c r="F4" s="155" t="n">
        <x:v>393333.3333333333</x:v>
      </x:c>
      <x:c r="G4" s="155" t="n">
        <x:v>393333.3333333333</x:v>
      </x:c>
      <x:c r="H4" s="155" t="n">
        <x:v>393333.3333333333</x:v>
      </x:c>
      <x:c r="I4" s="155" t="n">
        <x:v>393333.3333333333</x:v>
      </x:c>
      <x:c r="J4" s="155" t="n">
        <x:v>393333.3333333333</x:v>
      </x:c>
      <x:c r="K4" s="155" t="n">
        <x:v>393333.3333333333</x:v>
      </x:c>
      <x:c r="L4" s="155" t="n">
        <x:v>393333.3333333333</x:v>
      </x:c>
      <x:c r="M4" s="155" t="n">
        <x:v>393333.3333333333</x:v>
      </x:c>
      <x:c r="N4" s="155" t="n">
        <x:v>393333.3333333333</x:v>
      </x:c>
      <x:c r="O4" s="155" t="n">
        <x:v>393333.3333333333</x:v>
      </x:c>
      <x:c r="P4" s="155" t="n">
        <x:v>393333.3333333333</x:v>
      </x:c>
      <x:c r="Q4" s="155" t="n">
        <x:v>4326666.666666666</x:v>
      </x:c>
    </x:row>
    <x:row r="5" ht="21" customHeight="1">
      <x:c r="A5" s="152" t="str">
        <x:v>AMORTISSEMENT</x:v>
      </x:c>
      <x:c r="B5" s="152" t="str">
        <x:v>DOT.AMORT Réparations toitures</x:v>
      </x:c>
      <x:c r="C5" s="152"/>
      <x:c r="D5" s="152" t="str">
        <x:v>MGA</x:v>
      </x:c>
      <x:c r="E5" s="153" t="n">
        <x:v>0</x:v>
      </x:c>
      <x:c r="F5" s="153" t="n">
        <x:v>5900000</x:v>
      </x:c>
      <x:c r="G5" s="153" t="n">
        <x:v>5900000</x:v>
      </x:c>
      <x:c r="H5" s="153" t="n">
        <x:v>5900000</x:v>
      </x:c>
      <x:c r="I5" s="153" t="n">
        <x:v>5900000</x:v>
      </x:c>
      <x:c r="J5" s="153" t="n">
        <x:v>5900000</x:v>
      </x:c>
      <x:c r="K5" s="153" t="n">
        <x:v>5900000</x:v>
      </x:c>
      <x:c r="L5" s="153" t="n">
        <x:v>5900000</x:v>
      </x:c>
      <x:c r="M5" s="153" t="n">
        <x:v>5900000</x:v>
      </x:c>
      <x:c r="N5" s="153" t="n">
        <x:v>5900000</x:v>
      </x:c>
      <x:c r="O5" s="153" t="n">
        <x:v>5900000</x:v>
      </x:c>
      <x:c r="P5" s="153" t="n">
        <x:v>5900000</x:v>
      </x:c>
      <x:c r="Q5" s="153" t="n">
        <x:v>64900000</x:v>
      </x:c>
    </x:row>
    <x:row r="6" ht="21" customHeight="1">
      <x:c r="A6" s="154" t="str">
        <x:v>AMORTISSEMENT</x:v>
      </x:c>
      <x:c r="B6" s="154" t="str">
        <x:v>Autres immobilisations 2</x:v>
      </x:c>
      <x:c r="C6" s="154"/>
      <x:c r="D6" s="154" t="str">
        <x:v>MGA</x:v>
      </x:c>
      <x:c r="E6" s="155" t="n">
        <x:v>0</x:v>
      </x:c>
      <x:c r="F6" s="155" t="n">
        <x:v>98333.33333333333</x:v>
      </x:c>
      <x:c r="G6" s="155" t="n">
        <x:v>98333.33333333333</x:v>
      </x:c>
      <x:c r="H6" s="155" t="n">
        <x:v>98333.33333333333</x:v>
      </x:c>
      <x:c r="I6" s="155" t="n">
        <x:v>98333.33333333333</x:v>
      </x:c>
      <x:c r="J6" s="155" t="n">
        <x:v>98333.33333333333</x:v>
      </x:c>
      <x:c r="K6" s="155" t="n">
        <x:v>98333.33333333333</x:v>
      </x:c>
      <x:c r="L6" s="155" t="n">
        <x:v>98333.33333333333</x:v>
      </x:c>
      <x:c r="M6" s="155" t="n">
        <x:v>98333.33333333333</x:v>
      </x:c>
      <x:c r="N6" s="155" t="n">
        <x:v>98333.33333333333</x:v>
      </x:c>
      <x:c r="O6" s="155" t="n">
        <x:v>98333.33333333333</x:v>
      </x:c>
      <x:c r="P6" s="155" t="n">
        <x:v>98333.33333333333</x:v>
      </x:c>
      <x:c r="Q6" s="155" t="n">
        <x:v>1081666.6666666665</x:v>
      </x:c>
    </x:row>
    <x:row r="7" ht="21" customHeight="1">
      <x:c r="A7" s="152" t="str">
        <x:v>AMORTISSEMENT</x:v>
      </x:c>
      <x:c r="B7" s="152" t="str">
        <x:v>DOT.AMORT.AGENC AMENAG CONSTRUC</x:v>
      </x:c>
      <x:c r="C7" s="152"/>
      <x:c r="D7" s="152" t="str">
        <x:v>MGA</x:v>
      </x:c>
      <x:c r="E7" s="153" t="n">
        <x:v>0</x:v>
      </x:c>
      <x:c r="F7" s="153" t="n">
        <x:v>0</x:v>
      </x:c>
      <x:c r="G7" s="153" t="n">
        <x:v>0</x:v>
      </x:c>
      <x:c r="H7" s="153" t="n">
        <x:v>0</x:v>
      </x:c>
      <x:c r="I7" s="153" t="n">
        <x:v>0</x:v>
      </x:c>
      <x:c r="J7" s="153" t="n">
        <x:v>0</x:v>
      </x:c>
      <x:c r="K7" s="153" t="n">
        <x:v>0</x:v>
      </x:c>
      <x:c r="L7" s="153" t="n">
        <x:v>0</x:v>
      </x:c>
      <x:c r="M7" s="153" t="n">
        <x:v>0</x:v>
      </x:c>
      <x:c r="N7" s="153" t="n">
        <x:v>0</x:v>
      </x:c>
      <x:c r="O7" s="153" t="n">
        <x:v>0</x:v>
      </x:c>
      <x:c r="P7" s="153" t="n">
        <x:v>0</x:v>
      </x:c>
      <x:c r="Q7" s="153" t="n">
        <x:v>0</x:v>
      </x:c>
    </x:row>
    <x:row r="8" ht="21" customHeight="1">
      <x:c r="A8" s="154" t="str">
        <x:v>AMORTISSEMENT</x:v>
      </x:c>
      <x:c r="B8" s="154" t="str">
        <x:v>DOT.AMORT.AUTRES INSTALLATIONS</x:v>
      </x:c>
      <x:c r="C8" s="154"/>
      <x:c r="D8" s="154" t="str">
        <x:v>MGA</x:v>
      </x:c>
      <x:c r="E8" s="155" t="n">
        <x:v>13964.370749999998</x:v>
      </x:c>
      <x:c r="F8" s="155" t="n">
        <x:v>13964.370749999998</x:v>
      </x:c>
      <x:c r="G8" s="155" t="n">
        <x:v>13964.370749999998</x:v>
      </x:c>
      <x:c r="H8" s="155" t="n">
        <x:v>13964.370749999998</x:v>
      </x:c>
      <x:c r="I8" s="155" t="n">
        <x:v>13964.370749999998</x:v>
      </x:c>
      <x:c r="J8" s="155" t="n">
        <x:v>13964.370749999998</x:v>
      </x:c>
      <x:c r="K8" s="155" t="n">
        <x:v>13964.370749999998</x:v>
      </x:c>
      <x:c r="L8" s="155" t="n">
        <x:v>13964.370749999998</x:v>
      </x:c>
      <x:c r="M8" s="155" t="n">
        <x:v>13964.370749999998</x:v>
      </x:c>
      <x:c r="N8" s="155" t="n">
        <x:v>13964.370749999998</x:v>
      </x:c>
      <x:c r="O8" s="155" t="n">
        <x:v>13964.370749999998</x:v>
      </x:c>
      <x:c r="P8" s="155" t="n">
        <x:v>13964.370749999998</x:v>
      </x:c>
      <x:c r="Q8" s="155" t="n">
        <x:v>167572.44899999996</x:v>
      </x:c>
    </x:row>
    <x:row r="9" ht="21" customHeight="1">
      <x:c r="A9" s="152" t="str">
        <x:v>AMORTISSEMENT</x:v>
      </x:c>
      <x:c r="B9" s="152" t="str">
        <x:v>DOT.AMORT.MATERIEL DE BUREAU</x:v>
      </x:c>
      <x:c r="C9" s="152"/>
      <x:c r="D9" s="152" t="str">
        <x:v>MGA</x:v>
      </x:c>
      <x:c r="E9" s="153" t="n">
        <x:v>2204717.0319625</x:v>
      </x:c>
      <x:c r="F9" s="153" t="n">
        <x:v>2204717.0319625</x:v>
      </x:c>
      <x:c r="G9" s="153" t="n">
        <x:v>2204717.0319625</x:v>
      </x:c>
      <x:c r="H9" s="153" t="n">
        <x:v>2204717.0319625</x:v>
      </x:c>
      <x:c r="I9" s="153" t="n">
        <x:v>2204717.0319625</x:v>
      </x:c>
      <x:c r="J9" s="153" t="n">
        <x:v>2204717.0319625</x:v>
      </x:c>
      <x:c r="K9" s="153" t="n">
        <x:v>2204717.0319625</x:v>
      </x:c>
      <x:c r="L9" s="153" t="n">
        <x:v>2204717.0319625</x:v>
      </x:c>
      <x:c r="M9" s="153" t="n">
        <x:v>2204717.0319625</x:v>
      </x:c>
      <x:c r="N9" s="153" t="n">
        <x:v>2204717.0319625</x:v>
      </x:c>
      <x:c r="O9" s="153" t="n">
        <x:v>2204717.0319625</x:v>
      </x:c>
      <x:c r="P9" s="153" t="n">
        <x:v>2204717.0319625</x:v>
      </x:c>
      <x:c r="Q9" s="153" t="n">
        <x:v>26456604.38355</x:v>
      </x:c>
    </x:row>
    <x:row r="10" ht="21" customHeight="1">
      <x:c r="A10" s="154" t="str">
        <x:v>AMORTISSEMENT</x:v>
      </x:c>
      <x:c r="B10" s="154" t="str">
        <x:v>DOT.AMORT.MATERIEL INFORMATIQUE</x:v>
      </x:c>
      <x:c r="C10" s="154"/>
      <x:c r="D10" s="154" t="str">
        <x:v>MGA</x:v>
      </x:c>
      <x:c r="E10" s="155" t="n">
        <x:v>189855.8457468749</x:v>
      </x:c>
      <x:c r="F10" s="155" t="n">
        <x:v>189855.8457468749</x:v>
      </x:c>
      <x:c r="G10" s="155" t="n">
        <x:v>189855.8457468749</x:v>
      </x:c>
      <x:c r="H10" s="155" t="n">
        <x:v>189855.8457468749</x:v>
      </x:c>
      <x:c r="I10" s="155" t="n">
        <x:v>189855.8457468749</x:v>
      </x:c>
      <x:c r="J10" s="155" t="n">
        <x:v>189855.8457468749</x:v>
      </x:c>
      <x:c r="K10" s="155" t="n">
        <x:v>189855.8457468749</x:v>
      </x:c>
      <x:c r="L10" s="155" t="n">
        <x:v>189855.8457468749</x:v>
      </x:c>
      <x:c r="M10" s="155" t="n">
        <x:v>189855.8457468749</x:v>
      </x:c>
      <x:c r="N10" s="155" t="n">
        <x:v>189855.8457468749</x:v>
      </x:c>
      <x:c r="O10" s="155" t="n">
        <x:v>189855.8457468749</x:v>
      </x:c>
      <x:c r="P10" s="155" t="n">
        <x:v>189855.8457468749</x:v>
      </x:c>
      <x:c r="Q10" s="155" t="n">
        <x:v>2278270.1489624986</x:v>
      </x:c>
    </x:row>
    <x:row r="11" ht="21" customHeight="1">
      <x:c r="A11" s="152" t="str">
        <x:v>AMORTISSEMENT</x:v>
      </x:c>
      <x:c r="B11" s="152" t="str">
        <x:v>DOT.AMORT.MAT.&amp; MOB.DE LOGEMENT</x:v>
      </x:c>
      <x:c r="C11" s="152"/>
      <x:c r="D11" s="152" t="str">
        <x:v>MGA</x:v>
      </x:c>
      <x:c r="E11" s="153" t="n">
        <x:v>313452.56904557283</x:v>
      </x:c>
      <x:c r="F11" s="153" t="n">
        <x:v>313452.56904557283</x:v>
      </x:c>
      <x:c r="G11" s="153" t="n">
        <x:v>313452.56904557283</x:v>
      </x:c>
      <x:c r="H11" s="153" t="n">
        <x:v>313452.56904557283</x:v>
      </x:c>
      <x:c r="I11" s="153" t="n">
        <x:v>313452.56904557283</x:v>
      </x:c>
      <x:c r="J11" s="153" t="n">
        <x:v>313452.56904557283</x:v>
      </x:c>
      <x:c r="K11" s="153" t="n">
        <x:v>313452.56904557283</x:v>
      </x:c>
      <x:c r="L11" s="153" t="n">
        <x:v>313452.56904557283</x:v>
      </x:c>
      <x:c r="M11" s="153" t="n">
        <x:v>313452.56904557283</x:v>
      </x:c>
      <x:c r="N11" s="153" t="n">
        <x:v>313452.56904557283</x:v>
      </x:c>
      <x:c r="O11" s="153" t="n">
        <x:v>313452.56904557283</x:v>
      </x:c>
      <x:c r="P11" s="153" t="n">
        <x:v>313452.56904557283</x:v>
      </x:c>
      <x:c r="Q11" s="153" t="n">
        <x:v>3761430.828546874</x:v>
      </x:c>
    </x:row>
    <x:row r="12" ht="21" customHeight="1">
      <x:c r="A12" s="154" t="str">
        <x:v>AMORTISSEMENT</x:v>
      </x:c>
      <x:c r="B12" s="154" t="str">
        <x:v>Autres amortissements</x:v>
      </x:c>
      <x:c r="C12" s="154"/>
      <x:c r="D12" s="154" t="str">
        <x:v>MGA</x:v>
      </x:c>
      <x:c r="E12" s="155" t="n">
        <x:v>0</x:v>
      </x:c>
      <x:c r="F12" s="155" t="n">
        <x:v>172083.33333333334</x:v>
      </x:c>
      <x:c r="G12" s="155" t="n">
        <x:v>172083.33333333334</x:v>
      </x:c>
      <x:c r="H12" s="155" t="n">
        <x:v>172083.33333333334</x:v>
      </x:c>
      <x:c r="I12" s="155" t="n">
        <x:v>172083.33333333334</x:v>
      </x:c>
      <x:c r="J12" s="155" t="n">
        <x:v>172083.33333333334</x:v>
      </x:c>
      <x:c r="K12" s="155" t="n">
        <x:v>172083.33333333334</x:v>
      </x:c>
      <x:c r="L12" s="155" t="n">
        <x:v>172083.33333333334</x:v>
      </x:c>
      <x:c r="M12" s="155" t="n">
        <x:v>172083.33333333334</x:v>
      </x:c>
      <x:c r="N12" s="155" t="n">
        <x:v>172083.33333333334</x:v>
      </x:c>
      <x:c r="O12" s="155" t="n">
        <x:v>172083.33333333334</x:v>
      </x:c>
      <x:c r="P12" s="155" t="n">
        <x:v>172083.33333333334</x:v>
      </x:c>
      <x:c r="Q12" s="155" t="n">
        <x:v>1892916.6666666667</x:v>
      </x:c>
    </x:row>
    <x:row r="13" ht="21" customHeight="1">
      <x:c r="A13" s="152"/>
      <x:c r="B13" s="152"/>
      <x:c r="C13" s="152"/>
      <x:c r="D13" s="152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</x:row>
    <x:row r="14" ht="21" customHeight="1">
      <x:c r="A14" s="154"/>
      <x:c r="B14" s="154"/>
      <x:c r="C14" s="154"/>
      <x:c r="D14" s="154"/>
      <x:c r="E14" s="155"/>
      <x:c r="F14" s="155"/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</x:row>
    <x:row r="15" ht="21" customHeight="1">
      <x:c r="A15" s="152"/>
      <x:c r="B15" s="152"/>
      <x:c r="C15" s="152"/>
      <x:c r="D15" s="152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</x:row>
    <x:row r="16" ht="21" customHeight="1">
      <x:c r="A16" s="154"/>
      <x:c r="B16" s="154"/>
      <x:c r="C16" s="154"/>
      <x:c r="D16" s="154"/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</x:row>
    <x:row r="17" ht="21" customHeight="1">
      <x:c r="A17" s="152"/>
      <x:c r="B17" s="152"/>
      <x:c r="C17" s="152"/>
      <x:c r="D17" s="152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</x:row>
    <x:row r="18" ht="21" customHeight="1">
      <x:c r="A18" s="154"/>
      <x:c r="B18" s="154"/>
      <x:c r="C18" s="154"/>
      <x:c r="D18" s="154"/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</x:row>
    <x:row r="19" ht="21" customHeight="1">
      <x:c r="A19" s="152"/>
      <x:c r="B19" s="152"/>
      <x:c r="C19" s="152"/>
      <x:c r="D19" s="152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</x:row>
    <x:row r="20" ht="21" customHeight="1">
      <x:c r="A20" s="154"/>
      <x:c r="B20" s="154"/>
      <x:c r="C20" s="154"/>
      <x:c r="D20" s="154"/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</x:row>
    <x:row r="21" ht="21" customHeight="1">
      <x:c r="A21" s="152"/>
      <x:c r="B21" s="152"/>
      <x:c r="C21" s="152"/>
      <x:c r="D21" s="152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</x:row>
    <x:row r="22" ht="21" customHeight="1">
      <x:c r="A22" s="154"/>
      <x:c r="B22" s="154"/>
      <x:c r="C22" s="154"/>
      <x:c r="D22" s="154"/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5"/>
      <x:c r="Q22" s="155"/>
    </x:row>
    <x:row r="23" ht="21" customHeight="1">
      <x:c r="A23" s="152"/>
      <x:c r="B23" s="152"/>
      <x:c r="C23" s="152"/>
      <x:c r="D23" s="152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</x:row>
    <x:row r="24" ht="21" customHeight="1">
      <x:c r="A24" s="154"/>
      <x:c r="B24" s="154"/>
      <x:c r="C24" s="154"/>
      <x:c r="D24" s="154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5"/>
      <x:c r="Q24" s="155"/>
    </x:row>
    <x:row r="25" ht="21" customHeight="1">
      <x:c r="A25" s="152"/>
      <x:c r="B25" s="152"/>
      <x:c r="C25" s="152"/>
      <x:c r="D25" s="152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</x:row>
    <x:row r="26" ht="21" customHeight="1">
      <x:c r="A26" s="154"/>
      <x:c r="B26" s="154"/>
      <x:c r="C26" s="154"/>
      <x:c r="D26" s="154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5"/>
      <x:c r="Q26" s="155"/>
    </x:row>
    <x:row r="27" ht="21" customHeight="1">
      <x:c r="A27" s="152"/>
      <x:c r="B27" s="152"/>
      <x:c r="C27" s="152"/>
      <x:c r="D27" s="152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</x:row>
    <x:row r="28" ht="21" customHeight="1">
      <x:c r="A28" s="154"/>
      <x:c r="B28" s="154"/>
      <x:c r="C28" s="154"/>
      <x:c r="D28" s="154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5"/>
      <x:c r="Q28" s="155"/>
    </x:row>
    <x:row r="29" ht="21" customHeight="1">
      <x:c r="A29" s="152"/>
      <x:c r="B29" s="152"/>
      <x:c r="C29" s="152"/>
      <x:c r="D29" s="152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</x:row>
    <x:row r="30" ht="21" customHeight="1">
      <x:c r="A30" s="154"/>
      <x:c r="B30" s="154"/>
      <x:c r="C30" s="154"/>
      <x:c r="D30" s="154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5"/>
      <x:c r="Q30" s="155"/>
    </x:row>
    <x:row r="31" ht="21" customHeight="1">
      <x:c r="A31" s="152"/>
      <x:c r="B31" s="152"/>
      <x:c r="C31" s="152"/>
      <x:c r="D31" s="152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</x:row>
    <x:row r="32" ht="21" customHeight="1">
      <x:c r="A32" s="154"/>
      <x:c r="B32" s="154"/>
      <x:c r="C32" s="154"/>
      <x:c r="D32" s="154"/>
      <x:c r="E32" s="155"/>
      <x:c r="F32" s="155"/>
      <x:c r="G32" s="155"/>
      <x:c r="H32" s="155"/>
      <x:c r="I32" s="155"/>
      <x:c r="J32" s="155"/>
      <x:c r="K32" s="155"/>
      <x:c r="L32" s="155"/>
      <x:c r="M32" s="155"/>
      <x:c r="N32" s="155"/>
      <x:c r="O32" s="155"/>
      <x:c r="P32" s="155"/>
      <x:c r="Q32" s="155"/>
    </x:row>
    <x:row r="33" ht="21" customHeight="1">
      <x:c r="A33" s="152"/>
      <x:c r="B33" s="152"/>
      <x:c r="C33" s="152"/>
      <x:c r="D33" s="152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</x:row>
    <x:row r="34" ht="21" customHeight="1">
      <x:c r="A34" s="154"/>
      <x:c r="B34" s="154"/>
      <x:c r="C34" s="154"/>
      <x:c r="D34" s="154"/>
      <x:c r="E34" s="155"/>
      <x:c r="F34" s="155"/>
      <x:c r="G34" s="155"/>
      <x:c r="H34" s="155"/>
      <x:c r="I34" s="155"/>
      <x:c r="J34" s="155"/>
      <x:c r="K34" s="155"/>
      <x:c r="L34" s="155"/>
      <x:c r="M34" s="155"/>
      <x:c r="N34" s="155"/>
      <x:c r="O34" s="155"/>
      <x:c r="P34" s="155"/>
      <x:c r="Q34" s="155"/>
    </x:row>
    <x:row r="35" ht="21" customHeight="1">
      <x:c r="A35" s="152"/>
      <x:c r="B35" s="152"/>
      <x:c r="C35" s="152"/>
      <x:c r="D35" s="152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