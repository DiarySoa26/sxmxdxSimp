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c/Documents/DIX Y/SOMIDA/SIMP/sxmxdxSimp/data/"/>
    </mc:Choice>
  </mc:AlternateContent>
  <xr:revisionPtr revIDLastSave="0" documentId="13_ncr:1_{A984C191-20B9-2347-836B-61880A260435}" xr6:coauthVersionLast="47" xr6:coauthVersionMax="47" xr10:uidLastSave="{00000000-0000-0000-0000-000000000000}"/>
  <bookViews>
    <workbookView xWindow="0" yWindow="600" windowWidth="28800" windowHeight="16100" activeTab="6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7" l="1"/>
  <c r="N2" i="7"/>
  <c r="N6" i="7" s="1"/>
  <c r="N7" i="7" s="1"/>
  <c r="M2" i="7"/>
  <c r="L2" i="7"/>
  <c r="K2" i="7"/>
  <c r="J2" i="7"/>
  <c r="I2" i="7"/>
  <c r="H2" i="7"/>
  <c r="G2" i="7"/>
  <c r="F2" i="7"/>
  <c r="F6" i="7" s="1"/>
  <c r="F7" i="7" s="1"/>
  <c r="E2" i="7"/>
  <c r="E6" i="7" s="1"/>
  <c r="E7" i="7" s="1"/>
  <c r="D2" i="7"/>
  <c r="C2" i="7"/>
  <c r="N5" i="7"/>
  <c r="M5" i="7"/>
  <c r="L5" i="7"/>
  <c r="K5" i="7"/>
  <c r="J5" i="7"/>
  <c r="I5" i="7"/>
  <c r="H5" i="7"/>
  <c r="G5" i="7"/>
  <c r="F5" i="7"/>
  <c r="E5" i="7"/>
  <c r="D5" i="7"/>
  <c r="C5" i="7"/>
  <c r="O5" i="7" s="1"/>
  <c r="N4" i="7"/>
  <c r="M4" i="7"/>
  <c r="L4" i="7"/>
  <c r="K4" i="7"/>
  <c r="J4" i="7"/>
  <c r="I4" i="7"/>
  <c r="H4" i="7"/>
  <c r="G4" i="7"/>
  <c r="O4" i="7" s="1"/>
  <c r="F4" i="7"/>
  <c r="E4" i="7"/>
  <c r="D4" i="7"/>
  <c r="C4" i="7"/>
  <c r="N3" i="7"/>
  <c r="M3" i="7"/>
  <c r="L3" i="7"/>
  <c r="K3" i="7"/>
  <c r="J3" i="7"/>
  <c r="I3" i="7"/>
  <c r="H3" i="7"/>
  <c r="G3" i="7"/>
  <c r="F3" i="7"/>
  <c r="E3" i="7"/>
  <c r="D3" i="7"/>
  <c r="C3" i="7"/>
  <c r="M5" i="5"/>
  <c r="J5" i="5"/>
  <c r="G5" i="5"/>
  <c r="D5" i="5"/>
  <c r="A5" i="5"/>
  <c r="M6" i="7" l="1"/>
  <c r="M7" i="7" s="1"/>
  <c r="H6" i="7"/>
  <c r="H7" i="7" s="1"/>
  <c r="O3" i="7"/>
  <c r="I6" i="7"/>
  <c r="I7" i="7" s="1"/>
  <c r="J6" i="7"/>
  <c r="J7" i="7" s="1"/>
  <c r="C6" i="7"/>
  <c r="K6" i="7"/>
  <c r="K7" i="7" s="1"/>
  <c r="D6" i="7"/>
  <c r="D7" i="7" s="1"/>
  <c r="L6" i="7"/>
  <c r="L7" i="7" s="1"/>
  <c r="C7" i="7"/>
  <c r="G6" i="7"/>
  <c r="G7" i="7" s="1"/>
  <c r="O6" i="7" l="1"/>
  <c r="O7" i="7" s="1"/>
</calcChain>
</file>

<file path=xl/sharedStrings.xml><?xml version="1.0" encoding="utf-8"?>
<sst xmlns="http://schemas.openxmlformats.org/spreadsheetml/2006/main" count="946" uniqueCount="220">
  <si>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</si>
  <si>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</si>
  <si>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</si>
  <si>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</si>
  <si>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</si>
  <si>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</si>
  <si>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</si>
  <si>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Exercice budgétaire</t>
  </si>
  <si>
    <t>Inflation annuelle</t>
  </si>
  <si>
    <t>%</t>
  </si>
  <si>
    <t>Hypothèse budgétaire</t>
  </si>
  <si>
    <t>Taux USD/MGA</t>
  </si>
  <si>
    <t>MGA/USD</t>
  </si>
  <si>
    <t>Hypothèse de change</t>
  </si>
  <si>
    <t>Taux JPY/MGA</t>
  </si>
  <si>
    <t>MGA/JPY</t>
  </si>
  <si>
    <t>Augmentation salariale</t>
  </si>
  <si>
    <t>Hypothèse RH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</si>
  <si>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</si>
  <si>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</si>
  <si>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</si>
  <si>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</si>
  <si>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</si>
  <si>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</si>
  <si>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</si>
  <si>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</si>
  <si>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</si>
  <si>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</si>
  <si>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</si>
  <si>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</si>
  <si>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</si>
  <si>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</si>
  <si>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</si>
  <si>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</si>
  <si>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Relation export issue de la correction utilisateur</t>
  </si>
  <si>
    <t>Russie</t>
  </si>
  <si>
    <t>ELINAR</t>
  </si>
  <si>
    <t>USD</t>
  </si>
  <si>
    <t>Chine</t>
  </si>
  <si>
    <t>REPRESENTANT CHINE - A VALIDER</t>
  </si>
  <si>
    <t>Nom exact à confirmer depuis Données SOMIDA</t>
  </si>
  <si>
    <t>Matricule</t>
  </si>
  <si>
    <t>Nom simulé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</si>
  <si>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</si>
  <si>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</si>
  <si>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</si>
  <si>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</si>
  <si>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</si>
  <si>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</si>
  <si>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</si>
  <si>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</si>
  <si>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EMP-001</t>
  </si>
  <si>
    <t>RABE Hery</t>
  </si>
  <si>
    <t>AMBOASARY</t>
  </si>
  <si>
    <t>Direction</t>
  </si>
  <si>
    <t>Directeur Général</t>
  </si>
  <si>
    <t>Actif</t>
  </si>
  <si>
    <t>EMP-002</t>
  </si>
  <si>
    <t>RAKOTO Miora</t>
  </si>
  <si>
    <t>DAF</t>
  </si>
  <si>
    <t>EMP-003</t>
  </si>
  <si>
    <t>ANDRIA Fanja</t>
  </si>
  <si>
    <t>Finance</t>
  </si>
  <si>
    <t>Chef comptable</t>
  </si>
  <si>
    <t>EMP-004</t>
  </si>
  <si>
    <t>RAZAFY Toky</t>
  </si>
  <si>
    <t>Comptable</t>
  </si>
  <si>
    <t>EMP-005</t>
  </si>
  <si>
    <t>RANDRIA Nirina</t>
  </si>
  <si>
    <t>Assistant comptable</t>
  </si>
  <si>
    <t>EMP-006</t>
  </si>
  <si>
    <t>RATSIM Lova</t>
  </si>
  <si>
    <t>RH</t>
  </si>
  <si>
    <t>Responsable RH</t>
  </si>
  <si>
    <t>EMP-007</t>
  </si>
  <si>
    <t>RAJAO Aina</t>
  </si>
  <si>
    <t>Commercial</t>
  </si>
  <si>
    <t>Responsable commercial export</t>
  </si>
  <si>
    <t>EMP-008</t>
  </si>
  <si>
    <t>RAMAN Tiana</t>
  </si>
  <si>
    <t>Agent export</t>
  </si>
  <si>
    <t>EMP-009</t>
  </si>
  <si>
    <t>RAKOTON Zo</t>
  </si>
  <si>
    <t>Responsable production</t>
  </si>
  <si>
    <t>EMP-010</t>
  </si>
  <si>
    <t>RAZAN Mamy</t>
  </si>
  <si>
    <t>Chef d'atelier</t>
  </si>
  <si>
    <t>EMP-011</t>
  </si>
  <si>
    <t>Contrôleur qualité</t>
  </si>
  <si>
    <t>EMP-012</t>
  </si>
  <si>
    <t>Opérateur traitement</t>
  </si>
  <si>
    <t>EMP-013</t>
  </si>
  <si>
    <t>Coupeuse / trieuse</t>
  </si>
  <si>
    <t>EMP-014</t>
  </si>
  <si>
    <t>TRANOMARO</t>
  </si>
  <si>
    <t>Logistique</t>
  </si>
  <si>
    <t>Responsable logistique</t>
  </si>
  <si>
    <t>EMP-015</t>
  </si>
  <si>
    <t>Magasinier</t>
  </si>
  <si>
    <t>EMP-016</t>
  </si>
  <si>
    <t>Maintenance</t>
  </si>
  <si>
    <t>Technicien maintenance</t>
  </si>
  <si>
    <t>EMP-017</t>
  </si>
  <si>
    <t>Sécurité</t>
  </si>
  <si>
    <t>Agent de sécurité</t>
  </si>
  <si>
    <t>EMP-018</t>
  </si>
  <si>
    <t>Administration</t>
  </si>
  <si>
    <t>Assistant administratif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</si>
  <si>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</si>
  <si>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</si>
  <si>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</si>
  <si>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</si>
  <si>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</si>
  <si>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</si>
  <si>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</si>
  <si>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</si>
  <si>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</si>
  <si>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</si>
  <si>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</si>
  <si>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</si>
  <si>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</si>
  <si>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</si>
  <si>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</si>
  <si>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</si>
  <si>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</si>
  <si>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</si>
  <si>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</si>
  <si>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</si>
  <si>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</si>
  <si>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</si>
  <si>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</si>
  <si>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</si>
  <si>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</si>
  <si>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</si>
  <si>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</si>
  <si>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</si>
  <si>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</si>
  <si>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</si>
  <si>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</si>
  <si>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</si>
  <si>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</si>
  <si>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</si>
  <si>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</si>
  <si>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</si>
  <si>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</si>
  <si>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</si>
  <si>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</si>
  <si>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</si>
  <si>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</si>
  <si>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</si>
  <si>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</si>
  <si>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</si>
  <si>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</si>
  <si>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</si>
  <si>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</si>
  <si>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</si>
  <si>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</si>
  <si>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</si>
  <si>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</si>
  <si>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</si>
  <si>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</si>
  <si>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</si>
  <si>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</si>
  <si>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</si>
  <si>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</si>
  <si>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</si>
  <si>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</si>
  <si>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</si>
  <si>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</si>
  <si>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</si>
  <si>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</si>
  <si>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Catégorie</t>
  </si>
  <si>
    <t>Nature</t>
  </si>
  <si>
    <t>PRODUCTION</t>
  </si>
  <si>
    <t>Matières et consommables</t>
  </si>
  <si>
    <t>MGA</t>
  </si>
  <si>
    <t>Énergie / électricité</t>
  </si>
  <si>
    <t>Traitement mica</t>
  </si>
  <si>
    <t>Maintenance équipements</t>
  </si>
  <si>
    <t>Emballages</t>
  </si>
  <si>
    <t>ADMINISTRATION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</si>
  <si>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</si>
  <si>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</si>
  <si>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</si>
  <si>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</si>
  <si>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</si>
  <si>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</si>
  <si>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</si>
  <si>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</si>
  <si>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</si>
  <si>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</si>
  <si>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</si>
  <si>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</si>
  <si>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2025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</si>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</sst>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</numFmts>
  <fonts count="1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baseColWidth="10" defaultColWidth="8.83203125" defaultRowHeight="15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>
      <c r="A1" s="33" t="s">
        <v>0</v>
      </c>
      <c r="B1" s="33"/>
      <c r="C1" s="33"/>
      <c r="D1" s="33"/>
    </row>
    <row r="2" spans="1:4" ht="32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2025</v>
      </c>
      <c r="C3" t="s">
        <v>6</v>
      </c>
      <c r="D3" t="s">
        <v>7</v>
      </c>
    </row>
    <row r="4" spans="1:4">
      <c r="A4" t="s">
        <v>8</v>
      </c>
      <c r="B4" s="3">
        <v>6.7000000000000004E-2</v>
      </c>
      <c r="C4" t="s">
        <v>9</v>
      </c>
      <c r="D4" t="s">
        <v>10</v>
      </c>
    </row>
    <row r="5" spans="1:4">
      <c r="A5" t="s">
        <v>11</v>
      </c>
      <c r="B5" s="2">
        <v>4560</v>
      </c>
      <c r="C5" t="s">
        <v>12</v>
      </c>
      <c r="D5" t="s">
        <v>13</v>
      </c>
    </row>
    <row r="6" spans="1:4">
      <c r="A6" t="s">
        <v>14</v>
      </c>
      <c r="B6" s="2">
        <v>31.2</v>
      </c>
      <c r="C6" t="s">
        <v>15</v>
      </c>
      <c r="D6" t="s">
        <v>13</v>
      </c>
    </row>
    <row r="7" spans="1:4">
      <c r="A7" t="s">
        <v>16</v>
      </c>
      <c r="B7" s="3">
        <v>7.5000000000000011E-2</v>
      </c>
      <c r="C7" t="s">
        <v>9</v>
      </c>
      <c r="D7" t="s">
        <v>17</v>
      </c>
    </row>
    <row r="8" spans="1:4">
      <c r="A8" t="s">
        <v>18</v>
      </c>
      <c r="B8" s="3">
        <v>0.2</v>
      </c>
      <c r="C8" t="s">
        <v>9</v>
      </c>
      <c r="D8" t="s">
        <v>19</v>
      </c>
    </row>
    <row r="9" spans="1:4">
      <c r="A9" t="s">
        <v>20</v>
      </c>
      <c r="B9" t="s">
        <v>21</v>
      </c>
      <c r="D9" t="s">
        <v>22</v>
      </c>
    </row>
    <row r="10" spans="1:4">
      <c r="A10" t="s">
        <v>23</v>
      </c>
      <c r="B10" t="s">
        <v>24</v>
      </c>
      <c r="D10" t="s">
        <v>25</v>
      </c>
    </row>
    <row r="12" spans="1:4" ht="16">
      <c r="A12" s="1" t="s">
        <v>26</v>
      </c>
      <c r="B12" s="1"/>
      <c r="C12" s="1"/>
      <c r="D12" s="1"/>
    </row>
    <row r="13" spans="1:4" ht="16">
      <c r="A13" s="1" t="s">
        <v>27</v>
      </c>
      <c r="B13" s="1" t="s">
        <v>28</v>
      </c>
      <c r="C13" s="1" t="s">
        <v>29</v>
      </c>
      <c r="D13" s="1" t="s">
        <v>30</v>
      </c>
    </row>
    <row r="14" spans="1:4">
      <c r="A14" t="s">
        <v>31</v>
      </c>
      <c r="B14" t="s">
        <v>32</v>
      </c>
      <c r="C14" t="s">
        <v>33</v>
      </c>
      <c r="D14" t="s">
        <v>34</v>
      </c>
    </row>
    <row r="15" spans="1:4">
      <c r="A15" t="s">
        <v>35</v>
      </c>
      <c r="B15" t="s">
        <v>36</v>
      </c>
      <c r="C15" t="s">
        <v>37</v>
      </c>
      <c r="D15" t="s">
        <v>34</v>
      </c>
    </row>
    <row r="16" spans="1:4">
      <c r="A16" t="s">
        <v>38</v>
      </c>
      <c r="B16" t="s">
        <v>39</v>
      </c>
      <c r="C16" t="s">
        <v>37</v>
      </c>
      <c r="D16" t="s">
        <v>40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baseColWidth="10" defaultColWidth="8.83203125" defaultRowHeight="15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51</v>
      </c>
      <c r="B2" t="s">
        <v>52</v>
      </c>
      <c r="C2" t="s">
        <v>53</v>
      </c>
      <c r="D2" t="s">
        <v>54</v>
      </c>
      <c r="E2" t="s">
        <v>55</v>
      </c>
      <c r="F2" s="4">
        <v>13500000</v>
      </c>
      <c r="G2" s="4">
        <v>1620000</v>
      </c>
      <c r="H2" s="4">
        <v>2430000</v>
      </c>
      <c r="I2" s="4">
        <v>17550000</v>
      </c>
      <c r="J2" t="s">
        <v>56</v>
      </c>
    </row>
    <row r="3" spans="1:10">
      <c r="A3" t="s">
        <v>57</v>
      </c>
      <c r="B3" t="s">
        <v>58</v>
      </c>
      <c r="C3" t="s">
        <v>53</v>
      </c>
      <c r="D3" t="s">
        <v>54</v>
      </c>
      <c r="E3" t="s">
        <v>59</v>
      </c>
      <c r="F3" s="4">
        <v>9680000</v>
      </c>
      <c r="G3" s="4">
        <v>968000</v>
      </c>
      <c r="H3" s="4">
        <v>1742000</v>
      </c>
      <c r="I3" s="4">
        <v>12390000</v>
      </c>
      <c r="J3" t="s">
        <v>56</v>
      </c>
    </row>
    <row r="4" spans="1:10">
      <c r="A4" t="s">
        <v>60</v>
      </c>
      <c r="B4" t="s">
        <v>61</v>
      </c>
      <c r="C4" t="s">
        <v>21</v>
      </c>
      <c r="D4" t="s">
        <v>62</v>
      </c>
      <c r="E4" t="s">
        <v>63</v>
      </c>
      <c r="F4" s="4">
        <v>5630000</v>
      </c>
      <c r="G4" s="4">
        <v>282000</v>
      </c>
      <c r="H4" s="4">
        <v>1013000</v>
      </c>
      <c r="I4" s="4">
        <v>6925000</v>
      </c>
      <c r="J4" t="s">
        <v>56</v>
      </c>
    </row>
    <row r="5" spans="1:10">
      <c r="A5" t="s">
        <v>64</v>
      </c>
      <c r="B5" t="s">
        <v>65</v>
      </c>
      <c r="C5" t="s">
        <v>24</v>
      </c>
      <c r="D5" t="s">
        <v>62</v>
      </c>
      <c r="E5" t="s">
        <v>66</v>
      </c>
      <c r="F5" s="4">
        <v>3400000</v>
      </c>
      <c r="G5" s="4">
        <v>170000</v>
      </c>
      <c r="H5" s="4">
        <v>612000</v>
      </c>
      <c r="I5" s="4">
        <v>4182000</v>
      </c>
      <c r="J5" t="s">
        <v>56</v>
      </c>
    </row>
    <row r="6" spans="1:10">
      <c r="A6" t="s">
        <v>67</v>
      </c>
      <c r="B6" t="s">
        <v>68</v>
      </c>
      <c r="C6" t="s">
        <v>21</v>
      </c>
      <c r="D6" t="s">
        <v>62</v>
      </c>
      <c r="E6" t="s">
        <v>69</v>
      </c>
      <c r="F6" s="4">
        <v>2540000</v>
      </c>
      <c r="G6" s="4">
        <v>127000</v>
      </c>
      <c r="H6" s="4">
        <v>457000</v>
      </c>
      <c r="I6" s="4">
        <v>3124000</v>
      </c>
      <c r="J6" t="s">
        <v>56</v>
      </c>
    </row>
    <row r="7" spans="1:10">
      <c r="A7" t="s">
        <v>70</v>
      </c>
      <c r="B7" t="s">
        <v>71</v>
      </c>
      <c r="C7" t="s">
        <v>24</v>
      </c>
      <c r="D7" t="s">
        <v>72</v>
      </c>
      <c r="E7" t="s">
        <v>73</v>
      </c>
      <c r="F7" s="4">
        <v>4790000</v>
      </c>
      <c r="G7" s="4">
        <v>240000</v>
      </c>
      <c r="H7" s="4">
        <v>862000</v>
      </c>
      <c r="I7" s="4">
        <v>5892000</v>
      </c>
      <c r="J7" t="s">
        <v>56</v>
      </c>
    </row>
    <row r="8" spans="1:10">
      <c r="A8" t="s">
        <v>74</v>
      </c>
      <c r="B8" t="s">
        <v>75</v>
      </c>
      <c r="C8" t="s">
        <v>21</v>
      </c>
      <c r="D8" t="s">
        <v>76</v>
      </c>
      <c r="E8" t="s">
        <v>77</v>
      </c>
      <c r="F8" s="4">
        <v>5290000</v>
      </c>
      <c r="G8" s="4">
        <v>423000</v>
      </c>
      <c r="H8" s="4">
        <v>952000</v>
      </c>
      <c r="I8" s="4">
        <v>6665000</v>
      </c>
      <c r="J8" t="s">
        <v>56</v>
      </c>
    </row>
    <row r="9" spans="1:10">
      <c r="A9" t="s">
        <v>78</v>
      </c>
      <c r="B9" t="s">
        <v>79</v>
      </c>
      <c r="C9" t="s">
        <v>53</v>
      </c>
      <c r="D9" t="s">
        <v>76</v>
      </c>
      <c r="E9" t="s">
        <v>80</v>
      </c>
      <c r="F9" s="4">
        <v>2970000</v>
      </c>
      <c r="G9" s="4">
        <v>356000</v>
      </c>
      <c r="H9" s="4">
        <v>535000</v>
      </c>
      <c r="I9" s="4">
        <v>3861000</v>
      </c>
      <c r="J9" t="s">
        <v>56</v>
      </c>
    </row>
    <row r="10" spans="1:10">
      <c r="A10" t="s">
        <v>81</v>
      </c>
      <c r="B10" t="s">
        <v>82</v>
      </c>
      <c r="C10" t="s">
        <v>24</v>
      </c>
      <c r="D10" t="s">
        <v>25</v>
      </c>
      <c r="E10" t="s">
        <v>83</v>
      </c>
      <c r="F10" s="4">
        <v>5430000</v>
      </c>
      <c r="G10" s="4">
        <v>272000</v>
      </c>
      <c r="H10" s="4">
        <v>977000</v>
      </c>
      <c r="I10" s="4">
        <v>6679000</v>
      </c>
      <c r="J10" t="s">
        <v>56</v>
      </c>
    </row>
    <row r="11" spans="1:10">
      <c r="A11" t="s">
        <v>84</v>
      </c>
      <c r="B11" t="s">
        <v>85</v>
      </c>
      <c r="C11" t="s">
        <v>21</v>
      </c>
      <c r="D11" t="s">
        <v>25</v>
      </c>
      <c r="E11" t="s">
        <v>86</v>
      </c>
      <c r="F11" s="4">
        <v>3450000</v>
      </c>
      <c r="G11" s="4">
        <v>276000</v>
      </c>
      <c r="H11" s="4">
        <v>621000</v>
      </c>
      <c r="I11" s="4">
        <v>4347000</v>
      </c>
      <c r="J11" t="s">
        <v>56</v>
      </c>
    </row>
    <row r="12" spans="1:10">
      <c r="A12" t="s">
        <v>87</v>
      </c>
      <c r="B12" t="s">
        <v>52</v>
      </c>
      <c r="C12" t="s">
        <v>24</v>
      </c>
      <c r="D12" t="s">
        <v>25</v>
      </c>
      <c r="E12" t="s">
        <v>88</v>
      </c>
      <c r="F12" s="4">
        <v>2830000</v>
      </c>
      <c r="G12" s="4">
        <v>142000</v>
      </c>
      <c r="H12" s="4">
        <v>509000</v>
      </c>
      <c r="I12" s="4">
        <v>3481000</v>
      </c>
      <c r="J12" t="s">
        <v>56</v>
      </c>
    </row>
    <row r="13" spans="1:10">
      <c r="A13" t="s">
        <v>89</v>
      </c>
      <c r="B13" t="s">
        <v>58</v>
      </c>
      <c r="C13" t="s">
        <v>21</v>
      </c>
      <c r="D13" t="s">
        <v>25</v>
      </c>
      <c r="E13" t="s">
        <v>90</v>
      </c>
      <c r="F13" s="4">
        <v>1830000</v>
      </c>
      <c r="G13" s="4">
        <v>183000</v>
      </c>
      <c r="H13" s="4">
        <v>329000</v>
      </c>
      <c r="I13" s="4">
        <v>2342000</v>
      </c>
      <c r="J13" t="s">
        <v>56</v>
      </c>
    </row>
    <row r="14" spans="1:10">
      <c r="A14" t="s">
        <v>91</v>
      </c>
      <c r="B14" t="s">
        <v>61</v>
      </c>
      <c r="C14" t="s">
        <v>21</v>
      </c>
      <c r="D14" t="s">
        <v>25</v>
      </c>
      <c r="E14" t="s">
        <v>92</v>
      </c>
      <c r="F14" s="4">
        <v>1410000</v>
      </c>
      <c r="G14" s="4">
        <v>141000</v>
      </c>
      <c r="H14" s="4">
        <v>254000</v>
      </c>
      <c r="I14" s="4">
        <v>1805000</v>
      </c>
      <c r="J14" t="s">
        <v>56</v>
      </c>
    </row>
    <row r="15" spans="1:10">
      <c r="A15" t="s">
        <v>93</v>
      </c>
      <c r="B15" t="s">
        <v>65</v>
      </c>
      <c r="C15" t="s">
        <v>94</v>
      </c>
      <c r="D15" t="s">
        <v>95</v>
      </c>
      <c r="E15" t="s">
        <v>96</v>
      </c>
      <c r="F15" s="4">
        <v>4580000</v>
      </c>
      <c r="G15" s="4">
        <v>366000</v>
      </c>
      <c r="H15" s="4">
        <v>824000</v>
      </c>
      <c r="I15" s="4">
        <v>5770000</v>
      </c>
      <c r="J15" t="s">
        <v>56</v>
      </c>
    </row>
    <row r="16" spans="1:10">
      <c r="A16" t="s">
        <v>97</v>
      </c>
      <c r="B16" t="s">
        <v>68</v>
      </c>
      <c r="C16" t="s">
        <v>24</v>
      </c>
      <c r="D16" t="s">
        <v>95</v>
      </c>
      <c r="E16" t="s">
        <v>98</v>
      </c>
      <c r="F16" s="4">
        <v>1720000</v>
      </c>
      <c r="G16" s="4">
        <v>206000</v>
      </c>
      <c r="H16" s="4">
        <v>310000</v>
      </c>
      <c r="I16" s="4">
        <v>2236000</v>
      </c>
      <c r="J16" t="s">
        <v>56</v>
      </c>
    </row>
    <row r="17" spans="1:10">
      <c r="A17" t="s">
        <v>99</v>
      </c>
      <c r="B17" t="s">
        <v>71</v>
      </c>
      <c r="C17" t="s">
        <v>24</v>
      </c>
      <c r="D17" t="s">
        <v>100</v>
      </c>
      <c r="E17" t="s">
        <v>101</v>
      </c>
      <c r="F17" s="4">
        <v>2580000</v>
      </c>
      <c r="G17" s="4">
        <v>310000</v>
      </c>
      <c r="H17" s="4">
        <v>464000</v>
      </c>
      <c r="I17" s="4">
        <v>3354000</v>
      </c>
      <c r="J17" t="s">
        <v>56</v>
      </c>
    </row>
    <row r="18" spans="1:10">
      <c r="A18" t="s">
        <v>102</v>
      </c>
      <c r="B18" t="s">
        <v>75</v>
      </c>
      <c r="C18" t="s">
        <v>24</v>
      </c>
      <c r="D18" t="s">
        <v>103</v>
      </c>
      <c r="E18" t="s">
        <v>104</v>
      </c>
      <c r="F18" s="4">
        <v>1340000</v>
      </c>
      <c r="G18" s="4">
        <v>161000</v>
      </c>
      <c r="H18" s="4">
        <v>241000</v>
      </c>
      <c r="I18" s="4">
        <v>1742000</v>
      </c>
      <c r="J18" t="s">
        <v>56</v>
      </c>
    </row>
    <row r="19" spans="1:10">
      <c r="A19" t="s">
        <v>105</v>
      </c>
      <c r="B19" t="s">
        <v>79</v>
      </c>
      <c r="C19" t="s">
        <v>94</v>
      </c>
      <c r="D19" t="s">
        <v>106</v>
      </c>
      <c r="E19" t="s">
        <v>107</v>
      </c>
      <c r="F19" s="4">
        <v>2060000</v>
      </c>
      <c r="G19" s="4">
        <v>206000</v>
      </c>
      <c r="H19" s="4">
        <v>371000</v>
      </c>
      <c r="I19" s="4">
        <v>2637000</v>
      </c>
      <c r="J19" t="s">
        <v>56</v>
      </c>
    </row>
    <row r="20" spans="1:10">
      <c r="A20" t="s">
        <v>108</v>
      </c>
      <c r="B20" t="s">
        <v>82</v>
      </c>
      <c r="C20" t="s">
        <v>21</v>
      </c>
      <c r="D20" t="s">
        <v>54</v>
      </c>
      <c r="E20" t="s">
        <v>55</v>
      </c>
      <c r="F20" s="4">
        <v>14100000</v>
      </c>
      <c r="G20" s="4">
        <v>1410000</v>
      </c>
      <c r="H20" s="4">
        <v>2538000</v>
      </c>
      <c r="I20" s="4">
        <v>18048000</v>
      </c>
      <c r="J20" t="s">
        <v>56</v>
      </c>
    </row>
    <row r="21" spans="1:10">
      <c r="A21" t="s">
        <v>109</v>
      </c>
      <c r="B21" t="s">
        <v>85</v>
      </c>
      <c r="C21" t="s">
        <v>21</v>
      </c>
      <c r="D21" t="s">
        <v>54</v>
      </c>
      <c r="E21" t="s">
        <v>59</v>
      </c>
      <c r="F21" s="4">
        <v>9680000</v>
      </c>
      <c r="G21" s="4">
        <v>968000</v>
      </c>
      <c r="H21" s="4">
        <v>1742000</v>
      </c>
      <c r="I21" s="4">
        <v>12390000</v>
      </c>
      <c r="J21" t="s">
        <v>56</v>
      </c>
    </row>
    <row r="22" spans="1:10">
      <c r="A22" t="s">
        <v>110</v>
      </c>
      <c r="B22" t="s">
        <v>52</v>
      </c>
      <c r="C22" t="s">
        <v>21</v>
      </c>
      <c r="D22" t="s">
        <v>62</v>
      </c>
      <c r="E22" t="s">
        <v>63</v>
      </c>
      <c r="F22" s="4">
        <v>5370000</v>
      </c>
      <c r="G22" s="4">
        <v>537000</v>
      </c>
      <c r="H22" s="4">
        <v>967000</v>
      </c>
      <c r="I22" s="4">
        <v>6874000</v>
      </c>
      <c r="J22" t="s">
        <v>56</v>
      </c>
    </row>
    <row r="23" spans="1:10">
      <c r="A23" t="s">
        <v>111</v>
      </c>
      <c r="B23" t="s">
        <v>58</v>
      </c>
      <c r="C23" t="s">
        <v>24</v>
      </c>
      <c r="D23" t="s">
        <v>62</v>
      </c>
      <c r="E23" t="s">
        <v>66</v>
      </c>
      <c r="F23" s="4">
        <v>3390000</v>
      </c>
      <c r="G23" s="4">
        <v>271000</v>
      </c>
      <c r="H23" s="4">
        <v>610000</v>
      </c>
      <c r="I23" s="4">
        <v>4271000</v>
      </c>
      <c r="J23" t="s">
        <v>56</v>
      </c>
    </row>
    <row r="24" spans="1:10">
      <c r="A24" t="s">
        <v>112</v>
      </c>
      <c r="B24" t="s">
        <v>61</v>
      </c>
      <c r="C24" t="s">
        <v>24</v>
      </c>
      <c r="D24" t="s">
        <v>62</v>
      </c>
      <c r="E24" t="s">
        <v>69</v>
      </c>
      <c r="F24" s="4">
        <v>2270000</v>
      </c>
      <c r="G24" s="4">
        <v>227000</v>
      </c>
      <c r="H24" s="4">
        <v>409000</v>
      </c>
      <c r="I24" s="4">
        <v>2906000</v>
      </c>
      <c r="J24" t="s">
        <v>56</v>
      </c>
    </row>
    <row r="25" spans="1:10">
      <c r="A25" t="s">
        <v>113</v>
      </c>
      <c r="B25" t="s">
        <v>65</v>
      </c>
      <c r="C25" t="s">
        <v>21</v>
      </c>
      <c r="D25" t="s">
        <v>72</v>
      </c>
      <c r="E25" t="s">
        <v>73</v>
      </c>
      <c r="F25" s="4">
        <v>5010000</v>
      </c>
      <c r="G25" s="4">
        <v>250000</v>
      </c>
      <c r="H25" s="4">
        <v>902000</v>
      </c>
      <c r="I25" s="4">
        <v>6162000</v>
      </c>
      <c r="J25" t="s">
        <v>56</v>
      </c>
    </row>
    <row r="26" spans="1:10">
      <c r="A26" t="s">
        <v>114</v>
      </c>
      <c r="B26" t="s">
        <v>68</v>
      </c>
      <c r="C26" t="s">
        <v>24</v>
      </c>
      <c r="D26" t="s">
        <v>76</v>
      </c>
      <c r="E26" t="s">
        <v>77</v>
      </c>
      <c r="F26" s="4">
        <v>5770000</v>
      </c>
      <c r="G26" s="4">
        <v>462000</v>
      </c>
      <c r="H26" s="4">
        <v>1039000</v>
      </c>
      <c r="I26" s="4">
        <v>7271000</v>
      </c>
      <c r="J26" t="s">
        <v>56</v>
      </c>
    </row>
    <row r="27" spans="1:10">
      <c r="A27" t="s">
        <v>115</v>
      </c>
      <c r="B27" t="s">
        <v>71</v>
      </c>
      <c r="C27" t="s">
        <v>24</v>
      </c>
      <c r="D27" t="s">
        <v>76</v>
      </c>
      <c r="E27" t="s">
        <v>80</v>
      </c>
      <c r="F27" s="4">
        <v>3050000</v>
      </c>
      <c r="G27" s="4">
        <v>305000</v>
      </c>
      <c r="H27" s="4">
        <v>549000</v>
      </c>
      <c r="I27" s="4">
        <v>3904000</v>
      </c>
      <c r="J27" t="s">
        <v>56</v>
      </c>
    </row>
    <row r="28" spans="1:10">
      <c r="A28" t="s">
        <v>116</v>
      </c>
      <c r="B28" t="s">
        <v>75</v>
      </c>
      <c r="C28" t="s">
        <v>24</v>
      </c>
      <c r="D28" t="s">
        <v>25</v>
      </c>
      <c r="E28" t="s">
        <v>83</v>
      </c>
      <c r="F28" s="4">
        <v>5390000</v>
      </c>
      <c r="G28" s="4">
        <v>270000</v>
      </c>
      <c r="H28" s="4">
        <v>970000</v>
      </c>
      <c r="I28" s="4">
        <v>6630000</v>
      </c>
      <c r="J28" t="s">
        <v>56</v>
      </c>
    </row>
    <row r="29" spans="1:10">
      <c r="A29" t="s">
        <v>117</v>
      </c>
      <c r="B29" t="s">
        <v>79</v>
      </c>
      <c r="C29" t="s">
        <v>21</v>
      </c>
      <c r="D29" t="s">
        <v>25</v>
      </c>
      <c r="E29" t="s">
        <v>86</v>
      </c>
      <c r="F29" s="4">
        <v>3460000</v>
      </c>
      <c r="G29" s="4">
        <v>173000</v>
      </c>
      <c r="H29" s="4">
        <v>623000</v>
      </c>
      <c r="I29" s="4">
        <v>4256000</v>
      </c>
      <c r="J29" t="s">
        <v>56</v>
      </c>
    </row>
    <row r="30" spans="1:10">
      <c r="A30" t="s">
        <v>118</v>
      </c>
      <c r="B30" t="s">
        <v>82</v>
      </c>
      <c r="C30" t="s">
        <v>24</v>
      </c>
      <c r="D30" t="s">
        <v>25</v>
      </c>
      <c r="E30" t="s">
        <v>88</v>
      </c>
      <c r="F30" s="4">
        <v>2650000</v>
      </c>
      <c r="G30" s="4">
        <v>212000</v>
      </c>
      <c r="H30" s="4">
        <v>477000</v>
      </c>
      <c r="I30" s="4">
        <v>3339000</v>
      </c>
      <c r="J30" t="s">
        <v>56</v>
      </c>
    </row>
    <row r="31" spans="1:10">
      <c r="A31" t="s">
        <v>119</v>
      </c>
      <c r="B31" t="s">
        <v>85</v>
      </c>
      <c r="C31" t="s">
        <v>21</v>
      </c>
      <c r="D31" t="s">
        <v>25</v>
      </c>
      <c r="E31" t="s">
        <v>90</v>
      </c>
      <c r="F31" s="4">
        <v>1920000</v>
      </c>
      <c r="G31" s="4">
        <v>154000</v>
      </c>
      <c r="H31" s="4">
        <v>346000</v>
      </c>
      <c r="I31" s="4">
        <v>2420000</v>
      </c>
      <c r="J31" t="s">
        <v>56</v>
      </c>
    </row>
    <row r="32" spans="1:10">
      <c r="A32" t="s">
        <v>120</v>
      </c>
      <c r="B32" t="s">
        <v>52</v>
      </c>
      <c r="C32" t="s">
        <v>21</v>
      </c>
      <c r="D32" t="s">
        <v>25</v>
      </c>
      <c r="E32" t="s">
        <v>92</v>
      </c>
      <c r="F32" s="4">
        <v>1280000</v>
      </c>
      <c r="G32" s="4">
        <v>154000</v>
      </c>
      <c r="H32" s="4">
        <v>230000</v>
      </c>
      <c r="I32" s="4">
        <v>1664000</v>
      </c>
      <c r="J32" t="s">
        <v>56</v>
      </c>
    </row>
    <row r="33" spans="1:10">
      <c r="A33" t="s">
        <v>121</v>
      </c>
      <c r="B33" t="s">
        <v>58</v>
      </c>
      <c r="C33" t="s">
        <v>94</v>
      </c>
      <c r="D33" t="s">
        <v>95</v>
      </c>
      <c r="E33" t="s">
        <v>96</v>
      </c>
      <c r="F33" s="4">
        <v>4040000</v>
      </c>
      <c r="G33" s="4">
        <v>323000</v>
      </c>
      <c r="H33" s="4">
        <v>727000</v>
      </c>
      <c r="I33" s="4">
        <v>5090000</v>
      </c>
      <c r="J33" t="s">
        <v>56</v>
      </c>
    </row>
    <row r="34" spans="1:10">
      <c r="A34" t="s">
        <v>122</v>
      </c>
      <c r="B34" t="s">
        <v>61</v>
      </c>
      <c r="C34" t="s">
        <v>21</v>
      </c>
      <c r="D34" t="s">
        <v>95</v>
      </c>
      <c r="E34" t="s">
        <v>98</v>
      </c>
      <c r="F34" s="4">
        <v>1690000</v>
      </c>
      <c r="G34" s="4">
        <v>169000</v>
      </c>
      <c r="H34" s="4">
        <v>304000</v>
      </c>
      <c r="I34" s="4">
        <v>2163000</v>
      </c>
      <c r="J34" t="s">
        <v>56</v>
      </c>
    </row>
    <row r="35" spans="1:10">
      <c r="A35" t="s">
        <v>123</v>
      </c>
      <c r="B35" t="s">
        <v>65</v>
      </c>
      <c r="C35" t="s">
        <v>24</v>
      </c>
      <c r="D35" t="s">
        <v>100</v>
      </c>
      <c r="E35" t="s">
        <v>101</v>
      </c>
      <c r="F35" s="4">
        <v>2620000</v>
      </c>
      <c r="G35" s="4">
        <v>210000</v>
      </c>
      <c r="H35" s="4">
        <v>472000</v>
      </c>
      <c r="I35" s="4">
        <v>3302000</v>
      </c>
      <c r="J35" t="s">
        <v>56</v>
      </c>
    </row>
    <row r="36" spans="1:10">
      <c r="A36" t="s">
        <v>124</v>
      </c>
      <c r="B36" t="s">
        <v>68</v>
      </c>
      <c r="C36" t="s">
        <v>21</v>
      </c>
      <c r="D36" t="s">
        <v>103</v>
      </c>
      <c r="E36" t="s">
        <v>104</v>
      </c>
      <c r="F36" s="4">
        <v>1250000</v>
      </c>
      <c r="G36" s="4">
        <v>125000</v>
      </c>
      <c r="H36" s="4">
        <v>225000</v>
      </c>
      <c r="I36" s="4">
        <v>1600000</v>
      </c>
      <c r="J36" t="s">
        <v>56</v>
      </c>
    </row>
    <row r="37" spans="1:10">
      <c r="A37" t="s">
        <v>125</v>
      </c>
      <c r="B37" t="s">
        <v>71</v>
      </c>
      <c r="C37" t="s">
        <v>24</v>
      </c>
      <c r="D37" t="s">
        <v>106</v>
      </c>
      <c r="E37" t="s">
        <v>107</v>
      </c>
      <c r="F37" s="4">
        <v>2180000</v>
      </c>
      <c r="G37" s="4">
        <v>174000</v>
      </c>
      <c r="H37" s="4">
        <v>392000</v>
      </c>
      <c r="I37" s="4">
        <v>2746000</v>
      </c>
      <c r="J37" t="s">
        <v>56</v>
      </c>
    </row>
    <row r="38" spans="1:10">
      <c r="A38" t="s">
        <v>126</v>
      </c>
      <c r="B38" t="s">
        <v>75</v>
      </c>
      <c r="C38" t="s">
        <v>21</v>
      </c>
      <c r="D38" t="s">
        <v>54</v>
      </c>
      <c r="E38" t="s">
        <v>55</v>
      </c>
      <c r="F38" s="4">
        <v>13270000</v>
      </c>
      <c r="G38" s="4">
        <v>1062000</v>
      </c>
      <c r="H38" s="4">
        <v>2389000</v>
      </c>
      <c r="I38" s="4">
        <v>16721000</v>
      </c>
      <c r="J38" t="s">
        <v>56</v>
      </c>
    </row>
    <row r="39" spans="1:10">
      <c r="A39" t="s">
        <v>127</v>
      </c>
      <c r="B39" t="s">
        <v>79</v>
      </c>
      <c r="C39" t="s">
        <v>24</v>
      </c>
      <c r="D39" t="s">
        <v>54</v>
      </c>
      <c r="E39" t="s">
        <v>59</v>
      </c>
      <c r="F39" s="4">
        <v>9650000</v>
      </c>
      <c r="G39" s="4">
        <v>772000</v>
      </c>
      <c r="H39" s="4">
        <v>1737000</v>
      </c>
      <c r="I39" s="4">
        <v>12159000</v>
      </c>
      <c r="J39" t="s">
        <v>56</v>
      </c>
    </row>
    <row r="40" spans="1:10">
      <c r="A40" t="s">
        <v>128</v>
      </c>
      <c r="B40" t="s">
        <v>82</v>
      </c>
      <c r="C40" t="s">
        <v>21</v>
      </c>
      <c r="D40" t="s">
        <v>62</v>
      </c>
      <c r="E40" t="s">
        <v>63</v>
      </c>
      <c r="F40" s="4">
        <v>5400000</v>
      </c>
      <c r="G40" s="4">
        <v>432000</v>
      </c>
      <c r="H40" s="4">
        <v>972000</v>
      </c>
      <c r="I40" s="4">
        <v>6804000</v>
      </c>
      <c r="J40" t="s">
        <v>56</v>
      </c>
    </row>
    <row r="41" spans="1:10">
      <c r="A41" t="s">
        <v>129</v>
      </c>
      <c r="B41" t="s">
        <v>85</v>
      </c>
      <c r="C41" t="s">
        <v>21</v>
      </c>
      <c r="D41" t="s">
        <v>62</v>
      </c>
      <c r="E41" t="s">
        <v>66</v>
      </c>
      <c r="F41" s="4">
        <v>3790000</v>
      </c>
      <c r="G41" s="4">
        <v>379000</v>
      </c>
      <c r="H41" s="4">
        <v>682000</v>
      </c>
      <c r="I41" s="4">
        <v>4851000</v>
      </c>
      <c r="J41" t="s">
        <v>56</v>
      </c>
    </row>
    <row r="42" spans="1:10">
      <c r="A42" t="s">
        <v>130</v>
      </c>
      <c r="B42" t="s">
        <v>52</v>
      </c>
      <c r="C42" t="s">
        <v>53</v>
      </c>
      <c r="D42" t="s">
        <v>62</v>
      </c>
      <c r="E42" t="s">
        <v>69</v>
      </c>
      <c r="F42" s="4">
        <v>2340000</v>
      </c>
      <c r="G42" s="4">
        <v>234000</v>
      </c>
      <c r="H42" s="4">
        <v>421000</v>
      </c>
      <c r="I42" s="4">
        <v>2995000</v>
      </c>
      <c r="J42" t="s">
        <v>56</v>
      </c>
    </row>
    <row r="43" spans="1:10">
      <c r="A43" t="s">
        <v>131</v>
      </c>
      <c r="B43" t="s">
        <v>58</v>
      </c>
      <c r="C43" t="s">
        <v>21</v>
      </c>
      <c r="D43" t="s">
        <v>72</v>
      </c>
      <c r="E43" t="s">
        <v>73</v>
      </c>
      <c r="F43" s="4">
        <v>5080000</v>
      </c>
      <c r="G43" s="4">
        <v>406000</v>
      </c>
      <c r="H43" s="4">
        <v>914000</v>
      </c>
      <c r="I43" s="4">
        <v>6400000</v>
      </c>
      <c r="J43" t="s">
        <v>56</v>
      </c>
    </row>
    <row r="44" spans="1:10">
      <c r="A44" t="s">
        <v>132</v>
      </c>
      <c r="B44" t="s">
        <v>61</v>
      </c>
      <c r="C44" t="s">
        <v>24</v>
      </c>
      <c r="D44" t="s">
        <v>76</v>
      </c>
      <c r="E44" t="s">
        <v>77</v>
      </c>
      <c r="F44" s="4">
        <v>5570000</v>
      </c>
      <c r="G44" s="4">
        <v>668000</v>
      </c>
      <c r="H44" s="4">
        <v>1003000</v>
      </c>
      <c r="I44" s="4">
        <v>7241000</v>
      </c>
      <c r="J44" t="s">
        <v>56</v>
      </c>
    </row>
    <row r="45" spans="1:10">
      <c r="A45" t="s">
        <v>133</v>
      </c>
      <c r="B45" t="s">
        <v>65</v>
      </c>
      <c r="C45" t="s">
        <v>21</v>
      </c>
      <c r="D45" t="s">
        <v>76</v>
      </c>
      <c r="E45" t="s">
        <v>80</v>
      </c>
      <c r="F45" s="4">
        <v>3060000</v>
      </c>
      <c r="G45" s="4">
        <v>306000</v>
      </c>
      <c r="H45" s="4">
        <v>551000</v>
      </c>
      <c r="I45" s="4">
        <v>3917000</v>
      </c>
      <c r="J45" t="s">
        <v>56</v>
      </c>
    </row>
    <row r="46" spans="1:10">
      <c r="A46" t="s">
        <v>134</v>
      </c>
      <c r="B46" t="s">
        <v>68</v>
      </c>
      <c r="C46" t="s">
        <v>53</v>
      </c>
      <c r="D46" t="s">
        <v>25</v>
      </c>
      <c r="E46" t="s">
        <v>83</v>
      </c>
      <c r="F46" s="4">
        <v>5680000</v>
      </c>
      <c r="G46" s="4">
        <v>454000</v>
      </c>
      <c r="H46" s="4">
        <v>1022000</v>
      </c>
      <c r="I46" s="4">
        <v>7156000</v>
      </c>
      <c r="J46" t="s">
        <v>56</v>
      </c>
    </row>
    <row r="47" spans="1:10">
      <c r="A47" t="s">
        <v>135</v>
      </c>
      <c r="B47" t="s">
        <v>71</v>
      </c>
      <c r="C47" t="s">
        <v>21</v>
      </c>
      <c r="D47" t="s">
        <v>25</v>
      </c>
      <c r="E47" t="s">
        <v>86</v>
      </c>
      <c r="F47" s="4">
        <v>3650000</v>
      </c>
      <c r="G47" s="4">
        <v>292000</v>
      </c>
      <c r="H47" s="4">
        <v>657000</v>
      </c>
      <c r="I47" s="4">
        <v>4599000</v>
      </c>
      <c r="J47" t="s">
        <v>56</v>
      </c>
    </row>
    <row r="48" spans="1:10">
      <c r="A48" t="s">
        <v>136</v>
      </c>
      <c r="B48" t="s">
        <v>75</v>
      </c>
      <c r="C48" t="s">
        <v>24</v>
      </c>
      <c r="D48" t="s">
        <v>25</v>
      </c>
      <c r="E48" t="s">
        <v>88</v>
      </c>
      <c r="F48" s="4">
        <v>2610000</v>
      </c>
      <c r="G48" s="4">
        <v>209000</v>
      </c>
      <c r="H48" s="4">
        <v>470000</v>
      </c>
      <c r="I48" s="4">
        <v>3289000</v>
      </c>
      <c r="J48" t="s">
        <v>56</v>
      </c>
    </row>
    <row r="49" spans="1:10">
      <c r="A49" t="s">
        <v>137</v>
      </c>
      <c r="B49" t="s">
        <v>79</v>
      </c>
      <c r="C49" t="s">
        <v>24</v>
      </c>
      <c r="D49" t="s">
        <v>25</v>
      </c>
      <c r="E49" t="s">
        <v>90</v>
      </c>
      <c r="F49" s="4">
        <v>1820000</v>
      </c>
      <c r="G49" s="4">
        <v>146000</v>
      </c>
      <c r="H49" s="4">
        <v>328000</v>
      </c>
      <c r="I49" s="4">
        <v>2294000</v>
      </c>
      <c r="J49" t="s">
        <v>56</v>
      </c>
    </row>
    <row r="50" spans="1:10">
      <c r="A50" t="s">
        <v>138</v>
      </c>
      <c r="B50" t="s">
        <v>82</v>
      </c>
      <c r="C50" t="s">
        <v>21</v>
      </c>
      <c r="D50" t="s">
        <v>25</v>
      </c>
      <c r="E50" t="s">
        <v>92</v>
      </c>
      <c r="F50" s="4">
        <v>1420000</v>
      </c>
      <c r="G50" s="4">
        <v>71000</v>
      </c>
      <c r="H50" s="4">
        <v>256000</v>
      </c>
      <c r="I50" s="4">
        <v>1747000</v>
      </c>
      <c r="J50" t="s">
        <v>56</v>
      </c>
    </row>
    <row r="51" spans="1:10">
      <c r="A51" t="s">
        <v>139</v>
      </c>
      <c r="B51" t="s">
        <v>85</v>
      </c>
      <c r="C51" t="s">
        <v>94</v>
      </c>
      <c r="D51" t="s">
        <v>95</v>
      </c>
      <c r="E51" t="s">
        <v>96</v>
      </c>
      <c r="F51" s="4">
        <v>4180000</v>
      </c>
      <c r="G51" s="4">
        <v>209000</v>
      </c>
      <c r="H51" s="4">
        <v>752000</v>
      </c>
      <c r="I51" s="4">
        <v>5141000</v>
      </c>
      <c r="J51" t="s">
        <v>56</v>
      </c>
    </row>
    <row r="52" spans="1:10">
      <c r="A52" t="s">
        <v>140</v>
      </c>
      <c r="B52" t="s">
        <v>52</v>
      </c>
      <c r="C52" t="s">
        <v>94</v>
      </c>
      <c r="D52" t="s">
        <v>95</v>
      </c>
      <c r="E52" t="s">
        <v>98</v>
      </c>
      <c r="F52" s="4">
        <v>1630000</v>
      </c>
      <c r="G52" s="4">
        <v>82000</v>
      </c>
      <c r="H52" s="4">
        <v>293000</v>
      </c>
      <c r="I52" s="4">
        <v>2005000</v>
      </c>
      <c r="J52" t="s">
        <v>56</v>
      </c>
    </row>
    <row r="53" spans="1:10">
      <c r="A53" t="s">
        <v>141</v>
      </c>
      <c r="B53" t="s">
        <v>58</v>
      </c>
      <c r="C53" t="s">
        <v>24</v>
      </c>
      <c r="D53" t="s">
        <v>100</v>
      </c>
      <c r="E53" t="s">
        <v>101</v>
      </c>
      <c r="F53" s="4">
        <v>2500000</v>
      </c>
      <c r="G53" s="4">
        <v>250000</v>
      </c>
      <c r="H53" s="4">
        <v>450000</v>
      </c>
      <c r="I53" s="4">
        <v>3200000</v>
      </c>
      <c r="J53" t="s">
        <v>56</v>
      </c>
    </row>
    <row r="54" spans="1:10">
      <c r="A54" t="s">
        <v>142</v>
      </c>
      <c r="B54" t="s">
        <v>61</v>
      </c>
      <c r="C54" t="s">
        <v>24</v>
      </c>
      <c r="D54" t="s">
        <v>103</v>
      </c>
      <c r="E54" t="s">
        <v>104</v>
      </c>
      <c r="F54" s="4">
        <v>1230000</v>
      </c>
      <c r="G54" s="4">
        <v>123000</v>
      </c>
      <c r="H54" s="4">
        <v>221000</v>
      </c>
      <c r="I54" s="4">
        <v>1574000</v>
      </c>
      <c r="J54" t="s">
        <v>56</v>
      </c>
    </row>
    <row r="55" spans="1:10">
      <c r="A55" t="s">
        <v>143</v>
      </c>
      <c r="B55" t="s">
        <v>65</v>
      </c>
      <c r="C55" t="s">
        <v>24</v>
      </c>
      <c r="D55" t="s">
        <v>106</v>
      </c>
      <c r="E55" t="s">
        <v>107</v>
      </c>
      <c r="F55" s="4">
        <v>1930000</v>
      </c>
      <c r="G55" s="4">
        <v>96000</v>
      </c>
      <c r="H55" s="4">
        <v>347000</v>
      </c>
      <c r="I55" s="4">
        <v>2373000</v>
      </c>
      <c r="J55" t="s">
        <v>56</v>
      </c>
    </row>
    <row r="56" spans="1:10">
      <c r="A56" t="s">
        <v>144</v>
      </c>
      <c r="B56" t="s">
        <v>68</v>
      </c>
      <c r="C56" t="s">
        <v>24</v>
      </c>
      <c r="D56" t="s">
        <v>54</v>
      </c>
      <c r="E56" t="s">
        <v>55</v>
      </c>
      <c r="F56" s="4">
        <v>13500000</v>
      </c>
      <c r="G56" s="4">
        <v>1620000</v>
      </c>
      <c r="H56" s="4">
        <v>2430000</v>
      </c>
      <c r="I56" s="4">
        <v>17550000</v>
      </c>
      <c r="J56" t="s">
        <v>56</v>
      </c>
    </row>
    <row r="57" spans="1:10">
      <c r="A57" t="s">
        <v>145</v>
      </c>
      <c r="B57" t="s">
        <v>71</v>
      </c>
      <c r="C57" t="s">
        <v>24</v>
      </c>
      <c r="D57" t="s">
        <v>54</v>
      </c>
      <c r="E57" t="s">
        <v>59</v>
      </c>
      <c r="F57" s="4">
        <v>9300000</v>
      </c>
      <c r="G57" s="4">
        <v>930000</v>
      </c>
      <c r="H57" s="4">
        <v>1674000</v>
      </c>
      <c r="I57" s="4">
        <v>11904000</v>
      </c>
      <c r="J57" t="s">
        <v>56</v>
      </c>
    </row>
    <row r="58" spans="1:10">
      <c r="A58" t="s">
        <v>146</v>
      </c>
      <c r="B58" t="s">
        <v>75</v>
      </c>
      <c r="C58" t="s">
        <v>21</v>
      </c>
      <c r="D58" t="s">
        <v>62</v>
      </c>
      <c r="E58" t="s">
        <v>63</v>
      </c>
      <c r="F58" s="4">
        <v>5300000</v>
      </c>
      <c r="G58" s="4">
        <v>530000</v>
      </c>
      <c r="H58" s="4">
        <v>954000</v>
      </c>
      <c r="I58" s="4">
        <v>6784000</v>
      </c>
      <c r="J58" t="s">
        <v>56</v>
      </c>
    </row>
    <row r="59" spans="1:10">
      <c r="A59" t="s">
        <v>147</v>
      </c>
      <c r="B59" t="s">
        <v>79</v>
      </c>
      <c r="C59" t="s">
        <v>21</v>
      </c>
      <c r="D59" t="s">
        <v>62</v>
      </c>
      <c r="E59" t="s">
        <v>66</v>
      </c>
      <c r="F59" s="4">
        <v>3870000</v>
      </c>
      <c r="G59" s="4">
        <v>194000</v>
      </c>
      <c r="H59" s="4">
        <v>697000</v>
      </c>
      <c r="I59" s="4">
        <v>4761000</v>
      </c>
      <c r="J59" t="s">
        <v>56</v>
      </c>
    </row>
    <row r="60" spans="1:10">
      <c r="A60" t="s">
        <v>148</v>
      </c>
      <c r="B60" t="s">
        <v>82</v>
      </c>
      <c r="C60" t="s">
        <v>24</v>
      </c>
      <c r="D60" t="s">
        <v>62</v>
      </c>
      <c r="E60" t="s">
        <v>69</v>
      </c>
      <c r="F60" s="4">
        <v>2450000</v>
      </c>
      <c r="G60" s="4">
        <v>294000</v>
      </c>
      <c r="H60" s="4">
        <v>441000</v>
      </c>
      <c r="I60" s="4">
        <v>3185000</v>
      </c>
      <c r="J60" t="s">
        <v>56</v>
      </c>
    </row>
    <row r="61" spans="1:10">
      <c r="A61" t="s">
        <v>149</v>
      </c>
      <c r="B61" t="s">
        <v>85</v>
      </c>
      <c r="C61" t="s">
        <v>94</v>
      </c>
      <c r="D61" t="s">
        <v>72</v>
      </c>
      <c r="E61" t="s">
        <v>73</v>
      </c>
      <c r="F61" s="4">
        <v>4860000</v>
      </c>
      <c r="G61" s="4">
        <v>243000</v>
      </c>
      <c r="H61" s="4">
        <v>875000</v>
      </c>
      <c r="I61" s="4">
        <v>5978000</v>
      </c>
      <c r="J6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/>
  </sheetViews>
  <sheetFormatPr baseColWidth="10" defaultColWidth="8.83203125" defaultRowHeight="15"/>
  <cols>
    <col min="1" max="1" width="14.6640625" customWidth="1"/>
    <col min="2" max="2" width="18" customWidth="1"/>
    <col min="3" max="3" width="5.6640625" customWidth="1"/>
    <col min="4" max="5" width="5.83203125" customWidth="1"/>
    <col min="6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2">
      <c r="A1" s="1" t="s">
        <v>43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 spans="1:16">
      <c r="A2" t="s">
        <v>24</v>
      </c>
      <c r="B2" t="s">
        <v>165</v>
      </c>
      <c r="C2" t="s">
        <v>166</v>
      </c>
      <c r="D2" s="5">
        <v>82.94</v>
      </c>
      <c r="E2" s="5">
        <v>73.38</v>
      </c>
      <c r="F2" s="5">
        <v>72.25</v>
      </c>
      <c r="G2" s="5">
        <v>65.5</v>
      </c>
      <c r="H2" s="5">
        <v>66.39</v>
      </c>
      <c r="I2" s="5">
        <v>83.37</v>
      </c>
      <c r="J2" s="5">
        <v>70.86</v>
      </c>
      <c r="K2" s="5">
        <v>82.62</v>
      </c>
      <c r="L2" s="5">
        <v>84.9</v>
      </c>
      <c r="M2" s="5">
        <v>85.34</v>
      </c>
      <c r="N2" s="5">
        <v>74</v>
      </c>
      <c r="O2" s="5">
        <v>76.61</v>
      </c>
      <c r="P2" s="5">
        <v>918.16</v>
      </c>
    </row>
    <row r="3" spans="1:16">
      <c r="A3" t="s">
        <v>24</v>
      </c>
      <c r="B3" t="s">
        <v>167</v>
      </c>
      <c r="C3" t="s">
        <v>166</v>
      </c>
      <c r="D3" s="5">
        <v>64.56</v>
      </c>
      <c r="E3" s="5">
        <v>53.54</v>
      </c>
      <c r="F3" s="5">
        <v>54.97</v>
      </c>
      <c r="G3" s="5">
        <v>55.48</v>
      </c>
      <c r="H3" s="5">
        <v>62.21</v>
      </c>
      <c r="I3" s="5">
        <v>49.66</v>
      </c>
      <c r="J3" s="5">
        <v>63.65</v>
      </c>
      <c r="K3" s="5">
        <v>58.54</v>
      </c>
      <c r="L3" s="5">
        <v>57.08</v>
      </c>
      <c r="M3" s="5">
        <v>54.47</v>
      </c>
      <c r="N3" s="5">
        <v>55.1</v>
      </c>
      <c r="O3" s="5">
        <v>53.64</v>
      </c>
      <c r="P3" s="5">
        <v>682.9</v>
      </c>
    </row>
    <row r="4" spans="1:16">
      <c r="A4" t="s">
        <v>24</v>
      </c>
      <c r="B4" t="s">
        <v>168</v>
      </c>
      <c r="C4" t="s">
        <v>166</v>
      </c>
      <c r="D4" s="5">
        <v>53.03</v>
      </c>
      <c r="E4" s="5">
        <v>42.95</v>
      </c>
      <c r="F4" s="5">
        <v>52.28</v>
      </c>
      <c r="G4" s="5">
        <v>47.67</v>
      </c>
      <c r="H4" s="5">
        <v>52.66</v>
      </c>
      <c r="I4" s="5">
        <v>43.61</v>
      </c>
      <c r="J4" s="5">
        <v>52.94</v>
      </c>
      <c r="K4" s="5">
        <v>57.43</v>
      </c>
      <c r="L4" s="5">
        <v>47.49</v>
      </c>
      <c r="M4" s="5">
        <v>52.76</v>
      </c>
      <c r="N4" s="5">
        <v>43.49</v>
      </c>
      <c r="O4" s="5">
        <v>55.72</v>
      </c>
      <c r="P4" s="5">
        <v>602.03</v>
      </c>
    </row>
    <row r="5" spans="1:16">
      <c r="A5" t="s">
        <v>24</v>
      </c>
      <c r="B5" t="s">
        <v>169</v>
      </c>
      <c r="C5" t="s">
        <v>166</v>
      </c>
      <c r="D5" s="5">
        <v>64.69</v>
      </c>
      <c r="E5" s="5">
        <v>77.040000000000006</v>
      </c>
      <c r="F5" s="5">
        <v>63.85</v>
      </c>
      <c r="G5" s="5">
        <v>64.319999999999993</v>
      </c>
      <c r="H5" s="5">
        <v>59.92</v>
      </c>
      <c r="I5" s="5">
        <v>59.97</v>
      </c>
      <c r="J5" s="5">
        <v>69.47</v>
      </c>
      <c r="K5" s="5">
        <v>61.93</v>
      </c>
      <c r="L5" s="5">
        <v>57.8</v>
      </c>
      <c r="M5" s="5">
        <v>67.19</v>
      </c>
      <c r="N5" s="5">
        <v>66.760000000000005</v>
      </c>
      <c r="O5" s="5">
        <v>76.66</v>
      </c>
      <c r="P5" s="5">
        <v>789.6</v>
      </c>
    </row>
    <row r="6" spans="1:16">
      <c r="A6" t="s">
        <v>24</v>
      </c>
      <c r="B6" t="s">
        <v>170</v>
      </c>
      <c r="C6" t="s">
        <v>166</v>
      </c>
      <c r="D6" s="5">
        <v>40.200000000000003</v>
      </c>
      <c r="E6" s="5">
        <v>45.59</v>
      </c>
      <c r="F6" s="5">
        <v>50.52</v>
      </c>
      <c r="G6" s="5">
        <v>43</v>
      </c>
      <c r="H6" s="5">
        <v>49.52</v>
      </c>
      <c r="I6" s="5">
        <v>39.5</v>
      </c>
      <c r="J6" s="5">
        <v>46.55</v>
      </c>
      <c r="K6" s="5">
        <v>48.35</v>
      </c>
      <c r="L6" s="5">
        <v>40.69</v>
      </c>
      <c r="M6" s="5">
        <v>43.05</v>
      </c>
      <c r="N6" s="5">
        <v>44.51</v>
      </c>
      <c r="O6" s="5">
        <v>39.31</v>
      </c>
      <c r="P6" s="5">
        <v>530.79</v>
      </c>
    </row>
    <row r="7" spans="1:16">
      <c r="A7" t="s">
        <v>21</v>
      </c>
      <c r="B7" t="s">
        <v>165</v>
      </c>
      <c r="C7" t="s">
        <v>166</v>
      </c>
      <c r="D7" s="5">
        <v>78.989999999999995</v>
      </c>
      <c r="E7" s="5">
        <v>80.22</v>
      </c>
      <c r="F7" s="5">
        <v>69.08</v>
      </c>
      <c r="G7" s="5">
        <v>75.97</v>
      </c>
      <c r="H7" s="5">
        <v>82.76</v>
      </c>
      <c r="I7" s="5">
        <v>71.63</v>
      </c>
      <c r="J7" s="5">
        <v>75.41</v>
      </c>
      <c r="K7" s="5">
        <v>73.180000000000007</v>
      </c>
      <c r="L7" s="5">
        <v>65.55</v>
      </c>
      <c r="M7" s="5">
        <v>71.12</v>
      </c>
      <c r="N7" s="5">
        <v>64.92</v>
      </c>
      <c r="O7" s="5">
        <v>72.3</v>
      </c>
      <c r="P7" s="5">
        <v>881.13</v>
      </c>
    </row>
    <row r="8" spans="1:16">
      <c r="A8" t="s">
        <v>21</v>
      </c>
      <c r="B8" t="s">
        <v>167</v>
      </c>
      <c r="C8" t="s">
        <v>166</v>
      </c>
      <c r="D8" s="5">
        <v>51.73</v>
      </c>
      <c r="E8" s="5">
        <v>54.13</v>
      </c>
      <c r="F8" s="5">
        <v>62.84</v>
      </c>
      <c r="G8" s="5">
        <v>49.46</v>
      </c>
      <c r="H8" s="5">
        <v>65.87</v>
      </c>
      <c r="I8" s="5">
        <v>65.010000000000005</v>
      </c>
      <c r="J8" s="5">
        <v>61.04</v>
      </c>
      <c r="K8" s="5">
        <v>51.58</v>
      </c>
      <c r="L8" s="5">
        <v>51.83</v>
      </c>
      <c r="M8" s="5">
        <v>62.25</v>
      </c>
      <c r="N8" s="5">
        <v>59.8</v>
      </c>
      <c r="O8" s="5">
        <v>65.319999999999993</v>
      </c>
      <c r="P8" s="5">
        <v>700.86</v>
      </c>
    </row>
    <row r="9" spans="1:16">
      <c r="A9" t="s">
        <v>21</v>
      </c>
      <c r="B9" t="s">
        <v>168</v>
      </c>
      <c r="C9" t="s">
        <v>166</v>
      </c>
      <c r="D9" s="5">
        <v>44.37</v>
      </c>
      <c r="E9" s="5">
        <v>43.7</v>
      </c>
      <c r="F9" s="5">
        <v>54.2</v>
      </c>
      <c r="G9" s="5">
        <v>57.56</v>
      </c>
      <c r="H9" s="5">
        <v>45.24</v>
      </c>
      <c r="I9" s="5">
        <v>44.6</v>
      </c>
      <c r="J9" s="5">
        <v>54.55</v>
      </c>
      <c r="K9" s="5">
        <v>45.99</v>
      </c>
      <c r="L9" s="5">
        <v>48.4</v>
      </c>
      <c r="M9" s="5">
        <v>47.63</v>
      </c>
      <c r="N9" s="5">
        <v>53.69</v>
      </c>
      <c r="O9" s="5">
        <v>50.36</v>
      </c>
      <c r="P9" s="5">
        <v>590.29</v>
      </c>
    </row>
    <row r="10" spans="1:16">
      <c r="A10" t="s">
        <v>21</v>
      </c>
      <c r="B10" t="s">
        <v>169</v>
      </c>
      <c r="C10" t="s">
        <v>166</v>
      </c>
      <c r="D10" s="5">
        <v>60.58</v>
      </c>
      <c r="E10" s="5">
        <v>74.69</v>
      </c>
      <c r="F10" s="5">
        <v>61.12</v>
      </c>
      <c r="G10" s="5">
        <v>61.62</v>
      </c>
      <c r="H10" s="5">
        <v>68</v>
      </c>
      <c r="I10" s="5">
        <v>63.36</v>
      </c>
      <c r="J10" s="5">
        <v>76.88</v>
      </c>
      <c r="K10" s="5">
        <v>70</v>
      </c>
      <c r="L10" s="5">
        <v>68.56</v>
      </c>
      <c r="M10" s="5">
        <v>76.349999999999994</v>
      </c>
      <c r="N10" s="5">
        <v>65.94</v>
      </c>
      <c r="O10" s="5">
        <v>69.89</v>
      </c>
      <c r="P10" s="5">
        <v>816.99</v>
      </c>
    </row>
    <row r="11" spans="1:16">
      <c r="A11" t="s">
        <v>21</v>
      </c>
      <c r="B11" t="s">
        <v>170</v>
      </c>
      <c r="C11" t="s">
        <v>166</v>
      </c>
      <c r="D11" s="5">
        <v>46.31</v>
      </c>
      <c r="E11" s="5">
        <v>49.83</v>
      </c>
      <c r="F11" s="5">
        <v>45.9</v>
      </c>
      <c r="G11" s="5">
        <v>49.9</v>
      </c>
      <c r="H11" s="5">
        <v>38.19</v>
      </c>
      <c r="I11" s="5">
        <v>41.99</v>
      </c>
      <c r="J11" s="5">
        <v>49.4</v>
      </c>
      <c r="K11" s="5">
        <v>39.369999999999997</v>
      </c>
      <c r="L11" s="5">
        <v>46.76</v>
      </c>
      <c r="M11" s="5">
        <v>40.24</v>
      </c>
      <c r="N11" s="5">
        <v>44.2</v>
      </c>
      <c r="O11" s="5">
        <v>43.68</v>
      </c>
      <c r="P11" s="5">
        <v>535.77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>
      <selection activeCell="B21" sqref="B21"/>
    </sheetView>
  </sheetViews>
  <sheetFormatPr baseColWidth="10" defaultColWidth="8.83203125" defaultRowHeight="15"/>
  <cols>
    <col min="1" max="1" width="13.6640625" customWidth="1"/>
    <col min="2" max="2" width="28" customWidth="1"/>
    <col min="3" max="3" width="14.6640625" customWidth="1"/>
    <col min="4" max="4" width="4.6640625" customWidth="1"/>
    <col min="5" max="16" width="9.83203125" customWidth="1"/>
    <col min="17" max="17" width="11.1640625" customWidth="1"/>
  </cols>
  <sheetData>
    <row r="1" spans="1:17" ht="32">
      <c r="A1" s="1" t="s">
        <v>171</v>
      </c>
      <c r="B1" s="1" t="s">
        <v>172</v>
      </c>
      <c r="C1" s="1" t="s">
        <v>43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173</v>
      </c>
      <c r="B2" t="s">
        <v>174</v>
      </c>
      <c r="C2" t="s">
        <v>24</v>
      </c>
      <c r="D2" t="s">
        <v>175</v>
      </c>
      <c r="E2" s="4">
        <v>159445000</v>
      </c>
      <c r="F2" s="4">
        <v>140384000</v>
      </c>
      <c r="G2" s="4">
        <v>166003000</v>
      </c>
      <c r="H2" s="4">
        <v>148302000</v>
      </c>
      <c r="I2" s="4">
        <v>140844000</v>
      </c>
      <c r="J2" s="4">
        <v>140504000</v>
      </c>
      <c r="K2" s="4">
        <v>142569000</v>
      </c>
      <c r="L2" s="4">
        <v>166556000</v>
      </c>
      <c r="M2" s="4">
        <v>140269000</v>
      </c>
      <c r="N2" s="4">
        <v>160865000</v>
      </c>
      <c r="O2" s="4">
        <v>148966000</v>
      </c>
      <c r="P2" s="4">
        <v>158732000</v>
      </c>
      <c r="Q2" s="4">
        <v>1813439000</v>
      </c>
    </row>
    <row r="3" spans="1:17">
      <c r="A3" t="s">
        <v>173</v>
      </c>
      <c r="B3" t="s">
        <v>176</v>
      </c>
      <c r="C3" t="s">
        <v>24</v>
      </c>
      <c r="D3" t="s">
        <v>175</v>
      </c>
      <c r="E3" s="4">
        <v>53217000</v>
      </c>
      <c r="F3" s="4">
        <v>48319000</v>
      </c>
      <c r="G3" s="4">
        <v>55700000</v>
      </c>
      <c r="H3" s="4">
        <v>54306000</v>
      </c>
      <c r="I3" s="4">
        <v>53767000</v>
      </c>
      <c r="J3" s="4">
        <v>56260000</v>
      </c>
      <c r="K3" s="4">
        <v>53464000</v>
      </c>
      <c r="L3" s="4">
        <v>48695000</v>
      </c>
      <c r="M3" s="4">
        <v>46728000</v>
      </c>
      <c r="N3" s="4">
        <v>45044000</v>
      </c>
      <c r="O3" s="4">
        <v>51583000</v>
      </c>
      <c r="P3" s="4">
        <v>56830000</v>
      </c>
      <c r="Q3" s="4">
        <v>623913000</v>
      </c>
    </row>
    <row r="4" spans="1:17">
      <c r="A4" t="s">
        <v>173</v>
      </c>
      <c r="B4" t="s">
        <v>177</v>
      </c>
      <c r="C4" t="s">
        <v>24</v>
      </c>
      <c r="D4" t="s">
        <v>175</v>
      </c>
      <c r="E4" s="4">
        <v>78402000</v>
      </c>
      <c r="F4" s="4">
        <v>89166000</v>
      </c>
      <c r="G4" s="4">
        <v>89902000</v>
      </c>
      <c r="H4" s="4">
        <v>84239000</v>
      </c>
      <c r="I4" s="4">
        <v>79757000</v>
      </c>
      <c r="J4" s="4">
        <v>92435000</v>
      </c>
      <c r="K4" s="4">
        <v>84571000</v>
      </c>
      <c r="L4" s="4">
        <v>91270000</v>
      </c>
      <c r="M4" s="4">
        <v>91075000</v>
      </c>
      <c r="N4" s="4">
        <v>84132000</v>
      </c>
      <c r="O4" s="4">
        <v>88857000</v>
      </c>
      <c r="P4" s="4">
        <v>81105000</v>
      </c>
      <c r="Q4" s="4">
        <v>1034911000</v>
      </c>
    </row>
    <row r="5" spans="1:17">
      <c r="A5" t="s">
        <v>173</v>
      </c>
      <c r="B5" t="s">
        <v>178</v>
      </c>
      <c r="C5" t="s">
        <v>24</v>
      </c>
      <c r="D5" t="s">
        <v>175</v>
      </c>
      <c r="E5" s="4">
        <v>36293000</v>
      </c>
      <c r="F5" s="4">
        <v>31036000</v>
      </c>
      <c r="G5" s="4">
        <v>33930000</v>
      </c>
      <c r="H5" s="4">
        <v>31574000</v>
      </c>
      <c r="I5" s="4">
        <v>38247000</v>
      </c>
      <c r="J5" s="4">
        <v>36299000</v>
      </c>
      <c r="K5" s="4">
        <v>32630000</v>
      </c>
      <c r="L5" s="4">
        <v>36793000</v>
      </c>
      <c r="M5" s="4">
        <v>36910000</v>
      </c>
      <c r="N5" s="4">
        <v>31217000</v>
      </c>
      <c r="O5" s="4">
        <v>37838000</v>
      </c>
      <c r="P5" s="4">
        <v>32704000</v>
      </c>
      <c r="Q5" s="4">
        <v>415471000</v>
      </c>
    </row>
    <row r="6" spans="1:17">
      <c r="A6" t="s">
        <v>173</v>
      </c>
      <c r="B6" t="s">
        <v>179</v>
      </c>
      <c r="C6" t="s">
        <v>21</v>
      </c>
      <c r="D6" t="s">
        <v>175</v>
      </c>
      <c r="E6" s="4">
        <v>27278000</v>
      </c>
      <c r="F6" s="4">
        <v>25263000</v>
      </c>
      <c r="G6" s="4">
        <v>23651000</v>
      </c>
      <c r="H6" s="4">
        <v>25591000</v>
      </c>
      <c r="I6" s="4">
        <v>24300000</v>
      </c>
      <c r="J6" s="4">
        <v>27325000</v>
      </c>
      <c r="K6" s="4">
        <v>23694000</v>
      </c>
      <c r="L6" s="4">
        <v>23558000</v>
      </c>
      <c r="M6" s="4">
        <v>26245000</v>
      </c>
      <c r="N6" s="4">
        <v>26570000</v>
      </c>
      <c r="O6" s="4">
        <v>22869000</v>
      </c>
      <c r="P6" s="4">
        <v>22736000</v>
      </c>
      <c r="Q6" s="4">
        <v>299080000</v>
      </c>
    </row>
    <row r="7" spans="1:17">
      <c r="A7" t="s">
        <v>180</v>
      </c>
      <c r="B7" t="s">
        <v>181</v>
      </c>
      <c r="C7" t="s">
        <v>21</v>
      </c>
      <c r="D7" t="s">
        <v>175</v>
      </c>
      <c r="E7" s="4">
        <v>8222000</v>
      </c>
      <c r="F7" s="4">
        <v>8176000</v>
      </c>
      <c r="G7" s="4">
        <v>7739000</v>
      </c>
      <c r="H7" s="4">
        <v>7642000</v>
      </c>
      <c r="I7" s="4">
        <v>7906000</v>
      </c>
      <c r="J7" s="4">
        <v>7602000</v>
      </c>
      <c r="K7" s="4">
        <v>8399000</v>
      </c>
      <c r="L7" s="4">
        <v>8796000</v>
      </c>
      <c r="M7" s="4">
        <v>8698000</v>
      </c>
      <c r="N7" s="4">
        <v>8619000</v>
      </c>
      <c r="O7" s="4">
        <v>7521000</v>
      </c>
      <c r="P7" s="4">
        <v>7427000</v>
      </c>
      <c r="Q7" s="4">
        <v>96747000</v>
      </c>
    </row>
    <row r="8" spans="1:17">
      <c r="A8" t="s">
        <v>180</v>
      </c>
      <c r="B8" t="s">
        <v>182</v>
      </c>
      <c r="C8" t="s">
        <v>21</v>
      </c>
      <c r="D8" t="s">
        <v>175</v>
      </c>
      <c r="E8" s="4">
        <v>12742000</v>
      </c>
      <c r="F8" s="4">
        <v>13155000</v>
      </c>
      <c r="G8" s="4">
        <v>15177000</v>
      </c>
      <c r="H8" s="4">
        <v>15330000</v>
      </c>
      <c r="I8" s="4">
        <v>12320000</v>
      </c>
      <c r="J8" s="4">
        <v>14407000</v>
      </c>
      <c r="K8" s="4">
        <v>13222000</v>
      </c>
      <c r="L8" s="4">
        <v>15505000</v>
      </c>
      <c r="M8" s="4">
        <v>12295000</v>
      </c>
      <c r="N8" s="4">
        <v>12527000</v>
      </c>
      <c r="O8" s="4">
        <v>15001000</v>
      </c>
      <c r="P8" s="4">
        <v>15145000</v>
      </c>
      <c r="Q8" s="4">
        <v>166826000</v>
      </c>
    </row>
    <row r="9" spans="1:17">
      <c r="A9" t="s">
        <v>180</v>
      </c>
      <c r="B9" t="s">
        <v>183</v>
      </c>
      <c r="C9" t="s">
        <v>21</v>
      </c>
      <c r="D9" t="s">
        <v>175</v>
      </c>
      <c r="E9" s="4">
        <v>18354000</v>
      </c>
      <c r="F9" s="4">
        <v>16502000</v>
      </c>
      <c r="G9" s="4">
        <v>15462000</v>
      </c>
      <c r="H9" s="4">
        <v>17758000</v>
      </c>
      <c r="I9" s="4">
        <v>17105000</v>
      </c>
      <c r="J9" s="4">
        <v>17257000</v>
      </c>
      <c r="K9" s="4">
        <v>17054000</v>
      </c>
      <c r="L9" s="4">
        <v>16803000</v>
      </c>
      <c r="M9" s="4">
        <v>15529000</v>
      </c>
      <c r="N9" s="4">
        <v>17874000</v>
      </c>
      <c r="O9" s="4">
        <v>17206000</v>
      </c>
      <c r="P9" s="4">
        <v>17408000</v>
      </c>
      <c r="Q9" s="4">
        <v>204312000</v>
      </c>
    </row>
    <row r="10" spans="1:17">
      <c r="A10" t="s">
        <v>184</v>
      </c>
      <c r="B10" t="s">
        <v>185</v>
      </c>
      <c r="C10" t="s">
        <v>21</v>
      </c>
      <c r="D10" t="s">
        <v>175</v>
      </c>
      <c r="E10" s="4">
        <v>36761000</v>
      </c>
      <c r="F10" s="4">
        <v>38563000</v>
      </c>
      <c r="G10" s="4">
        <v>39772000</v>
      </c>
      <c r="H10" s="4">
        <v>41469000</v>
      </c>
      <c r="I10" s="4">
        <v>37487000</v>
      </c>
      <c r="J10" s="4">
        <v>44195000</v>
      </c>
      <c r="K10" s="4">
        <v>37886000</v>
      </c>
      <c r="L10" s="4">
        <v>39145000</v>
      </c>
      <c r="M10" s="4">
        <v>45044000</v>
      </c>
      <c r="N10" s="4">
        <v>40829000</v>
      </c>
      <c r="O10" s="4">
        <v>36600000</v>
      </c>
      <c r="P10" s="4">
        <v>39817000</v>
      </c>
      <c r="Q10" s="4">
        <v>477568000</v>
      </c>
    </row>
    <row r="11" spans="1:17">
      <c r="A11" t="s">
        <v>184</v>
      </c>
      <c r="B11" t="s">
        <v>186</v>
      </c>
      <c r="C11" t="s">
        <v>21</v>
      </c>
      <c r="D11" t="s">
        <v>175</v>
      </c>
      <c r="E11" s="4">
        <v>21463000</v>
      </c>
      <c r="F11" s="4">
        <v>20894000</v>
      </c>
      <c r="G11" s="4">
        <v>24744000</v>
      </c>
      <c r="H11" s="4">
        <v>24206000</v>
      </c>
      <c r="I11" s="4">
        <v>25177000</v>
      </c>
      <c r="J11" s="4">
        <v>26056000</v>
      </c>
      <c r="K11" s="4">
        <v>24436000</v>
      </c>
      <c r="L11" s="4">
        <v>23171000</v>
      </c>
      <c r="M11" s="4">
        <v>24560000</v>
      </c>
      <c r="N11" s="4">
        <v>23509000</v>
      </c>
      <c r="O11" s="4">
        <v>23622000</v>
      </c>
      <c r="P11" s="4">
        <v>25698000</v>
      </c>
      <c r="Q11" s="4">
        <v>287536000</v>
      </c>
    </row>
    <row r="12" spans="1:17">
      <c r="A12" t="s">
        <v>187</v>
      </c>
      <c r="B12" t="s">
        <v>188</v>
      </c>
      <c r="C12" t="s">
        <v>21</v>
      </c>
      <c r="D12" t="s">
        <v>175</v>
      </c>
      <c r="E12" s="4">
        <v>29244000</v>
      </c>
      <c r="F12" s="4">
        <v>27003000</v>
      </c>
      <c r="G12" s="4">
        <v>25363000</v>
      </c>
      <c r="H12" s="4">
        <v>25674000</v>
      </c>
      <c r="I12" s="4">
        <v>31353000</v>
      </c>
      <c r="J12" s="4">
        <v>30028000</v>
      </c>
      <c r="K12" s="4">
        <v>25586000</v>
      </c>
      <c r="L12" s="4">
        <v>31666000</v>
      </c>
      <c r="M12" s="4">
        <v>31451000</v>
      </c>
      <c r="N12" s="4">
        <v>25799000</v>
      </c>
      <c r="O12" s="4">
        <v>27167000</v>
      </c>
      <c r="P12" s="4">
        <v>31798000</v>
      </c>
      <c r="Q12" s="4">
        <v>342132000</v>
      </c>
    </row>
    <row r="13" spans="1:17">
      <c r="A13" t="s">
        <v>189</v>
      </c>
      <c r="B13" t="s">
        <v>190</v>
      </c>
      <c r="C13" t="s">
        <v>21</v>
      </c>
      <c r="D13" t="s">
        <v>175</v>
      </c>
      <c r="E13" s="4">
        <v>11685000</v>
      </c>
      <c r="F13" s="4">
        <v>10438000</v>
      </c>
      <c r="G13" s="4">
        <v>11337000</v>
      </c>
      <c r="H13" s="4">
        <v>12666000</v>
      </c>
      <c r="I13" s="4">
        <v>12415000</v>
      </c>
      <c r="J13" s="4">
        <v>10706000</v>
      </c>
      <c r="K13" s="4">
        <v>11040000</v>
      </c>
      <c r="L13" s="4">
        <v>11489000</v>
      </c>
      <c r="M13" s="4">
        <v>13016000</v>
      </c>
      <c r="N13" s="4">
        <v>11515000</v>
      </c>
      <c r="O13" s="4">
        <v>11901000</v>
      </c>
      <c r="P13" s="4">
        <v>13200000</v>
      </c>
      <c r="Q13" s="4">
        <v>141408000</v>
      </c>
    </row>
    <row r="14" spans="1:17">
      <c r="A14" t="s">
        <v>191</v>
      </c>
      <c r="B14" t="s">
        <v>192</v>
      </c>
      <c r="C14" t="s">
        <v>24</v>
      </c>
      <c r="D14" t="s">
        <v>175</v>
      </c>
      <c r="E14" s="4">
        <v>15642000</v>
      </c>
      <c r="F14" s="4">
        <v>16187000</v>
      </c>
      <c r="G14" s="4">
        <v>14825000</v>
      </c>
      <c r="H14" s="4">
        <v>16374000</v>
      </c>
      <c r="I14" s="4">
        <v>15734000</v>
      </c>
      <c r="J14" s="4">
        <v>16363000</v>
      </c>
      <c r="K14" s="4">
        <v>16148000</v>
      </c>
      <c r="L14" s="4">
        <v>15003000</v>
      </c>
      <c r="M14" s="4">
        <v>16266000</v>
      </c>
      <c r="N14" s="4">
        <v>15022000</v>
      </c>
      <c r="O14" s="4">
        <v>15113000</v>
      </c>
      <c r="P14" s="4">
        <v>14850000</v>
      </c>
      <c r="Q14" s="4">
        <v>187527000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workbookViewId="0"/>
  </sheetViews>
  <sheetFormatPr baseColWidth="10" defaultColWidth="8.83203125" defaultRowHeight="15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40" customHeight="1">
      <c r="A1" s="40" t="s">
        <v>193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29.25" customHeight="1">
      <c r="A2" s="41" t="s">
        <v>194</v>
      </c>
      <c r="B2" s="41"/>
      <c r="C2" s="41"/>
      <c r="D2" s="41"/>
      <c r="E2" s="41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34.75" customHeight="1">
      <c r="A4" s="43" t="s">
        <v>195</v>
      </c>
      <c r="B4" s="43"/>
      <c r="C4" s="43"/>
      <c r="D4" s="43" t="s">
        <v>196</v>
      </c>
      <c r="E4" s="43"/>
      <c r="F4" s="43"/>
      <c r="G4" s="44" t="s">
        <v>197</v>
      </c>
      <c r="H4" s="44"/>
      <c r="I4" s="44"/>
      <c r="J4" s="44" t="s">
        <v>198</v>
      </c>
      <c r="K4" s="44"/>
      <c r="L4" s="44"/>
      <c r="M4" s="44" t="s">
        <v>199</v>
      </c>
      <c r="N4" s="44"/>
      <c r="O4" s="44"/>
      <c r="P4" s="44" t="s">
        <v>200</v>
      </c>
      <c r="Q4" s="44"/>
      <c r="R4" s="44"/>
      <c r="S4" s="44"/>
    </row>
    <row r="5" spans="1:19" ht="37.25" customHeight="1">
      <c r="A5" s="37">
        <f>SUMIF($E$10:$E$54,"Quantité exportée",$S$10:$S$54)</f>
        <v>3160.98</v>
      </c>
      <c r="B5" s="38"/>
      <c r="C5" s="38"/>
      <c r="D5" s="39">
        <f>SUMIF($E$10:$E$54,"Chiffre d'affaires MGA",$S$10:$S$54)</f>
        <v>19024357328</v>
      </c>
      <c r="E5" s="38"/>
      <c r="F5" s="38"/>
      <c r="G5" s="39">
        <f>SUMIFS($S$10:$S$54,$A$10:$A$54,"Japon",$E$10:$E$54,"Chiffre d'affaires MGA")</f>
        <v>5885836491</v>
      </c>
      <c r="H5" s="34"/>
      <c r="I5" s="34"/>
      <c r="J5" s="39">
        <f>SUMIFS($S$10:$S$54,$A$10:$A$54,"Russie",$E$10:$E$54,"Chiffre d'affaires MGA")</f>
        <v>6497377284</v>
      </c>
      <c r="K5" s="34"/>
      <c r="L5" s="34"/>
      <c r="M5" s="39">
        <f>SUMIFS($S$10:$S$54,$A$10:$A$54,"Chine",$E$10:$E$54,"Chiffre d'affaires MGA")</f>
        <v>6641143553</v>
      </c>
      <c r="N5" s="34"/>
      <c r="O5" s="34"/>
      <c r="P5" s="34" t="s">
        <v>201</v>
      </c>
      <c r="Q5" s="34"/>
      <c r="R5" s="34"/>
      <c r="S5" s="34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9.25" customHeight="1">
      <c r="A7" s="35" t="s">
        <v>202</v>
      </c>
      <c r="B7" s="35"/>
      <c r="C7" s="35"/>
      <c r="D7" s="35"/>
      <c r="E7" s="35"/>
      <c r="F7" s="35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45.25" customHeight="1">
      <c r="A9" s="7" t="s">
        <v>27</v>
      </c>
      <c r="B9" s="7" t="s">
        <v>28</v>
      </c>
      <c r="C9" s="7" t="s">
        <v>150</v>
      </c>
      <c r="D9" s="7" t="s">
        <v>29</v>
      </c>
      <c r="E9" s="7" t="s">
        <v>203</v>
      </c>
      <c r="F9" s="7" t="s">
        <v>151</v>
      </c>
      <c r="G9" s="23" t="s">
        <v>152</v>
      </c>
      <c r="H9" s="23" t="s">
        <v>153</v>
      </c>
      <c r="I9" s="23" t="s">
        <v>154</v>
      </c>
      <c r="J9" s="23" t="s">
        <v>155</v>
      </c>
      <c r="K9" s="23" t="s">
        <v>156</v>
      </c>
      <c r="L9" s="23" t="s">
        <v>157</v>
      </c>
      <c r="M9" s="23" t="s">
        <v>158</v>
      </c>
      <c r="N9" s="23" t="s">
        <v>159</v>
      </c>
      <c r="O9" s="23" t="s">
        <v>160</v>
      </c>
      <c r="P9" s="23" t="s">
        <v>161</v>
      </c>
      <c r="Q9" s="23" t="s">
        <v>162</v>
      </c>
      <c r="R9" s="23" t="s">
        <v>163</v>
      </c>
      <c r="S9" s="23" t="s">
        <v>164</v>
      </c>
    </row>
    <row r="10" spans="1:19">
      <c r="A10" s="8" t="s">
        <v>31</v>
      </c>
      <c r="B10" s="8" t="s">
        <v>32</v>
      </c>
      <c r="C10" s="9" t="s">
        <v>165</v>
      </c>
      <c r="D10" s="9" t="s">
        <v>33</v>
      </c>
      <c r="E10" s="9" t="s">
        <v>204</v>
      </c>
      <c r="F10" s="9" t="s">
        <v>166</v>
      </c>
      <c r="G10" s="24">
        <v>22.41</v>
      </c>
      <c r="H10" s="24">
        <v>28.3</v>
      </c>
      <c r="I10" s="24">
        <v>24.78</v>
      </c>
      <c r="J10" s="24">
        <v>21.55</v>
      </c>
      <c r="K10" s="24">
        <v>18.77</v>
      </c>
      <c r="L10" s="24">
        <v>25.31</v>
      </c>
      <c r="M10" s="24">
        <v>22.15</v>
      </c>
      <c r="N10" s="24">
        <v>24.34</v>
      </c>
      <c r="O10" s="24">
        <v>21.74</v>
      </c>
      <c r="P10" s="24">
        <v>18.72</v>
      </c>
      <c r="Q10" s="24">
        <v>16.84</v>
      </c>
      <c r="R10" s="24">
        <v>23.34</v>
      </c>
      <c r="S10" s="24">
        <v>268.25</v>
      </c>
    </row>
    <row r="11" spans="1:19">
      <c r="A11" s="10" t="s">
        <v>31</v>
      </c>
      <c r="B11" s="10" t="s">
        <v>32</v>
      </c>
      <c r="C11" s="11" t="s">
        <v>165</v>
      </c>
      <c r="D11" s="11" t="s">
        <v>33</v>
      </c>
      <c r="E11" s="11" t="s">
        <v>205</v>
      </c>
      <c r="F11" s="11" t="s">
        <v>33</v>
      </c>
      <c r="G11" s="25">
        <v>4249496.25</v>
      </c>
      <c r="H11" s="25">
        <v>5366387.5</v>
      </c>
      <c r="I11" s="25">
        <v>4698907.5</v>
      </c>
      <c r="J11" s="25">
        <v>4086418.75</v>
      </c>
      <c r="K11" s="25">
        <v>3559261.25</v>
      </c>
      <c r="L11" s="25">
        <v>4799408.75</v>
      </c>
      <c r="M11" s="25">
        <v>4200193.75</v>
      </c>
      <c r="N11" s="25">
        <v>4615472.5</v>
      </c>
      <c r="O11" s="25">
        <v>4122447.5</v>
      </c>
      <c r="P11" s="25">
        <v>3549780</v>
      </c>
      <c r="Q11" s="25">
        <v>3193285</v>
      </c>
      <c r="R11" s="25">
        <v>4425847.5</v>
      </c>
      <c r="S11" s="25">
        <v>50866906.25</v>
      </c>
    </row>
    <row r="12" spans="1:19">
      <c r="A12" s="12" t="s">
        <v>31</v>
      </c>
      <c r="B12" s="12" t="s">
        <v>32</v>
      </c>
      <c r="C12" s="12" t="s">
        <v>165</v>
      </c>
      <c r="D12" s="12" t="s">
        <v>33</v>
      </c>
      <c r="E12" s="12" t="s">
        <v>206</v>
      </c>
      <c r="F12" s="12" t="s">
        <v>175</v>
      </c>
      <c r="G12" s="26">
        <v>132584283</v>
      </c>
      <c r="H12" s="26">
        <v>167431290</v>
      </c>
      <c r="I12" s="26">
        <v>146605914</v>
      </c>
      <c r="J12" s="26">
        <v>127496265</v>
      </c>
      <c r="K12" s="26">
        <v>111048951</v>
      </c>
      <c r="L12" s="26">
        <v>149741553</v>
      </c>
      <c r="M12" s="26">
        <v>131046045</v>
      </c>
      <c r="N12" s="26">
        <v>144002742</v>
      </c>
      <c r="O12" s="26">
        <v>128620362</v>
      </c>
      <c r="P12" s="26">
        <v>110753136</v>
      </c>
      <c r="Q12" s="26">
        <v>99630492</v>
      </c>
      <c r="R12" s="26">
        <v>138086442</v>
      </c>
      <c r="S12" s="26">
        <v>1587047475</v>
      </c>
    </row>
    <row r="13" spans="1:19">
      <c r="A13" s="10" t="s">
        <v>31</v>
      </c>
      <c r="B13" s="10" t="s">
        <v>32</v>
      </c>
      <c r="C13" s="11" t="s">
        <v>167</v>
      </c>
      <c r="D13" s="11" t="s">
        <v>33</v>
      </c>
      <c r="E13" s="11" t="s">
        <v>204</v>
      </c>
      <c r="F13" s="11" t="s">
        <v>166</v>
      </c>
      <c r="G13" s="25">
        <v>13.27</v>
      </c>
      <c r="H13" s="25">
        <v>15.75</v>
      </c>
      <c r="I13" s="25">
        <v>14.4</v>
      </c>
      <c r="J13" s="25">
        <v>18.43</v>
      </c>
      <c r="K13" s="25">
        <v>19.53</v>
      </c>
      <c r="L13" s="25">
        <v>21.47</v>
      </c>
      <c r="M13" s="25">
        <v>17.97</v>
      </c>
      <c r="N13" s="25">
        <v>15.96</v>
      </c>
      <c r="O13" s="25">
        <v>20.399999999999999</v>
      </c>
      <c r="P13" s="25">
        <v>15.48</v>
      </c>
      <c r="Q13" s="25">
        <v>15.39</v>
      </c>
      <c r="R13" s="25">
        <v>22.27</v>
      </c>
      <c r="S13" s="25">
        <v>210.32</v>
      </c>
    </row>
    <row r="14" spans="1:19">
      <c r="A14" s="10" t="s">
        <v>31</v>
      </c>
      <c r="B14" s="10" t="s">
        <v>32</v>
      </c>
      <c r="C14" s="11" t="s">
        <v>167</v>
      </c>
      <c r="D14" s="11" t="s">
        <v>33</v>
      </c>
      <c r="E14" s="11" t="s">
        <v>205</v>
      </c>
      <c r="F14" s="11" t="s">
        <v>33</v>
      </c>
      <c r="G14" s="25">
        <v>2325899.25</v>
      </c>
      <c r="H14" s="25">
        <v>2760581.25</v>
      </c>
      <c r="I14" s="25">
        <v>2523960</v>
      </c>
      <c r="J14" s="25">
        <v>3230318.25</v>
      </c>
      <c r="K14" s="25">
        <v>3423120.75</v>
      </c>
      <c r="L14" s="25">
        <v>3763154.25</v>
      </c>
      <c r="M14" s="25">
        <v>3149691.75</v>
      </c>
      <c r="N14" s="25">
        <v>2797389</v>
      </c>
      <c r="O14" s="25">
        <v>3575610</v>
      </c>
      <c r="P14" s="25">
        <v>2713257</v>
      </c>
      <c r="Q14" s="25">
        <v>2697482.25</v>
      </c>
      <c r="R14" s="25">
        <v>3903374.25</v>
      </c>
      <c r="S14" s="25">
        <v>36863838</v>
      </c>
    </row>
    <row r="15" spans="1:19">
      <c r="A15" s="12" t="s">
        <v>31</v>
      </c>
      <c r="B15" s="12" t="s">
        <v>32</v>
      </c>
      <c r="C15" s="12" t="s">
        <v>167</v>
      </c>
      <c r="D15" s="12" t="s">
        <v>33</v>
      </c>
      <c r="E15" s="12" t="s">
        <v>206</v>
      </c>
      <c r="F15" s="12" t="s">
        <v>175</v>
      </c>
      <c r="G15" s="26">
        <v>72568057</v>
      </c>
      <c r="H15" s="26">
        <v>86130135</v>
      </c>
      <c r="I15" s="26">
        <v>78747552</v>
      </c>
      <c r="J15" s="26">
        <v>100785929</v>
      </c>
      <c r="K15" s="26">
        <v>106801367</v>
      </c>
      <c r="L15" s="26">
        <v>117410413</v>
      </c>
      <c r="M15" s="26">
        <v>98270383</v>
      </c>
      <c r="N15" s="26">
        <v>87278537</v>
      </c>
      <c r="O15" s="26">
        <v>111559032</v>
      </c>
      <c r="P15" s="26">
        <v>84653618</v>
      </c>
      <c r="Q15" s="26">
        <v>84161446</v>
      </c>
      <c r="R15" s="26">
        <v>121785277</v>
      </c>
      <c r="S15" s="26">
        <v>1150151746</v>
      </c>
    </row>
    <row r="16" spans="1:19">
      <c r="A16" s="10" t="s">
        <v>31</v>
      </c>
      <c r="B16" s="10" t="s">
        <v>32</v>
      </c>
      <c r="C16" s="11" t="s">
        <v>168</v>
      </c>
      <c r="D16" s="11" t="s">
        <v>33</v>
      </c>
      <c r="E16" s="11" t="s">
        <v>204</v>
      </c>
      <c r="F16" s="11" t="s">
        <v>166</v>
      </c>
      <c r="G16" s="25">
        <v>12.09</v>
      </c>
      <c r="H16" s="25">
        <v>13.7</v>
      </c>
      <c r="I16" s="25">
        <v>16.46</v>
      </c>
      <c r="J16" s="25">
        <v>16.649999999999999</v>
      </c>
      <c r="K16" s="25">
        <v>14.16</v>
      </c>
      <c r="L16" s="25">
        <v>13.79</v>
      </c>
      <c r="M16" s="25">
        <v>19.3</v>
      </c>
      <c r="N16" s="25">
        <v>12.74</v>
      </c>
      <c r="O16" s="25">
        <v>13.86</v>
      </c>
      <c r="P16" s="25">
        <v>15.49</v>
      </c>
      <c r="Q16" s="25">
        <v>17.11</v>
      </c>
      <c r="R16" s="25">
        <v>14.13</v>
      </c>
      <c r="S16" s="25">
        <v>179.48</v>
      </c>
    </row>
    <row r="17" spans="1:19">
      <c r="A17" s="10" t="s">
        <v>31</v>
      </c>
      <c r="B17" s="10" t="s">
        <v>32</v>
      </c>
      <c r="C17" s="11" t="s">
        <v>168</v>
      </c>
      <c r="D17" s="11" t="s">
        <v>33</v>
      </c>
      <c r="E17" s="11" t="s">
        <v>205</v>
      </c>
      <c r="F17" s="11" t="s">
        <v>33</v>
      </c>
      <c r="G17" s="25">
        <v>2044721.25</v>
      </c>
      <c r="H17" s="25">
        <v>2317012.5</v>
      </c>
      <c r="I17" s="25">
        <v>2783797.5</v>
      </c>
      <c r="J17" s="25">
        <v>2815931.25</v>
      </c>
      <c r="K17" s="25">
        <v>2394810</v>
      </c>
      <c r="L17" s="25">
        <v>2332233.75</v>
      </c>
      <c r="M17" s="25">
        <v>3264112.5</v>
      </c>
      <c r="N17" s="25">
        <v>2154652.5</v>
      </c>
      <c r="O17" s="25">
        <v>2344072.5</v>
      </c>
      <c r="P17" s="25">
        <v>2619746.25</v>
      </c>
      <c r="Q17" s="25">
        <v>2893728.75</v>
      </c>
      <c r="R17" s="25">
        <v>2389736.25</v>
      </c>
      <c r="S17" s="25">
        <v>30354555</v>
      </c>
    </row>
    <row r="18" spans="1:19">
      <c r="A18" s="12" t="s">
        <v>31</v>
      </c>
      <c r="B18" s="12" t="s">
        <v>32</v>
      </c>
      <c r="C18" s="12" t="s">
        <v>168</v>
      </c>
      <c r="D18" s="12" t="s">
        <v>33</v>
      </c>
      <c r="E18" s="12" t="s">
        <v>206</v>
      </c>
      <c r="F18" s="12" t="s">
        <v>175</v>
      </c>
      <c r="G18" s="26">
        <v>63795303</v>
      </c>
      <c r="H18" s="26">
        <v>72290790</v>
      </c>
      <c r="I18" s="26">
        <v>86854482</v>
      </c>
      <c r="J18" s="26">
        <v>87857055</v>
      </c>
      <c r="K18" s="26">
        <v>74718072</v>
      </c>
      <c r="L18" s="26">
        <v>72765693</v>
      </c>
      <c r="M18" s="26">
        <v>101840310</v>
      </c>
      <c r="N18" s="26">
        <v>67225158</v>
      </c>
      <c r="O18" s="26">
        <v>73135062</v>
      </c>
      <c r="P18" s="26">
        <v>81736083</v>
      </c>
      <c r="Q18" s="26">
        <v>90284337</v>
      </c>
      <c r="R18" s="26">
        <v>74559771</v>
      </c>
      <c r="S18" s="26">
        <v>947062116</v>
      </c>
    </row>
    <row r="19" spans="1:19">
      <c r="A19" s="10" t="s">
        <v>31</v>
      </c>
      <c r="B19" s="10" t="s">
        <v>32</v>
      </c>
      <c r="C19" s="11" t="s">
        <v>169</v>
      </c>
      <c r="D19" s="11" t="s">
        <v>33</v>
      </c>
      <c r="E19" s="11" t="s">
        <v>204</v>
      </c>
      <c r="F19" s="11" t="s">
        <v>166</v>
      </c>
      <c r="G19" s="25">
        <v>22.11</v>
      </c>
      <c r="H19" s="25">
        <v>25.16</v>
      </c>
      <c r="I19" s="25">
        <v>15.73</v>
      </c>
      <c r="J19" s="25">
        <v>24.26</v>
      </c>
      <c r="K19" s="25">
        <v>16.84</v>
      </c>
      <c r="L19" s="25">
        <v>24.37</v>
      </c>
      <c r="M19" s="25">
        <v>16.420000000000002</v>
      </c>
      <c r="N19" s="25">
        <v>23.72</v>
      </c>
      <c r="O19" s="25">
        <v>25.45</v>
      </c>
      <c r="P19" s="25">
        <v>25.9</v>
      </c>
      <c r="Q19" s="25">
        <v>26.21</v>
      </c>
      <c r="R19" s="25">
        <v>19.78</v>
      </c>
      <c r="S19" s="25">
        <v>265.95</v>
      </c>
    </row>
    <row r="20" spans="1:19">
      <c r="A20" s="10" t="s">
        <v>31</v>
      </c>
      <c r="B20" s="10" t="s">
        <v>32</v>
      </c>
      <c r="C20" s="11" t="s">
        <v>169</v>
      </c>
      <c r="D20" s="11" t="s">
        <v>33</v>
      </c>
      <c r="E20" s="11" t="s">
        <v>205</v>
      </c>
      <c r="F20" s="11" t="s">
        <v>33</v>
      </c>
      <c r="G20" s="25">
        <v>4033969.5</v>
      </c>
      <c r="H20" s="25">
        <v>4590442</v>
      </c>
      <c r="I20" s="25">
        <v>2869938.5</v>
      </c>
      <c r="J20" s="25">
        <v>4426237</v>
      </c>
      <c r="K20" s="25">
        <v>3072458</v>
      </c>
      <c r="L20" s="25">
        <v>4446306.5</v>
      </c>
      <c r="M20" s="25">
        <v>2995829</v>
      </c>
      <c r="N20" s="25">
        <v>4327714</v>
      </c>
      <c r="O20" s="25">
        <v>4643352.5</v>
      </c>
      <c r="P20" s="25">
        <v>4725455</v>
      </c>
      <c r="Q20" s="25">
        <v>4782014.5</v>
      </c>
      <c r="R20" s="25">
        <v>3608861</v>
      </c>
      <c r="S20" s="25">
        <v>48522577.5</v>
      </c>
    </row>
    <row r="21" spans="1:19">
      <c r="A21" s="12" t="s">
        <v>31</v>
      </c>
      <c r="B21" s="12" t="s">
        <v>32</v>
      </c>
      <c r="C21" s="12" t="s">
        <v>169</v>
      </c>
      <c r="D21" s="12" t="s">
        <v>33</v>
      </c>
      <c r="E21" s="12" t="s">
        <v>206</v>
      </c>
      <c r="F21" s="12" t="s">
        <v>175</v>
      </c>
      <c r="G21" s="26">
        <v>125859848</v>
      </c>
      <c r="H21" s="26">
        <v>143221790</v>
      </c>
      <c r="I21" s="26">
        <v>89542081</v>
      </c>
      <c r="J21" s="26">
        <v>138098594</v>
      </c>
      <c r="K21" s="26">
        <v>95860690</v>
      </c>
      <c r="L21" s="26">
        <v>138724763</v>
      </c>
      <c r="M21" s="26">
        <v>93469865</v>
      </c>
      <c r="N21" s="26">
        <v>135024677</v>
      </c>
      <c r="O21" s="26">
        <v>144872598</v>
      </c>
      <c r="P21" s="26">
        <v>147434196</v>
      </c>
      <c r="Q21" s="26">
        <v>149198852</v>
      </c>
      <c r="R21" s="26">
        <v>112596463</v>
      </c>
      <c r="S21" s="26">
        <v>1513904417</v>
      </c>
    </row>
    <row r="22" spans="1:19">
      <c r="A22" s="10" t="s">
        <v>31</v>
      </c>
      <c r="B22" s="10" t="s">
        <v>32</v>
      </c>
      <c r="C22" s="11" t="s">
        <v>170</v>
      </c>
      <c r="D22" s="11" t="s">
        <v>33</v>
      </c>
      <c r="E22" s="11" t="s">
        <v>204</v>
      </c>
      <c r="F22" s="11" t="s">
        <v>166</v>
      </c>
      <c r="G22" s="25">
        <v>10.39</v>
      </c>
      <c r="H22" s="25">
        <v>15</v>
      </c>
      <c r="I22" s="25">
        <v>14.81</v>
      </c>
      <c r="J22" s="25">
        <v>9.93</v>
      </c>
      <c r="K22" s="25">
        <v>9.7799999999999994</v>
      </c>
      <c r="L22" s="25">
        <v>9.74</v>
      </c>
      <c r="M22" s="25">
        <v>11.15</v>
      </c>
      <c r="N22" s="25">
        <v>9.7799999999999994</v>
      </c>
      <c r="O22" s="25">
        <v>12.8</v>
      </c>
      <c r="P22" s="25">
        <v>9.6999999999999993</v>
      </c>
      <c r="Q22" s="25">
        <v>10.41</v>
      </c>
      <c r="R22" s="25">
        <v>15.24</v>
      </c>
      <c r="S22" s="25">
        <v>138.72999999999999</v>
      </c>
    </row>
    <row r="23" spans="1:19">
      <c r="A23" s="10" t="s">
        <v>31</v>
      </c>
      <c r="B23" s="10" t="s">
        <v>32</v>
      </c>
      <c r="C23" s="11" t="s">
        <v>170</v>
      </c>
      <c r="D23" s="11" t="s">
        <v>33</v>
      </c>
      <c r="E23" s="11" t="s">
        <v>205</v>
      </c>
      <c r="F23" s="11" t="s">
        <v>33</v>
      </c>
      <c r="G23" s="25">
        <v>1650711.25</v>
      </c>
      <c r="H23" s="25">
        <v>2383125</v>
      </c>
      <c r="I23" s="25">
        <v>2352938.75</v>
      </c>
      <c r="J23" s="25">
        <v>1577628.75</v>
      </c>
      <c r="K23" s="25">
        <v>1553797.5</v>
      </c>
      <c r="L23" s="25">
        <v>1547442.5</v>
      </c>
      <c r="M23" s="25">
        <v>1771456.25</v>
      </c>
      <c r="N23" s="25">
        <v>1553797.5</v>
      </c>
      <c r="O23" s="25">
        <v>2033600</v>
      </c>
      <c r="P23" s="25">
        <v>1541087.5</v>
      </c>
      <c r="Q23" s="25">
        <v>1653888.75</v>
      </c>
      <c r="R23" s="25">
        <v>2421255</v>
      </c>
      <c r="S23" s="25">
        <v>22040728.75</v>
      </c>
    </row>
    <row r="24" spans="1:19">
      <c r="A24" s="12" t="s">
        <v>31</v>
      </c>
      <c r="B24" s="12" t="s">
        <v>32</v>
      </c>
      <c r="C24" s="12" t="s">
        <v>170</v>
      </c>
      <c r="D24" s="12" t="s">
        <v>33</v>
      </c>
      <c r="E24" s="12" t="s">
        <v>206</v>
      </c>
      <c r="F24" s="12" t="s">
        <v>175</v>
      </c>
      <c r="G24" s="26">
        <v>51502191</v>
      </c>
      <c r="H24" s="26">
        <v>74353500</v>
      </c>
      <c r="I24" s="26">
        <v>73411689</v>
      </c>
      <c r="J24" s="26">
        <v>49222017</v>
      </c>
      <c r="K24" s="26">
        <v>48478482</v>
      </c>
      <c r="L24" s="26">
        <v>48280206</v>
      </c>
      <c r="M24" s="26">
        <v>55269435</v>
      </c>
      <c r="N24" s="26">
        <v>48478482</v>
      </c>
      <c r="O24" s="26">
        <v>63448320</v>
      </c>
      <c r="P24" s="26">
        <v>48081930</v>
      </c>
      <c r="Q24" s="26">
        <v>51601329</v>
      </c>
      <c r="R24" s="26">
        <v>75543156</v>
      </c>
      <c r="S24" s="26">
        <v>687670737</v>
      </c>
    </row>
    <row r="25" spans="1:19">
      <c r="A25" s="13" t="s">
        <v>35</v>
      </c>
      <c r="B25" s="13" t="s">
        <v>36</v>
      </c>
      <c r="C25" s="14" t="s">
        <v>165</v>
      </c>
      <c r="D25" s="14" t="s">
        <v>37</v>
      </c>
      <c r="E25" s="14" t="s">
        <v>204</v>
      </c>
      <c r="F25" s="14" t="s">
        <v>166</v>
      </c>
      <c r="G25" s="27">
        <v>18.72</v>
      </c>
      <c r="H25" s="27">
        <v>21.9</v>
      </c>
      <c r="I25" s="27">
        <v>17.02</v>
      </c>
      <c r="J25" s="27">
        <v>19.510000000000002</v>
      </c>
      <c r="K25" s="27">
        <v>22.61</v>
      </c>
      <c r="L25" s="27">
        <v>20.86</v>
      </c>
      <c r="M25" s="27">
        <v>16.7</v>
      </c>
      <c r="N25" s="27">
        <v>21</v>
      </c>
      <c r="O25" s="27">
        <v>26.63</v>
      </c>
      <c r="P25" s="27">
        <v>19.13</v>
      </c>
      <c r="Q25" s="27">
        <v>21.95</v>
      </c>
      <c r="R25" s="27">
        <v>17.73</v>
      </c>
      <c r="S25" s="27">
        <v>243.76</v>
      </c>
    </row>
    <row r="26" spans="1:19">
      <c r="A26" s="15" t="s">
        <v>35</v>
      </c>
      <c r="B26" s="15" t="s">
        <v>36</v>
      </c>
      <c r="C26" s="16" t="s">
        <v>165</v>
      </c>
      <c r="D26" s="16" t="s">
        <v>37</v>
      </c>
      <c r="E26" s="16" t="s">
        <v>205</v>
      </c>
      <c r="F26" s="16" t="s">
        <v>37</v>
      </c>
      <c r="G26" s="28">
        <v>27822.6</v>
      </c>
      <c r="H26" s="28">
        <v>32548.87</v>
      </c>
      <c r="I26" s="28">
        <v>25295.97</v>
      </c>
      <c r="J26" s="28">
        <v>28996.74</v>
      </c>
      <c r="K26" s="28">
        <v>33604.11</v>
      </c>
      <c r="L26" s="28">
        <v>31003.17</v>
      </c>
      <c r="M26" s="28">
        <v>24820.37</v>
      </c>
      <c r="N26" s="28">
        <v>31211.25</v>
      </c>
      <c r="O26" s="28">
        <v>39578.839999999997</v>
      </c>
      <c r="P26" s="28">
        <v>28431.96</v>
      </c>
      <c r="Q26" s="28">
        <v>32623.19</v>
      </c>
      <c r="R26" s="28">
        <v>26351.21</v>
      </c>
      <c r="S26" s="28">
        <v>362288.27999999997</v>
      </c>
    </row>
    <row r="27" spans="1:19">
      <c r="A27" s="17" t="s">
        <v>35</v>
      </c>
      <c r="B27" s="17" t="s">
        <v>36</v>
      </c>
      <c r="C27" s="17" t="s">
        <v>165</v>
      </c>
      <c r="D27" s="17" t="s">
        <v>37</v>
      </c>
      <c r="E27" s="17" t="s">
        <v>206</v>
      </c>
      <c r="F27" s="17" t="s">
        <v>175</v>
      </c>
      <c r="G27" s="29">
        <v>126871056</v>
      </c>
      <c r="H27" s="29">
        <v>148422847</v>
      </c>
      <c r="I27" s="29">
        <v>115349623</v>
      </c>
      <c r="J27" s="29">
        <v>132225134</v>
      </c>
      <c r="K27" s="29">
        <v>153234742</v>
      </c>
      <c r="L27" s="29">
        <v>141374455</v>
      </c>
      <c r="M27" s="29">
        <v>113180887</v>
      </c>
      <c r="N27" s="29">
        <v>142323300</v>
      </c>
      <c r="O27" s="29">
        <v>180479510</v>
      </c>
      <c r="P27" s="29">
        <v>129649738</v>
      </c>
      <c r="Q27" s="29">
        <v>148761746</v>
      </c>
      <c r="R27" s="29">
        <v>120161518</v>
      </c>
      <c r="S27" s="29">
        <v>1652034556</v>
      </c>
    </row>
    <row r="28" spans="1:19">
      <c r="A28" s="15" t="s">
        <v>35</v>
      </c>
      <c r="B28" s="15" t="s">
        <v>36</v>
      </c>
      <c r="C28" s="16" t="s">
        <v>167</v>
      </c>
      <c r="D28" s="16" t="s">
        <v>37</v>
      </c>
      <c r="E28" s="16" t="s">
        <v>204</v>
      </c>
      <c r="F28" s="16" t="s">
        <v>166</v>
      </c>
      <c r="G28" s="28">
        <v>21.75</v>
      </c>
      <c r="H28" s="28">
        <v>13.94</v>
      </c>
      <c r="I28" s="28">
        <v>20.56</v>
      </c>
      <c r="J28" s="28">
        <v>19.93</v>
      </c>
      <c r="K28" s="28">
        <v>16.28</v>
      </c>
      <c r="L28" s="28">
        <v>16.989999999999998</v>
      </c>
      <c r="M28" s="28">
        <v>18.559999999999999</v>
      </c>
      <c r="N28" s="28">
        <v>15.39</v>
      </c>
      <c r="O28" s="28">
        <v>13.87</v>
      </c>
      <c r="P28" s="28">
        <v>21.09</v>
      </c>
      <c r="Q28" s="28">
        <v>18.53</v>
      </c>
      <c r="R28" s="28">
        <v>16.59</v>
      </c>
      <c r="S28" s="28">
        <v>213.48</v>
      </c>
    </row>
    <row r="29" spans="1:19">
      <c r="A29" s="15" t="s">
        <v>35</v>
      </c>
      <c r="B29" s="15" t="s">
        <v>36</v>
      </c>
      <c r="C29" s="16" t="s">
        <v>167</v>
      </c>
      <c r="D29" s="16" t="s">
        <v>37</v>
      </c>
      <c r="E29" s="16" t="s">
        <v>205</v>
      </c>
      <c r="F29" s="16" t="s">
        <v>37</v>
      </c>
      <c r="G29" s="28">
        <v>29427.75</v>
      </c>
      <c r="H29" s="28">
        <v>18860.82</v>
      </c>
      <c r="I29" s="28">
        <v>27817.68</v>
      </c>
      <c r="J29" s="28">
        <v>26965.29</v>
      </c>
      <c r="K29" s="28">
        <v>22026.84</v>
      </c>
      <c r="L29" s="28">
        <v>22987.47</v>
      </c>
      <c r="M29" s="28">
        <v>25111.68</v>
      </c>
      <c r="N29" s="28">
        <v>20822.669999999998</v>
      </c>
      <c r="O29" s="28">
        <v>18766.11</v>
      </c>
      <c r="P29" s="28">
        <v>28534.77</v>
      </c>
      <c r="Q29" s="28">
        <v>25071.09</v>
      </c>
      <c r="R29" s="28">
        <v>22446.27</v>
      </c>
      <c r="S29" s="28">
        <v>288838.44</v>
      </c>
    </row>
    <row r="30" spans="1:19">
      <c r="A30" s="17" t="s">
        <v>35</v>
      </c>
      <c r="B30" s="17" t="s">
        <v>36</v>
      </c>
      <c r="C30" s="17" t="s">
        <v>167</v>
      </c>
      <c r="D30" s="17" t="s">
        <v>37</v>
      </c>
      <c r="E30" s="17" t="s">
        <v>206</v>
      </c>
      <c r="F30" s="17" t="s">
        <v>175</v>
      </c>
      <c r="G30" s="29">
        <v>134190540</v>
      </c>
      <c r="H30" s="29">
        <v>86005339</v>
      </c>
      <c r="I30" s="29">
        <v>126848621</v>
      </c>
      <c r="J30" s="29">
        <v>122961722</v>
      </c>
      <c r="K30" s="29">
        <v>100442390</v>
      </c>
      <c r="L30" s="29">
        <v>104822863</v>
      </c>
      <c r="M30" s="29">
        <v>114509261</v>
      </c>
      <c r="N30" s="29">
        <v>94951375</v>
      </c>
      <c r="O30" s="29">
        <v>85573462</v>
      </c>
      <c r="P30" s="29">
        <v>130118551</v>
      </c>
      <c r="Q30" s="29">
        <v>114324170</v>
      </c>
      <c r="R30" s="29">
        <v>102354991</v>
      </c>
      <c r="S30" s="29">
        <v>1317103285</v>
      </c>
    </row>
    <row r="31" spans="1:19">
      <c r="A31" s="15" t="s">
        <v>35</v>
      </c>
      <c r="B31" s="15" t="s">
        <v>36</v>
      </c>
      <c r="C31" s="16" t="s">
        <v>168</v>
      </c>
      <c r="D31" s="16" t="s">
        <v>37</v>
      </c>
      <c r="E31" s="16" t="s">
        <v>204</v>
      </c>
      <c r="F31" s="16" t="s">
        <v>166</v>
      </c>
      <c r="G31" s="28">
        <v>13.52</v>
      </c>
      <c r="H31" s="28">
        <v>13.11</v>
      </c>
      <c r="I31" s="28">
        <v>11.66</v>
      </c>
      <c r="J31" s="28">
        <v>12.68</v>
      </c>
      <c r="K31" s="28">
        <v>17.3</v>
      </c>
      <c r="L31" s="28">
        <v>14.67</v>
      </c>
      <c r="M31" s="28">
        <v>17.18</v>
      </c>
      <c r="N31" s="28">
        <v>14.15</v>
      </c>
      <c r="O31" s="28">
        <v>16.43</v>
      </c>
      <c r="P31" s="28">
        <v>14.91</v>
      </c>
      <c r="Q31" s="28">
        <v>15.86</v>
      </c>
      <c r="R31" s="28">
        <v>18.399999999999999</v>
      </c>
      <c r="S31" s="28">
        <v>179.87</v>
      </c>
    </row>
    <row r="32" spans="1:19">
      <c r="A32" s="15" t="s">
        <v>35</v>
      </c>
      <c r="B32" s="15" t="s">
        <v>36</v>
      </c>
      <c r="C32" s="16" t="s">
        <v>168</v>
      </c>
      <c r="D32" s="16" t="s">
        <v>37</v>
      </c>
      <c r="E32" s="16" t="s">
        <v>205</v>
      </c>
      <c r="F32" s="16" t="s">
        <v>37</v>
      </c>
      <c r="G32" s="28">
        <v>17599.66</v>
      </c>
      <c r="H32" s="28">
        <v>17065.939999999999</v>
      </c>
      <c r="I32" s="28">
        <v>15178.41</v>
      </c>
      <c r="J32" s="28">
        <v>16506.189999999999</v>
      </c>
      <c r="K32" s="28">
        <v>22520.28</v>
      </c>
      <c r="L32" s="28">
        <v>19096.669999999998</v>
      </c>
      <c r="M32" s="28">
        <v>22364.06</v>
      </c>
      <c r="N32" s="28">
        <v>18419.759999999998</v>
      </c>
      <c r="O32" s="28">
        <v>21387.75</v>
      </c>
      <c r="P32" s="28">
        <v>19409.09</v>
      </c>
      <c r="Q32" s="28">
        <v>20645.759999999998</v>
      </c>
      <c r="R32" s="28">
        <v>23952.2</v>
      </c>
      <c r="S32" s="28">
        <v>234145.77</v>
      </c>
    </row>
    <row r="33" spans="1:19">
      <c r="A33" s="17" t="s">
        <v>35</v>
      </c>
      <c r="B33" s="17" t="s">
        <v>36</v>
      </c>
      <c r="C33" s="17" t="s">
        <v>168</v>
      </c>
      <c r="D33" s="17" t="s">
        <v>37</v>
      </c>
      <c r="E33" s="17" t="s">
        <v>206</v>
      </c>
      <c r="F33" s="17" t="s">
        <v>175</v>
      </c>
      <c r="G33" s="29">
        <v>80254450</v>
      </c>
      <c r="H33" s="29">
        <v>77820686</v>
      </c>
      <c r="I33" s="29">
        <v>69213550</v>
      </c>
      <c r="J33" s="29">
        <v>75268226</v>
      </c>
      <c r="K33" s="29">
        <v>102692477</v>
      </c>
      <c r="L33" s="29">
        <v>87080815</v>
      </c>
      <c r="M33" s="29">
        <v>101980114</v>
      </c>
      <c r="N33" s="29">
        <v>83994106</v>
      </c>
      <c r="O33" s="29">
        <v>97528140</v>
      </c>
      <c r="P33" s="29">
        <v>88505450</v>
      </c>
      <c r="Q33" s="29">
        <v>94144666</v>
      </c>
      <c r="R33" s="29">
        <v>109222032</v>
      </c>
      <c r="S33" s="29">
        <v>1067704712</v>
      </c>
    </row>
    <row r="34" spans="1:19">
      <c r="A34" s="15" t="s">
        <v>35</v>
      </c>
      <c r="B34" s="15" t="s">
        <v>36</v>
      </c>
      <c r="C34" s="16" t="s">
        <v>169</v>
      </c>
      <c r="D34" s="16" t="s">
        <v>37</v>
      </c>
      <c r="E34" s="16" t="s">
        <v>204</v>
      </c>
      <c r="F34" s="16" t="s">
        <v>166</v>
      </c>
      <c r="G34" s="28">
        <v>15.1</v>
      </c>
      <c r="H34" s="28">
        <v>20.65</v>
      </c>
      <c r="I34" s="28">
        <v>15.32</v>
      </c>
      <c r="J34" s="28">
        <v>21.31</v>
      </c>
      <c r="K34" s="28">
        <v>26.16</v>
      </c>
      <c r="L34" s="28">
        <v>15.64</v>
      </c>
      <c r="M34" s="28">
        <v>16.34</v>
      </c>
      <c r="N34" s="28">
        <v>16.989999999999998</v>
      </c>
      <c r="O34" s="28">
        <v>23.81</v>
      </c>
      <c r="P34" s="28">
        <v>26.48</v>
      </c>
      <c r="Q34" s="28">
        <v>25.7</v>
      </c>
      <c r="R34" s="28">
        <v>25.24</v>
      </c>
      <c r="S34" s="28">
        <v>248.73999999999998</v>
      </c>
    </row>
    <row r="35" spans="1:19">
      <c r="A35" s="15" t="s">
        <v>35</v>
      </c>
      <c r="B35" s="15" t="s">
        <v>36</v>
      </c>
      <c r="C35" s="16" t="s">
        <v>169</v>
      </c>
      <c r="D35" s="16" t="s">
        <v>37</v>
      </c>
      <c r="E35" s="16" t="s">
        <v>205</v>
      </c>
      <c r="F35" s="16" t="s">
        <v>37</v>
      </c>
      <c r="G35" s="28">
        <v>21513.72</v>
      </c>
      <c r="H35" s="28">
        <v>29421.09</v>
      </c>
      <c r="I35" s="28">
        <v>21827.17</v>
      </c>
      <c r="J35" s="28">
        <v>30361.42</v>
      </c>
      <c r="K35" s="28">
        <v>37271.46</v>
      </c>
      <c r="L35" s="28">
        <v>22283.09</v>
      </c>
      <c r="M35" s="28">
        <v>23280.41</v>
      </c>
      <c r="N35" s="28">
        <v>24206.5</v>
      </c>
      <c r="O35" s="28">
        <v>33923.300000000003</v>
      </c>
      <c r="P35" s="28">
        <v>37727.379999999997</v>
      </c>
      <c r="Q35" s="28">
        <v>36616.07</v>
      </c>
      <c r="R35" s="28">
        <v>35960.69</v>
      </c>
      <c r="S35" s="28">
        <v>354392.3</v>
      </c>
    </row>
    <row r="36" spans="1:19">
      <c r="A36" s="17" t="s">
        <v>35</v>
      </c>
      <c r="B36" s="17" t="s">
        <v>36</v>
      </c>
      <c r="C36" s="17" t="s">
        <v>169</v>
      </c>
      <c r="D36" s="17" t="s">
        <v>37</v>
      </c>
      <c r="E36" s="17" t="s">
        <v>206</v>
      </c>
      <c r="F36" s="17" t="s">
        <v>175</v>
      </c>
      <c r="G36" s="29">
        <v>98102563</v>
      </c>
      <c r="H36" s="29">
        <v>134160170</v>
      </c>
      <c r="I36" s="29">
        <v>99531895</v>
      </c>
      <c r="J36" s="29">
        <v>138448075</v>
      </c>
      <c r="K36" s="29">
        <v>169957858</v>
      </c>
      <c r="L36" s="29">
        <v>101610890</v>
      </c>
      <c r="M36" s="29">
        <v>106158670</v>
      </c>
      <c r="N36" s="29">
        <v>110381640</v>
      </c>
      <c r="O36" s="29">
        <v>154690248</v>
      </c>
      <c r="P36" s="29">
        <v>172036853</v>
      </c>
      <c r="Q36" s="29">
        <v>166969279</v>
      </c>
      <c r="R36" s="29">
        <v>163980746</v>
      </c>
      <c r="S36" s="29">
        <v>1616028887</v>
      </c>
    </row>
    <row r="37" spans="1:19">
      <c r="A37" s="15" t="s">
        <v>35</v>
      </c>
      <c r="B37" s="15" t="s">
        <v>36</v>
      </c>
      <c r="C37" s="16" t="s">
        <v>170</v>
      </c>
      <c r="D37" s="16" t="s">
        <v>37</v>
      </c>
      <c r="E37" s="16" t="s">
        <v>204</v>
      </c>
      <c r="F37" s="16" t="s">
        <v>166</v>
      </c>
      <c r="G37" s="28">
        <v>11.55</v>
      </c>
      <c r="H37" s="28">
        <v>14.98</v>
      </c>
      <c r="I37" s="28">
        <v>15.59</v>
      </c>
      <c r="J37" s="28">
        <v>9.82</v>
      </c>
      <c r="K37" s="28">
        <v>10.63</v>
      </c>
      <c r="L37" s="28">
        <v>11.38</v>
      </c>
      <c r="M37" s="28">
        <v>9.51</v>
      </c>
      <c r="N37" s="28">
        <v>14.9</v>
      </c>
      <c r="O37" s="28">
        <v>14.16</v>
      </c>
      <c r="P37" s="28">
        <v>11.97</v>
      </c>
      <c r="Q37" s="28">
        <v>14.24</v>
      </c>
      <c r="R37" s="28">
        <v>14.39</v>
      </c>
      <c r="S37" s="28">
        <v>153.12</v>
      </c>
    </row>
    <row r="38" spans="1:19">
      <c r="A38" s="15" t="s">
        <v>35</v>
      </c>
      <c r="B38" s="15" t="s">
        <v>36</v>
      </c>
      <c r="C38" s="16" t="s">
        <v>170</v>
      </c>
      <c r="D38" s="16" t="s">
        <v>37</v>
      </c>
      <c r="E38" s="16" t="s">
        <v>205</v>
      </c>
      <c r="F38" s="16" t="s">
        <v>37</v>
      </c>
      <c r="G38" s="28">
        <v>13969.73</v>
      </c>
      <c r="H38" s="28">
        <v>18118.310000000001</v>
      </c>
      <c r="I38" s="28">
        <v>18856.099999999999</v>
      </c>
      <c r="J38" s="28">
        <v>11877.29</v>
      </c>
      <c r="K38" s="28">
        <v>12856.99</v>
      </c>
      <c r="L38" s="28">
        <v>13764.11</v>
      </c>
      <c r="M38" s="28">
        <v>11502.34</v>
      </c>
      <c r="N38" s="28">
        <v>18021.55</v>
      </c>
      <c r="O38" s="28">
        <v>17126.52</v>
      </c>
      <c r="P38" s="28">
        <v>14477.72</v>
      </c>
      <c r="Q38" s="28">
        <v>17223.28</v>
      </c>
      <c r="R38" s="28">
        <v>17404.71</v>
      </c>
      <c r="S38" s="28">
        <v>185198.65</v>
      </c>
    </row>
    <row r="39" spans="1:19">
      <c r="A39" s="17" t="s">
        <v>35</v>
      </c>
      <c r="B39" s="17" t="s">
        <v>36</v>
      </c>
      <c r="C39" s="17" t="s">
        <v>170</v>
      </c>
      <c r="D39" s="17" t="s">
        <v>37</v>
      </c>
      <c r="E39" s="17" t="s">
        <v>206</v>
      </c>
      <c r="F39" s="17" t="s">
        <v>175</v>
      </c>
      <c r="G39" s="29">
        <v>63701969</v>
      </c>
      <c r="H39" s="29">
        <v>82619494</v>
      </c>
      <c r="I39" s="29">
        <v>85983816</v>
      </c>
      <c r="J39" s="29">
        <v>54160442</v>
      </c>
      <c r="K39" s="29">
        <v>58627874</v>
      </c>
      <c r="L39" s="29">
        <v>62764342</v>
      </c>
      <c r="M39" s="29">
        <v>52450670</v>
      </c>
      <c r="N39" s="29">
        <v>82178268</v>
      </c>
      <c r="O39" s="29">
        <v>78096931</v>
      </c>
      <c r="P39" s="29">
        <v>66018403</v>
      </c>
      <c r="Q39" s="29">
        <v>78538157</v>
      </c>
      <c r="R39" s="29">
        <v>79365478</v>
      </c>
      <c r="S39" s="29">
        <v>844505844</v>
      </c>
    </row>
    <row r="40" spans="1:19">
      <c r="A40" s="18" t="s">
        <v>38</v>
      </c>
      <c r="B40" s="18" t="s">
        <v>39</v>
      </c>
      <c r="C40" s="19" t="s">
        <v>165</v>
      </c>
      <c r="D40" s="19" t="s">
        <v>37</v>
      </c>
      <c r="E40" s="19" t="s">
        <v>204</v>
      </c>
      <c r="F40" s="19" t="s">
        <v>166</v>
      </c>
      <c r="G40" s="30">
        <v>26.9</v>
      </c>
      <c r="H40" s="30">
        <v>16.43</v>
      </c>
      <c r="I40" s="30">
        <v>17.52</v>
      </c>
      <c r="J40" s="30">
        <v>23.77</v>
      </c>
      <c r="K40" s="30">
        <v>17.88</v>
      </c>
      <c r="L40" s="30">
        <v>26.92</v>
      </c>
      <c r="M40" s="30">
        <v>27.03</v>
      </c>
      <c r="N40" s="30">
        <v>21.05</v>
      </c>
      <c r="O40" s="30">
        <v>21.77</v>
      </c>
      <c r="P40" s="30">
        <v>25.49</v>
      </c>
      <c r="Q40" s="30">
        <v>27.44</v>
      </c>
      <c r="R40" s="30">
        <v>16.399999999999999</v>
      </c>
      <c r="S40" s="30">
        <v>268.60000000000002</v>
      </c>
    </row>
    <row r="41" spans="1:19">
      <c r="A41" s="20" t="s">
        <v>38</v>
      </c>
      <c r="B41" s="20" t="s">
        <v>39</v>
      </c>
      <c r="C41" s="21" t="s">
        <v>165</v>
      </c>
      <c r="D41" s="21" t="s">
        <v>37</v>
      </c>
      <c r="E41" s="21" t="s">
        <v>205</v>
      </c>
      <c r="F41" s="21" t="s">
        <v>37</v>
      </c>
      <c r="G41" s="31">
        <v>39980.120000000003</v>
      </c>
      <c r="H41" s="31">
        <v>24419.09</v>
      </c>
      <c r="I41" s="31">
        <v>26039.1</v>
      </c>
      <c r="J41" s="31">
        <v>35328.160000000003</v>
      </c>
      <c r="K41" s="31">
        <v>26574.15</v>
      </c>
      <c r="L41" s="31">
        <v>40009.85</v>
      </c>
      <c r="M41" s="31">
        <v>40173.339999999997</v>
      </c>
      <c r="N41" s="31">
        <v>31285.56</v>
      </c>
      <c r="O41" s="31">
        <v>32355.66</v>
      </c>
      <c r="P41" s="31">
        <v>37884.51</v>
      </c>
      <c r="Q41" s="31">
        <v>40782.699999999997</v>
      </c>
      <c r="R41" s="31">
        <v>24374.5</v>
      </c>
      <c r="S41" s="31">
        <v>399206.74</v>
      </c>
    </row>
    <row r="42" spans="1:19">
      <c r="A42" s="22" t="s">
        <v>38</v>
      </c>
      <c r="B42" s="22" t="s">
        <v>39</v>
      </c>
      <c r="C42" s="22" t="s">
        <v>165</v>
      </c>
      <c r="D42" s="22" t="s">
        <v>37</v>
      </c>
      <c r="E42" s="22" t="s">
        <v>206</v>
      </c>
      <c r="F42" s="22" t="s">
        <v>175</v>
      </c>
      <c r="G42" s="32">
        <v>182309347</v>
      </c>
      <c r="H42" s="32">
        <v>111351050</v>
      </c>
      <c r="I42" s="32">
        <v>118738296</v>
      </c>
      <c r="J42" s="32">
        <v>161096410</v>
      </c>
      <c r="K42" s="32">
        <v>121178124</v>
      </c>
      <c r="L42" s="32">
        <v>182444916</v>
      </c>
      <c r="M42" s="32">
        <v>183190430</v>
      </c>
      <c r="N42" s="32">
        <v>142662154</v>
      </c>
      <c r="O42" s="32">
        <v>147541810</v>
      </c>
      <c r="P42" s="32">
        <v>172753366</v>
      </c>
      <c r="Q42" s="32">
        <v>185969112</v>
      </c>
      <c r="R42" s="32">
        <v>111147720</v>
      </c>
      <c r="S42" s="32">
        <v>1820382735</v>
      </c>
    </row>
    <row r="43" spans="1:19">
      <c r="A43" s="20" t="s">
        <v>38</v>
      </c>
      <c r="B43" s="20" t="s">
        <v>39</v>
      </c>
      <c r="C43" s="21" t="s">
        <v>167</v>
      </c>
      <c r="D43" s="21" t="s">
        <v>37</v>
      </c>
      <c r="E43" s="21" t="s">
        <v>204</v>
      </c>
      <c r="F43" s="21" t="s">
        <v>166</v>
      </c>
      <c r="G43" s="31">
        <v>22.31</v>
      </c>
      <c r="H43" s="31">
        <v>17.420000000000002</v>
      </c>
      <c r="I43" s="31">
        <v>12.71</v>
      </c>
      <c r="J43" s="31">
        <v>21.46</v>
      </c>
      <c r="K43" s="31">
        <v>22.29</v>
      </c>
      <c r="L43" s="31">
        <v>13.51</v>
      </c>
      <c r="M43" s="31">
        <v>19.18</v>
      </c>
      <c r="N43" s="31">
        <v>22.27</v>
      </c>
      <c r="O43" s="31">
        <v>14.62</v>
      </c>
      <c r="P43" s="31">
        <v>17.440000000000001</v>
      </c>
      <c r="Q43" s="31">
        <v>16.63</v>
      </c>
      <c r="R43" s="31">
        <v>17.899999999999999</v>
      </c>
      <c r="S43" s="31">
        <v>217.74</v>
      </c>
    </row>
    <row r="44" spans="1:19">
      <c r="A44" s="20" t="s">
        <v>38</v>
      </c>
      <c r="B44" s="20" t="s">
        <v>39</v>
      </c>
      <c r="C44" s="21" t="s">
        <v>167</v>
      </c>
      <c r="D44" s="21" t="s">
        <v>37</v>
      </c>
      <c r="E44" s="21" t="s">
        <v>205</v>
      </c>
      <c r="F44" s="21" t="s">
        <v>37</v>
      </c>
      <c r="G44" s="31">
        <v>30185.43</v>
      </c>
      <c r="H44" s="31">
        <v>23569.26</v>
      </c>
      <c r="I44" s="31">
        <v>17196.63</v>
      </c>
      <c r="J44" s="31">
        <v>29035.38</v>
      </c>
      <c r="K44" s="31">
        <v>30158.37</v>
      </c>
      <c r="L44" s="31">
        <v>18279.03</v>
      </c>
      <c r="M44" s="31">
        <v>25950.54</v>
      </c>
      <c r="N44" s="31">
        <v>30131.31</v>
      </c>
      <c r="O44" s="31">
        <v>19780.86</v>
      </c>
      <c r="P44" s="31">
        <v>23596.32</v>
      </c>
      <c r="Q44" s="31">
        <v>22500.39</v>
      </c>
      <c r="R44" s="31">
        <v>24218.7</v>
      </c>
      <c r="S44" s="31">
        <v>294602.21999999997</v>
      </c>
    </row>
    <row r="45" spans="1:19">
      <c r="A45" s="22" t="s">
        <v>38</v>
      </c>
      <c r="B45" s="22" t="s">
        <v>39</v>
      </c>
      <c r="C45" s="22" t="s">
        <v>167</v>
      </c>
      <c r="D45" s="22" t="s">
        <v>37</v>
      </c>
      <c r="E45" s="22" t="s">
        <v>206</v>
      </c>
      <c r="F45" s="22" t="s">
        <v>175</v>
      </c>
      <c r="G45" s="32">
        <v>137645561</v>
      </c>
      <c r="H45" s="32">
        <v>107475826</v>
      </c>
      <c r="I45" s="32">
        <v>78416633</v>
      </c>
      <c r="J45" s="32">
        <v>132401333</v>
      </c>
      <c r="K45" s="32">
        <v>137522167</v>
      </c>
      <c r="L45" s="32">
        <v>83352377</v>
      </c>
      <c r="M45" s="32">
        <v>118334462</v>
      </c>
      <c r="N45" s="32">
        <v>137398774</v>
      </c>
      <c r="O45" s="32">
        <v>90200722</v>
      </c>
      <c r="P45" s="32">
        <v>107599219</v>
      </c>
      <c r="Q45" s="32">
        <v>102601778</v>
      </c>
      <c r="R45" s="32">
        <v>110437272</v>
      </c>
      <c r="S45" s="32">
        <v>1343386124</v>
      </c>
    </row>
    <row r="46" spans="1:19">
      <c r="A46" s="20" t="s">
        <v>38</v>
      </c>
      <c r="B46" s="20" t="s">
        <v>39</v>
      </c>
      <c r="C46" s="21" t="s">
        <v>168</v>
      </c>
      <c r="D46" s="21" t="s">
        <v>37</v>
      </c>
      <c r="E46" s="21" t="s">
        <v>204</v>
      </c>
      <c r="F46" s="21" t="s">
        <v>166</v>
      </c>
      <c r="G46" s="31">
        <v>12.42</v>
      </c>
      <c r="H46" s="31">
        <v>12.18</v>
      </c>
      <c r="I46" s="31">
        <v>13.32</v>
      </c>
      <c r="J46" s="31">
        <v>11.58</v>
      </c>
      <c r="K46" s="31">
        <v>18.16</v>
      </c>
      <c r="L46" s="31">
        <v>14.94</v>
      </c>
      <c r="M46" s="31">
        <v>19.510000000000002</v>
      </c>
      <c r="N46" s="31">
        <v>19.72</v>
      </c>
      <c r="O46" s="31">
        <v>11.21</v>
      </c>
      <c r="P46" s="31">
        <v>11.75</v>
      </c>
      <c r="Q46" s="31">
        <v>11.67</v>
      </c>
      <c r="R46" s="31">
        <v>16.55</v>
      </c>
      <c r="S46" s="31">
        <v>173.01</v>
      </c>
    </row>
    <row r="47" spans="1:19">
      <c r="A47" s="20" t="s">
        <v>38</v>
      </c>
      <c r="B47" s="20" t="s">
        <v>39</v>
      </c>
      <c r="C47" s="21" t="s">
        <v>168</v>
      </c>
      <c r="D47" s="21" t="s">
        <v>37</v>
      </c>
      <c r="E47" s="21" t="s">
        <v>205</v>
      </c>
      <c r="F47" s="21" t="s">
        <v>37</v>
      </c>
      <c r="G47" s="31">
        <v>16167.74</v>
      </c>
      <c r="H47" s="31">
        <v>15855.32</v>
      </c>
      <c r="I47" s="31">
        <v>17339.310000000001</v>
      </c>
      <c r="J47" s="31">
        <v>15074.26</v>
      </c>
      <c r="K47" s="31">
        <v>23639.78</v>
      </c>
      <c r="L47" s="31">
        <v>19448.150000000001</v>
      </c>
      <c r="M47" s="31">
        <v>25397.14</v>
      </c>
      <c r="N47" s="31">
        <v>25670.51</v>
      </c>
      <c r="O47" s="31">
        <v>14592.62</v>
      </c>
      <c r="P47" s="31">
        <v>15295.56</v>
      </c>
      <c r="Q47" s="31">
        <v>15191.42</v>
      </c>
      <c r="R47" s="31">
        <v>21543.96</v>
      </c>
      <c r="S47" s="31">
        <v>225215.77</v>
      </c>
    </row>
    <row r="48" spans="1:19">
      <c r="A48" s="22" t="s">
        <v>38</v>
      </c>
      <c r="B48" s="22" t="s">
        <v>39</v>
      </c>
      <c r="C48" s="22" t="s">
        <v>168</v>
      </c>
      <c r="D48" s="22" t="s">
        <v>37</v>
      </c>
      <c r="E48" s="22" t="s">
        <v>206</v>
      </c>
      <c r="F48" s="22" t="s">
        <v>175</v>
      </c>
      <c r="G48" s="32">
        <v>73724894</v>
      </c>
      <c r="H48" s="32">
        <v>72300259</v>
      </c>
      <c r="I48" s="32">
        <v>79067254</v>
      </c>
      <c r="J48" s="32">
        <v>68738626</v>
      </c>
      <c r="K48" s="32">
        <v>107797397</v>
      </c>
      <c r="L48" s="32">
        <v>88683564</v>
      </c>
      <c r="M48" s="32">
        <v>115810958</v>
      </c>
      <c r="N48" s="32">
        <v>117057526</v>
      </c>
      <c r="O48" s="32">
        <v>66542347</v>
      </c>
      <c r="P48" s="32">
        <v>69747754</v>
      </c>
      <c r="Q48" s="32">
        <v>69272875</v>
      </c>
      <c r="R48" s="32">
        <v>98240458</v>
      </c>
      <c r="S48" s="32">
        <v>1026983912</v>
      </c>
    </row>
    <row r="49" spans="1:19">
      <c r="A49" s="20" t="s">
        <v>38</v>
      </c>
      <c r="B49" s="20" t="s">
        <v>39</v>
      </c>
      <c r="C49" s="21" t="s">
        <v>169</v>
      </c>
      <c r="D49" s="21" t="s">
        <v>37</v>
      </c>
      <c r="E49" s="21" t="s">
        <v>204</v>
      </c>
      <c r="F49" s="21" t="s">
        <v>166</v>
      </c>
      <c r="G49" s="31">
        <v>20.77</v>
      </c>
      <c r="H49" s="31">
        <v>17.04</v>
      </c>
      <c r="I49" s="31">
        <v>24.03</v>
      </c>
      <c r="J49" s="31">
        <v>19.43</v>
      </c>
      <c r="K49" s="31">
        <v>25.01</v>
      </c>
      <c r="L49" s="31">
        <v>17.84</v>
      </c>
      <c r="M49" s="31">
        <v>21.01</v>
      </c>
      <c r="N49" s="31">
        <v>25.6</v>
      </c>
      <c r="O49" s="31">
        <v>17.41</v>
      </c>
      <c r="P49" s="31">
        <v>21.82</v>
      </c>
      <c r="Q49" s="31">
        <v>17.39</v>
      </c>
      <c r="R49" s="31">
        <v>21.9</v>
      </c>
      <c r="S49" s="31">
        <v>249.25</v>
      </c>
    </row>
    <row r="50" spans="1:19">
      <c r="A50" s="20" t="s">
        <v>38</v>
      </c>
      <c r="B50" s="20" t="s">
        <v>39</v>
      </c>
      <c r="C50" s="21" t="s">
        <v>169</v>
      </c>
      <c r="D50" s="21" t="s">
        <v>37</v>
      </c>
      <c r="E50" s="21" t="s">
        <v>205</v>
      </c>
      <c r="F50" s="21" t="s">
        <v>37</v>
      </c>
      <c r="G50" s="31">
        <v>29592.06</v>
      </c>
      <c r="H50" s="31">
        <v>24277.74</v>
      </c>
      <c r="I50" s="31">
        <v>34236.74</v>
      </c>
      <c r="J50" s="31">
        <v>27682.89</v>
      </c>
      <c r="K50" s="31">
        <v>35633</v>
      </c>
      <c r="L50" s="31">
        <v>25417.54</v>
      </c>
      <c r="M50" s="31">
        <v>29934</v>
      </c>
      <c r="N50" s="31">
        <v>36473.599999999999</v>
      </c>
      <c r="O50" s="31">
        <v>24804.9</v>
      </c>
      <c r="P50" s="31">
        <v>31088.04</v>
      </c>
      <c r="Q50" s="31">
        <v>24776.400000000001</v>
      </c>
      <c r="R50" s="31">
        <v>31202.02</v>
      </c>
      <c r="S50" s="31">
        <v>355118.93</v>
      </c>
    </row>
    <row r="51" spans="1:19">
      <c r="A51" s="22" t="s">
        <v>38</v>
      </c>
      <c r="B51" s="22" t="s">
        <v>39</v>
      </c>
      <c r="C51" s="22" t="s">
        <v>169</v>
      </c>
      <c r="D51" s="22" t="s">
        <v>37</v>
      </c>
      <c r="E51" s="22" t="s">
        <v>206</v>
      </c>
      <c r="F51" s="22" t="s">
        <v>175</v>
      </c>
      <c r="G51" s="32">
        <v>134939794</v>
      </c>
      <c r="H51" s="32">
        <v>110706494</v>
      </c>
      <c r="I51" s="32">
        <v>156119534</v>
      </c>
      <c r="J51" s="32">
        <v>126233978</v>
      </c>
      <c r="K51" s="32">
        <v>162486480</v>
      </c>
      <c r="L51" s="32">
        <v>115903982</v>
      </c>
      <c r="M51" s="32">
        <v>136499040</v>
      </c>
      <c r="N51" s="32">
        <v>166319616</v>
      </c>
      <c r="O51" s="32">
        <v>113110344</v>
      </c>
      <c r="P51" s="32">
        <v>141761462</v>
      </c>
      <c r="Q51" s="32">
        <v>112980384</v>
      </c>
      <c r="R51" s="32">
        <v>142281211</v>
      </c>
      <c r="S51" s="32">
        <v>1619342319</v>
      </c>
    </row>
    <row r="52" spans="1:19">
      <c r="A52" s="20" t="s">
        <v>38</v>
      </c>
      <c r="B52" s="20" t="s">
        <v>39</v>
      </c>
      <c r="C52" s="21" t="s">
        <v>170</v>
      </c>
      <c r="D52" s="21" t="s">
        <v>37</v>
      </c>
      <c r="E52" s="21" t="s">
        <v>204</v>
      </c>
      <c r="F52" s="21" t="s">
        <v>166</v>
      </c>
      <c r="G52" s="31">
        <v>10.1</v>
      </c>
      <c r="H52" s="31">
        <v>13.56</v>
      </c>
      <c r="I52" s="31">
        <v>14.16</v>
      </c>
      <c r="J52" s="31">
        <v>13.22</v>
      </c>
      <c r="K52" s="31">
        <v>13.07</v>
      </c>
      <c r="L52" s="31">
        <v>11.04</v>
      </c>
      <c r="M52" s="31">
        <v>13.82</v>
      </c>
      <c r="N52" s="31">
        <v>14.34</v>
      </c>
      <c r="O52" s="31">
        <v>10.68</v>
      </c>
      <c r="P52" s="31">
        <v>10.06</v>
      </c>
      <c r="Q52" s="31">
        <v>14.38</v>
      </c>
      <c r="R52" s="31">
        <v>12.25</v>
      </c>
      <c r="S52" s="31">
        <v>150.68</v>
      </c>
    </row>
    <row r="53" spans="1:19">
      <c r="A53" s="20" t="s">
        <v>38</v>
      </c>
      <c r="B53" s="20" t="s">
        <v>39</v>
      </c>
      <c r="C53" s="21" t="s">
        <v>170</v>
      </c>
      <c r="D53" s="21" t="s">
        <v>37</v>
      </c>
      <c r="E53" s="21" t="s">
        <v>205</v>
      </c>
      <c r="F53" s="21" t="s">
        <v>37</v>
      </c>
      <c r="G53" s="31">
        <v>12215.95</v>
      </c>
      <c r="H53" s="31">
        <v>16400.82</v>
      </c>
      <c r="I53" s="31">
        <v>17126.52</v>
      </c>
      <c r="J53" s="31">
        <v>15989.59</v>
      </c>
      <c r="K53" s="31">
        <v>15808.17</v>
      </c>
      <c r="L53" s="31">
        <v>13352.88</v>
      </c>
      <c r="M53" s="31">
        <v>16715.29</v>
      </c>
      <c r="N53" s="31">
        <v>17344.23</v>
      </c>
      <c r="O53" s="31">
        <v>12917.46</v>
      </c>
      <c r="P53" s="31">
        <v>12167.57</v>
      </c>
      <c r="Q53" s="31">
        <v>17392.61</v>
      </c>
      <c r="R53" s="31">
        <v>14816.38</v>
      </c>
      <c r="S53" s="31">
        <v>182247.47</v>
      </c>
    </row>
    <row r="54" spans="1:19">
      <c r="A54" s="22" t="s">
        <v>38</v>
      </c>
      <c r="B54" s="22" t="s">
        <v>39</v>
      </c>
      <c r="C54" s="22" t="s">
        <v>170</v>
      </c>
      <c r="D54" s="22" t="s">
        <v>37</v>
      </c>
      <c r="E54" s="22" t="s">
        <v>206</v>
      </c>
      <c r="F54" s="22" t="s">
        <v>175</v>
      </c>
      <c r="G54" s="32">
        <v>55704732</v>
      </c>
      <c r="H54" s="32">
        <v>74787739</v>
      </c>
      <c r="I54" s="32">
        <v>78096931</v>
      </c>
      <c r="J54" s="32">
        <v>72912530</v>
      </c>
      <c r="K54" s="32">
        <v>72085255</v>
      </c>
      <c r="L54" s="32">
        <v>60889133</v>
      </c>
      <c r="M54" s="32">
        <v>76221722</v>
      </c>
      <c r="N54" s="32">
        <v>79089689</v>
      </c>
      <c r="O54" s="32">
        <v>58903618</v>
      </c>
      <c r="P54" s="32">
        <v>55484119</v>
      </c>
      <c r="Q54" s="32">
        <v>79310302</v>
      </c>
      <c r="R54" s="32">
        <v>67562693</v>
      </c>
      <c r="S54" s="32">
        <v>831048463</v>
      </c>
    </row>
  </sheetData>
  <mergeCells count="15">
    <mergeCell ref="A1:S1"/>
    <mergeCell ref="A2:S2"/>
    <mergeCell ref="A4:C4"/>
    <mergeCell ref="D4:F4"/>
    <mergeCell ref="G4:I4"/>
    <mergeCell ref="J4:L4"/>
    <mergeCell ref="M4:O4"/>
    <mergeCell ref="P4:S4"/>
    <mergeCell ref="P5:S5"/>
    <mergeCell ref="A7:S7"/>
    <mergeCell ref="A5:C5"/>
    <mergeCell ref="D5:F5"/>
    <mergeCell ref="G5:I5"/>
    <mergeCell ref="J5:L5"/>
    <mergeCell ref="M5:O5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/>
  </sheetViews>
  <sheetFormatPr baseColWidth="10" defaultColWidth="8.83203125" defaultRowHeight="15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2">
      <c r="A1" s="1" t="s">
        <v>27</v>
      </c>
      <c r="B1" s="1" t="s">
        <v>28</v>
      </c>
      <c r="C1" s="1" t="s">
        <v>207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31</v>
      </c>
      <c r="B2" t="s">
        <v>32</v>
      </c>
      <c r="C2" t="s">
        <v>208</v>
      </c>
      <c r="D2" t="s">
        <v>175</v>
      </c>
      <c r="E2" s="4">
        <v>14753000</v>
      </c>
      <c r="F2" s="4">
        <v>13416000</v>
      </c>
      <c r="G2" s="4">
        <v>17106000</v>
      </c>
      <c r="H2" s="4">
        <v>15581000</v>
      </c>
      <c r="I2" s="4">
        <v>16042000</v>
      </c>
      <c r="J2" s="4">
        <v>15646000</v>
      </c>
      <c r="K2" s="4">
        <v>14831000</v>
      </c>
      <c r="L2" s="4">
        <v>16267000</v>
      </c>
      <c r="M2" s="4">
        <v>16701000</v>
      </c>
      <c r="N2" s="4">
        <v>14028000</v>
      </c>
      <c r="O2" s="4">
        <v>13499000</v>
      </c>
      <c r="P2" s="4">
        <v>16836000</v>
      </c>
      <c r="Q2" s="4">
        <v>184706000</v>
      </c>
    </row>
    <row r="3" spans="1:17">
      <c r="A3" t="s">
        <v>31</v>
      </c>
      <c r="B3" t="s">
        <v>32</v>
      </c>
      <c r="C3" t="s">
        <v>209</v>
      </c>
      <c r="D3" t="s">
        <v>175</v>
      </c>
      <c r="E3" s="4">
        <v>7654000</v>
      </c>
      <c r="F3" s="4">
        <v>7887000</v>
      </c>
      <c r="G3" s="4">
        <v>7855000</v>
      </c>
      <c r="H3" s="4">
        <v>7863000</v>
      </c>
      <c r="I3" s="4">
        <v>7310000</v>
      </c>
      <c r="J3" s="4">
        <v>6543000</v>
      </c>
      <c r="K3" s="4">
        <v>7123000</v>
      </c>
      <c r="L3" s="4">
        <v>7323000</v>
      </c>
      <c r="M3" s="4">
        <v>6950000</v>
      </c>
      <c r="N3" s="4">
        <v>6690000</v>
      </c>
      <c r="O3" s="4">
        <v>6145000</v>
      </c>
      <c r="P3" s="4">
        <v>7893000</v>
      </c>
      <c r="Q3" s="4">
        <v>87236000</v>
      </c>
    </row>
    <row r="4" spans="1:17">
      <c r="A4" t="s">
        <v>31</v>
      </c>
      <c r="B4" t="s">
        <v>32</v>
      </c>
      <c r="C4" t="s">
        <v>210</v>
      </c>
      <c r="D4" t="s">
        <v>175</v>
      </c>
      <c r="E4" s="4">
        <v>8393000</v>
      </c>
      <c r="F4" s="4">
        <v>10022000</v>
      </c>
      <c r="G4" s="4">
        <v>8553000</v>
      </c>
      <c r="H4" s="4">
        <v>9369000</v>
      </c>
      <c r="I4" s="4">
        <v>8782000</v>
      </c>
      <c r="J4" s="4">
        <v>8174000</v>
      </c>
      <c r="K4" s="4">
        <v>10658000</v>
      </c>
      <c r="L4" s="4">
        <v>8430000</v>
      </c>
      <c r="M4" s="4">
        <v>7975000</v>
      </c>
      <c r="N4" s="4">
        <v>10003000</v>
      </c>
      <c r="O4" s="4">
        <v>8894000</v>
      </c>
      <c r="P4" s="4">
        <v>8458000</v>
      </c>
      <c r="Q4" s="4">
        <v>107711000</v>
      </c>
    </row>
    <row r="5" spans="1:17">
      <c r="A5" t="s">
        <v>31</v>
      </c>
      <c r="B5" t="s">
        <v>32</v>
      </c>
      <c r="C5" t="s">
        <v>211</v>
      </c>
      <c r="D5" t="s">
        <v>175</v>
      </c>
      <c r="E5" s="4">
        <v>56351000</v>
      </c>
      <c r="F5" s="4">
        <v>45347000</v>
      </c>
      <c r="G5" s="4">
        <v>54531000</v>
      </c>
      <c r="H5" s="4">
        <v>55988000</v>
      </c>
      <c r="I5" s="4">
        <v>56202000</v>
      </c>
      <c r="J5" s="4">
        <v>53591000</v>
      </c>
      <c r="K5" s="4">
        <v>45273000</v>
      </c>
      <c r="L5" s="4">
        <v>54702000</v>
      </c>
      <c r="M5" s="4">
        <v>52777000</v>
      </c>
      <c r="N5" s="4">
        <v>46571000</v>
      </c>
      <c r="O5" s="4">
        <v>44719000</v>
      </c>
      <c r="P5" s="4">
        <v>58538000</v>
      </c>
      <c r="Q5" s="4">
        <v>624590000</v>
      </c>
    </row>
    <row r="6" spans="1:17">
      <c r="A6" t="s">
        <v>31</v>
      </c>
      <c r="B6" t="s">
        <v>32</v>
      </c>
      <c r="C6" t="s">
        <v>212</v>
      </c>
      <c r="D6" t="s">
        <v>175</v>
      </c>
      <c r="E6" s="4">
        <v>4510000</v>
      </c>
      <c r="F6" s="4">
        <v>4969000</v>
      </c>
      <c r="G6" s="4">
        <v>4443000</v>
      </c>
      <c r="H6" s="4">
        <v>4441000</v>
      </c>
      <c r="I6" s="4">
        <v>4569000</v>
      </c>
      <c r="J6" s="4">
        <v>4890000</v>
      </c>
      <c r="K6" s="4">
        <v>4609000</v>
      </c>
      <c r="L6" s="4">
        <v>4801000</v>
      </c>
      <c r="M6" s="4">
        <v>4545000</v>
      </c>
      <c r="N6" s="4">
        <v>4426000</v>
      </c>
      <c r="O6" s="4">
        <v>4644000</v>
      </c>
      <c r="P6" s="4">
        <v>5482000</v>
      </c>
      <c r="Q6" s="4">
        <v>56329000</v>
      </c>
    </row>
    <row r="7" spans="1:17">
      <c r="A7" t="s">
        <v>31</v>
      </c>
      <c r="B7" t="s">
        <v>32</v>
      </c>
      <c r="C7" t="s">
        <v>213</v>
      </c>
      <c r="D7" t="s">
        <v>175</v>
      </c>
      <c r="E7" s="4">
        <v>3963000</v>
      </c>
      <c r="F7" s="4">
        <v>3201000</v>
      </c>
      <c r="G7" s="4">
        <v>3005000</v>
      </c>
      <c r="H7" s="4">
        <v>3266000</v>
      </c>
      <c r="I7" s="4">
        <v>3044000</v>
      </c>
      <c r="J7" s="4">
        <v>3874000</v>
      </c>
      <c r="K7" s="4">
        <v>3413000</v>
      </c>
      <c r="L7" s="4">
        <v>3007000</v>
      </c>
      <c r="M7" s="4">
        <v>4015000</v>
      </c>
      <c r="N7" s="4">
        <v>3765000</v>
      </c>
      <c r="O7" s="4">
        <v>3991000</v>
      </c>
      <c r="P7" s="4">
        <v>3614000</v>
      </c>
      <c r="Q7" s="4">
        <v>42158000</v>
      </c>
    </row>
    <row r="8" spans="1:17">
      <c r="A8" t="s">
        <v>35</v>
      </c>
      <c r="B8" t="s">
        <v>36</v>
      </c>
      <c r="C8" t="s">
        <v>208</v>
      </c>
      <c r="D8" t="s">
        <v>175</v>
      </c>
      <c r="E8" s="4">
        <v>15484000</v>
      </c>
      <c r="F8" s="4">
        <v>14794000</v>
      </c>
      <c r="G8" s="4">
        <v>15698000</v>
      </c>
      <c r="H8" s="4">
        <v>16581000</v>
      </c>
      <c r="I8" s="4">
        <v>14471000</v>
      </c>
      <c r="J8" s="4">
        <v>14589000</v>
      </c>
      <c r="K8" s="4">
        <v>14271000</v>
      </c>
      <c r="L8" s="4">
        <v>18467000</v>
      </c>
      <c r="M8" s="4">
        <v>16038000</v>
      </c>
      <c r="N8" s="4">
        <v>15447000</v>
      </c>
      <c r="O8" s="4">
        <v>15290000</v>
      </c>
      <c r="P8" s="4">
        <v>13865000</v>
      </c>
      <c r="Q8" s="4">
        <v>184995000</v>
      </c>
    </row>
    <row r="9" spans="1:17">
      <c r="A9" t="s">
        <v>35</v>
      </c>
      <c r="B9" t="s">
        <v>36</v>
      </c>
      <c r="C9" t="s">
        <v>209</v>
      </c>
      <c r="D9" t="s">
        <v>175</v>
      </c>
      <c r="E9" s="4">
        <v>8250000</v>
      </c>
      <c r="F9" s="4">
        <v>6729000</v>
      </c>
      <c r="G9" s="4">
        <v>6584000</v>
      </c>
      <c r="H9" s="4">
        <v>7219000</v>
      </c>
      <c r="I9" s="4">
        <v>6904000</v>
      </c>
      <c r="J9" s="4">
        <v>6591000</v>
      </c>
      <c r="K9" s="4">
        <v>7806000</v>
      </c>
      <c r="L9" s="4">
        <v>6414000</v>
      </c>
      <c r="M9" s="4">
        <v>6761000</v>
      </c>
      <c r="N9" s="4">
        <v>8166000</v>
      </c>
      <c r="O9" s="4">
        <v>8209000</v>
      </c>
      <c r="P9" s="4">
        <v>6880000</v>
      </c>
      <c r="Q9" s="4">
        <v>86513000</v>
      </c>
    </row>
    <row r="10" spans="1:17">
      <c r="A10" t="s">
        <v>35</v>
      </c>
      <c r="B10" t="s">
        <v>36</v>
      </c>
      <c r="C10" t="s">
        <v>210</v>
      </c>
      <c r="D10" t="s">
        <v>175</v>
      </c>
      <c r="E10" s="4">
        <v>10696000</v>
      </c>
      <c r="F10" s="4">
        <v>9472000</v>
      </c>
      <c r="G10" s="4">
        <v>9605000</v>
      </c>
      <c r="H10" s="4">
        <v>8691000</v>
      </c>
      <c r="I10" s="4">
        <v>9005000</v>
      </c>
      <c r="J10" s="4">
        <v>10990000</v>
      </c>
      <c r="K10" s="4">
        <v>10995000</v>
      </c>
      <c r="L10" s="4">
        <v>11615000</v>
      </c>
      <c r="M10" s="4">
        <v>10935000</v>
      </c>
      <c r="N10" s="4">
        <v>10567000</v>
      </c>
      <c r="O10" s="4">
        <v>8695000</v>
      </c>
      <c r="P10" s="4">
        <v>9248000</v>
      </c>
      <c r="Q10" s="4">
        <v>120514000</v>
      </c>
    </row>
    <row r="11" spans="1:17">
      <c r="A11" t="s">
        <v>35</v>
      </c>
      <c r="B11" t="s">
        <v>36</v>
      </c>
      <c r="C11" t="s">
        <v>211</v>
      </c>
      <c r="D11" t="s">
        <v>175</v>
      </c>
      <c r="E11" s="4">
        <v>64525000</v>
      </c>
      <c r="F11" s="4">
        <v>50230000</v>
      </c>
      <c r="G11" s="4">
        <v>59102000</v>
      </c>
      <c r="H11" s="4">
        <v>51234000</v>
      </c>
      <c r="I11" s="4">
        <v>56834000</v>
      </c>
      <c r="J11" s="4">
        <v>63939000</v>
      </c>
      <c r="K11" s="4">
        <v>51924000</v>
      </c>
      <c r="L11" s="4">
        <v>59121000</v>
      </c>
      <c r="M11" s="4">
        <v>49118000</v>
      </c>
      <c r="N11" s="4">
        <v>59321000</v>
      </c>
      <c r="O11" s="4">
        <v>58507000</v>
      </c>
      <c r="P11" s="4">
        <v>53455000</v>
      </c>
      <c r="Q11" s="4">
        <v>677310000</v>
      </c>
    </row>
    <row r="12" spans="1:17">
      <c r="A12" t="s">
        <v>35</v>
      </c>
      <c r="B12" t="s">
        <v>36</v>
      </c>
      <c r="C12" t="s">
        <v>212</v>
      </c>
      <c r="D12" t="s">
        <v>175</v>
      </c>
      <c r="E12" s="4">
        <v>6079000</v>
      </c>
      <c r="F12" s="4">
        <v>5921000</v>
      </c>
      <c r="G12" s="4">
        <v>5863000</v>
      </c>
      <c r="H12" s="4">
        <v>5778000</v>
      </c>
      <c r="I12" s="4">
        <v>5073000</v>
      </c>
      <c r="J12" s="4">
        <v>5964000</v>
      </c>
      <c r="K12" s="4">
        <v>5357000</v>
      </c>
      <c r="L12" s="4">
        <v>5155000</v>
      </c>
      <c r="M12" s="4">
        <v>5545000</v>
      </c>
      <c r="N12" s="4">
        <v>6030000</v>
      </c>
      <c r="O12" s="4">
        <v>5970000</v>
      </c>
      <c r="P12" s="4">
        <v>5060000</v>
      </c>
      <c r="Q12" s="4">
        <v>67795000</v>
      </c>
    </row>
    <row r="13" spans="1:17">
      <c r="A13" t="s">
        <v>35</v>
      </c>
      <c r="B13" t="s">
        <v>36</v>
      </c>
      <c r="C13" t="s">
        <v>213</v>
      </c>
      <c r="D13" t="s">
        <v>175</v>
      </c>
      <c r="E13" s="4">
        <v>4355000</v>
      </c>
      <c r="F13" s="4">
        <v>3965000</v>
      </c>
      <c r="G13" s="4">
        <v>4020000</v>
      </c>
      <c r="H13" s="4">
        <v>4194000</v>
      </c>
      <c r="I13" s="4">
        <v>3910000</v>
      </c>
      <c r="J13" s="4">
        <v>3244000</v>
      </c>
      <c r="K13" s="4">
        <v>4037000</v>
      </c>
      <c r="L13" s="4">
        <v>4173000</v>
      </c>
      <c r="M13" s="4">
        <v>3649000</v>
      </c>
      <c r="N13" s="4">
        <v>4135000</v>
      </c>
      <c r="O13" s="4">
        <v>3425000</v>
      </c>
      <c r="P13" s="4">
        <v>4263000</v>
      </c>
      <c r="Q13" s="4">
        <v>47370000</v>
      </c>
    </row>
    <row r="14" spans="1:17">
      <c r="A14" t="s">
        <v>38</v>
      </c>
      <c r="B14" t="s">
        <v>39</v>
      </c>
      <c r="C14" t="s">
        <v>208</v>
      </c>
      <c r="D14" t="s">
        <v>175</v>
      </c>
      <c r="E14" s="4">
        <v>11374000</v>
      </c>
      <c r="F14" s="4">
        <v>13394000</v>
      </c>
      <c r="G14" s="4">
        <v>12635000</v>
      </c>
      <c r="H14" s="4">
        <v>14432000</v>
      </c>
      <c r="I14" s="4">
        <v>13174000</v>
      </c>
      <c r="J14" s="4">
        <v>14997000</v>
      </c>
      <c r="K14" s="4">
        <v>12655000</v>
      </c>
      <c r="L14" s="4">
        <v>13143000</v>
      </c>
      <c r="M14" s="4">
        <v>12520000</v>
      </c>
      <c r="N14" s="4">
        <v>13189000</v>
      </c>
      <c r="O14" s="4">
        <v>11733000</v>
      </c>
      <c r="P14" s="4">
        <v>15129000</v>
      </c>
      <c r="Q14" s="4">
        <v>158375000</v>
      </c>
    </row>
    <row r="15" spans="1:17">
      <c r="A15" t="s">
        <v>38</v>
      </c>
      <c r="B15" t="s">
        <v>39</v>
      </c>
      <c r="C15" t="s">
        <v>209</v>
      </c>
      <c r="D15" t="s">
        <v>175</v>
      </c>
      <c r="E15" s="4">
        <v>5566000</v>
      </c>
      <c r="F15" s="4">
        <v>6892000</v>
      </c>
      <c r="G15" s="4">
        <v>6576000</v>
      </c>
      <c r="H15" s="4">
        <v>6615000</v>
      </c>
      <c r="I15" s="4">
        <v>5708000</v>
      </c>
      <c r="J15" s="4">
        <v>6692000</v>
      </c>
      <c r="K15" s="4">
        <v>5858000</v>
      </c>
      <c r="L15" s="4">
        <v>7038000</v>
      </c>
      <c r="M15" s="4">
        <v>5306000</v>
      </c>
      <c r="N15" s="4">
        <v>5306000</v>
      </c>
      <c r="O15" s="4">
        <v>6152000</v>
      </c>
      <c r="P15" s="4">
        <v>5725000</v>
      </c>
      <c r="Q15" s="4">
        <v>73434000</v>
      </c>
    </row>
    <row r="16" spans="1:17">
      <c r="A16" t="s">
        <v>38</v>
      </c>
      <c r="B16" t="s">
        <v>39</v>
      </c>
      <c r="C16" t="s">
        <v>210</v>
      </c>
      <c r="D16" t="s">
        <v>175</v>
      </c>
      <c r="E16" s="4">
        <v>7142000</v>
      </c>
      <c r="F16" s="4">
        <v>9081000</v>
      </c>
      <c r="G16" s="4">
        <v>9021000</v>
      </c>
      <c r="H16" s="4">
        <v>8583000</v>
      </c>
      <c r="I16" s="4">
        <v>8804000</v>
      </c>
      <c r="J16" s="4">
        <v>9058000</v>
      </c>
      <c r="K16" s="4">
        <v>8982000</v>
      </c>
      <c r="L16" s="4">
        <v>7738000</v>
      </c>
      <c r="M16" s="4">
        <v>8657000</v>
      </c>
      <c r="N16" s="4">
        <v>8345000</v>
      </c>
      <c r="O16" s="4">
        <v>8797000</v>
      </c>
      <c r="P16" s="4">
        <v>8004000</v>
      </c>
      <c r="Q16" s="4">
        <v>102212000</v>
      </c>
    </row>
    <row r="17" spans="1:17">
      <c r="A17" t="s">
        <v>38</v>
      </c>
      <c r="B17" t="s">
        <v>39</v>
      </c>
      <c r="C17" t="s">
        <v>211</v>
      </c>
      <c r="D17" t="s">
        <v>175</v>
      </c>
      <c r="E17" s="4">
        <v>40310000</v>
      </c>
      <c r="F17" s="4">
        <v>45983000</v>
      </c>
      <c r="G17" s="4">
        <v>42376000</v>
      </c>
      <c r="H17" s="4">
        <v>45451000</v>
      </c>
      <c r="I17" s="4">
        <v>44543000</v>
      </c>
      <c r="J17" s="4">
        <v>47393000</v>
      </c>
      <c r="K17" s="4">
        <v>49577000</v>
      </c>
      <c r="L17" s="4">
        <v>49776000</v>
      </c>
      <c r="M17" s="4">
        <v>45853000</v>
      </c>
      <c r="N17" s="4">
        <v>50348000</v>
      </c>
      <c r="O17" s="4">
        <v>53594000</v>
      </c>
      <c r="P17" s="4">
        <v>50079000</v>
      </c>
      <c r="Q17" s="4">
        <v>565283000</v>
      </c>
    </row>
    <row r="18" spans="1:17">
      <c r="A18" t="s">
        <v>38</v>
      </c>
      <c r="B18" t="s">
        <v>39</v>
      </c>
      <c r="C18" t="s">
        <v>212</v>
      </c>
      <c r="D18" t="s">
        <v>175</v>
      </c>
      <c r="E18" s="4">
        <v>4606000</v>
      </c>
      <c r="F18" s="4">
        <v>4715000</v>
      </c>
      <c r="G18" s="4">
        <v>4780000</v>
      </c>
      <c r="H18" s="4">
        <v>4090000</v>
      </c>
      <c r="I18" s="4">
        <v>5103000</v>
      </c>
      <c r="J18" s="4">
        <v>4453000</v>
      </c>
      <c r="K18" s="4">
        <v>4201000</v>
      </c>
      <c r="L18" s="4">
        <v>4591000</v>
      </c>
      <c r="M18" s="4">
        <v>4804000</v>
      </c>
      <c r="N18" s="4">
        <v>3865000</v>
      </c>
      <c r="O18" s="4">
        <v>4372000</v>
      </c>
      <c r="P18" s="4">
        <v>4564000</v>
      </c>
      <c r="Q18" s="4">
        <v>54144000</v>
      </c>
    </row>
    <row r="19" spans="1:17">
      <c r="A19" t="s">
        <v>38</v>
      </c>
      <c r="B19" t="s">
        <v>39</v>
      </c>
      <c r="C19" t="s">
        <v>213</v>
      </c>
      <c r="D19" t="s">
        <v>175</v>
      </c>
      <c r="E19" s="4">
        <v>2738000</v>
      </c>
      <c r="F19" s="4">
        <v>2841000</v>
      </c>
      <c r="G19" s="4">
        <v>3472000</v>
      </c>
      <c r="H19" s="4">
        <v>2966000</v>
      </c>
      <c r="I19" s="4">
        <v>3506000</v>
      </c>
      <c r="J19" s="4">
        <v>3362000</v>
      </c>
      <c r="K19" s="4">
        <v>2930000</v>
      </c>
      <c r="L19" s="4">
        <v>2653000</v>
      </c>
      <c r="M19" s="4">
        <v>3420000</v>
      </c>
      <c r="N19" s="4">
        <v>3289000</v>
      </c>
      <c r="O19" s="4">
        <v>2772000</v>
      </c>
      <c r="P19" s="4">
        <v>3156000</v>
      </c>
      <c r="Q19" s="4">
        <v>37105000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tabSelected="1" workbookViewId="0">
      <selection activeCell="D13" sqref="D13"/>
    </sheetView>
  </sheetViews>
  <sheetFormatPr baseColWidth="10" defaultColWidth="8.83203125" defaultRowHeight="15"/>
  <cols>
    <col min="1" max="1" width="26" customWidth="1"/>
    <col min="2" max="2" width="4.6640625" customWidth="1"/>
    <col min="3" max="3" width="26.83203125" customWidth="1"/>
    <col min="4" max="14" width="11.1640625" customWidth="1"/>
    <col min="15" max="15" width="12.1640625" customWidth="1"/>
  </cols>
  <sheetData>
    <row r="1" spans="1:15" ht="32">
      <c r="A1" s="1" t="s">
        <v>203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</row>
    <row r="2" spans="1:15">
      <c r="A2" t="s">
        <v>214</v>
      </c>
      <c r="B2" t="s">
        <v>175</v>
      </c>
      <c r="C2" s="4">
        <f>SUMIF(Exportations!$E$2:$E$59,"Chiffre d'affaires MGA",Exportations!$G$2:$G$59)</f>
        <v>1533754588</v>
      </c>
      <c r="D2" s="4">
        <f>SUMIF(Exportations!$E$2:$E$59,"Chiffre d'affaires MGA",Exportations!$H$2:$H$59)</f>
        <v>1549077409</v>
      </c>
      <c r="E2" s="4">
        <f>SUMIF(Exportations!$E$2:$E$59,"Chiffre d'affaires MGA",Exportations!$I$2:$I$59)</f>
        <v>1482527871</v>
      </c>
      <c r="F2" s="4">
        <f>SUMIF(Exportations!$E$2:$E$59,"Chiffre d'affaires MGA",Exportations!$J$2:$J$59)</f>
        <v>1587906336</v>
      </c>
      <c r="G2" s="4">
        <f>SUMIF(Exportations!$E$2:$E$59,"Chiffre d'affaires MGA",Exportations!$K$2:$K$59)</f>
        <v>1622932326</v>
      </c>
      <c r="H2" s="4">
        <f>SUMIF(Exportations!$E$2:$E$59,"Chiffre d'affaires MGA",Exportations!$L$2:$L$59)</f>
        <v>1555849965</v>
      </c>
      <c r="I2" s="4">
        <f>SUMIF(Exportations!$E$2:$E$59,"Chiffre d'affaires MGA",Exportations!$M$2:$M$59)</f>
        <v>1598232252</v>
      </c>
      <c r="J2" s="4">
        <f>SUMIF(Exportations!$E$2:$E$59,"Chiffre d'affaires MGA",Exportations!$N$2:$N$59)</f>
        <v>1638366044</v>
      </c>
      <c r="K2" s="4">
        <f>SUMIF(Exportations!$E$2:$E$59,"Chiffre d'affaires MGA",Exportations!$O$2:$O$59)</f>
        <v>1594302506</v>
      </c>
      <c r="L2" s="4">
        <f>SUMIF(Exportations!$E$2:$E$59,"Chiffre d'affaires MGA",Exportations!$P$2:$P$59)</f>
        <v>1606333878</v>
      </c>
      <c r="M2" s="4">
        <f>SUMIF(Exportations!$E$2:$E$59,"Chiffre d'affaires MGA",Exportations!$Q$2:$Q$59)</f>
        <v>1627748925</v>
      </c>
      <c r="N2" s="4">
        <f>SUMIF(Exportations!$E$2:$E$59,"Chiffre d'affaires MGA",Exportations!$R$2:$R$59)</f>
        <v>1627325228</v>
      </c>
      <c r="O2" s="4">
        <f>SUM(C2:N2)</f>
        <v>19024357328</v>
      </c>
    </row>
    <row r="3" spans="1:15">
      <c r="A3" t="s">
        <v>215</v>
      </c>
      <c r="B3" t="s">
        <v>175</v>
      </c>
      <c r="C3" s="4">
        <f>SUM(Charges!$E$2:$E$14)</f>
        <v>508748000</v>
      </c>
      <c r="D3" s="4">
        <f>SUM(Charges!$F$2:$F$14)</f>
        <v>485086000</v>
      </c>
      <c r="E3" s="4">
        <f>SUM(Charges!$G$2:$G$14)</f>
        <v>523605000</v>
      </c>
      <c r="F3" s="4">
        <f>SUM(Charges!$H$2:$H$14)</f>
        <v>505131000</v>
      </c>
      <c r="G3" s="4">
        <f>SUM(Charges!$I$2:$I$14)</f>
        <v>496412000</v>
      </c>
      <c r="H3" s="4">
        <f>SUM(Charges!$J$2:$J$14)</f>
        <v>519437000</v>
      </c>
      <c r="I3" s="4">
        <f>SUM(Charges!$K$2:$K$14)</f>
        <v>490699000</v>
      </c>
      <c r="J3" s="4">
        <f>SUM(Charges!$L$2:$L$14)</f>
        <v>528450000</v>
      </c>
      <c r="K3" s="4">
        <f>SUM(Charges!$M$2:$M$14)</f>
        <v>508086000</v>
      </c>
      <c r="L3" s="4">
        <f>SUM(Charges!$N$2:$N$14)</f>
        <v>503522000</v>
      </c>
      <c r="M3" s="4">
        <f>SUM(Charges!$O$2:$O$14)</f>
        <v>504244000</v>
      </c>
      <c r="N3" s="4">
        <f>SUM(Charges!$P$2:$P$14)</f>
        <v>517450000</v>
      </c>
      <c r="O3" s="4">
        <f>SUM(C3:N3)</f>
        <v>6090870000</v>
      </c>
    </row>
    <row r="4" spans="1:15">
      <c r="A4" t="s">
        <v>216</v>
      </c>
      <c r="B4" t="s">
        <v>175</v>
      </c>
      <c r="C4" s="4">
        <f>SUM('Frais Export'!$E$2:$E$19)</f>
        <v>276749000</v>
      </c>
      <c r="D4" s="4">
        <f>SUM('Frais Export'!$F$2:$F$19)</f>
        <v>258859000</v>
      </c>
      <c r="E4" s="4">
        <f>SUM('Frais Export'!$G$2:$G$19)</f>
        <v>275225000</v>
      </c>
      <c r="F4" s="4">
        <f>SUM('Frais Export'!$H$2:$H$19)</f>
        <v>272342000</v>
      </c>
      <c r="G4" s="4">
        <f>SUM('Frais Export'!$I$2:$I$19)</f>
        <v>272984000</v>
      </c>
      <c r="H4" s="4">
        <f>SUM('Frais Export'!$J$2:$J$19)</f>
        <v>283990000</v>
      </c>
      <c r="I4" s="4">
        <f>SUM('Frais Export'!$K$2:$K$19)</f>
        <v>264500000</v>
      </c>
      <c r="J4" s="4">
        <f>SUM('Frais Export'!$L$2:$L$19)</f>
        <v>284414000</v>
      </c>
      <c r="K4" s="4">
        <f>SUM('Frais Export'!$M$2:$M$19)</f>
        <v>265569000</v>
      </c>
      <c r="L4" s="4">
        <f>SUM('Frais Export'!$N$2:$N$19)</f>
        <v>273491000</v>
      </c>
      <c r="M4" s="4">
        <f>SUM('Frais Export'!$O$2:$O$19)</f>
        <v>269408000</v>
      </c>
      <c r="N4" s="4">
        <f>SUM('Frais Export'!$P$2:$P$19)</f>
        <v>280249000</v>
      </c>
      <c r="O4" s="4">
        <f>SUM(C4:N4)</f>
        <v>3277780000</v>
      </c>
    </row>
    <row r="5" spans="1:15">
      <c r="A5" t="s">
        <v>217</v>
      </c>
      <c r="B5" t="s">
        <v>175</v>
      </c>
      <c r="C5" s="4">
        <f>SUM(Employes!$I$2:$I$61)</f>
        <v>334646000</v>
      </c>
      <c r="D5" s="4">
        <f>SUM(Employes!$I$2:$I$61)</f>
        <v>334646000</v>
      </c>
      <c r="E5" s="4">
        <f>SUM(Employes!$I$2:$I$61)</f>
        <v>334646000</v>
      </c>
      <c r="F5" s="4">
        <f>SUM(Employes!$I$2:$I$61)</f>
        <v>334646000</v>
      </c>
      <c r="G5" s="4">
        <f>SUM(Employes!$I$2:$I$61)</f>
        <v>334646000</v>
      </c>
      <c r="H5" s="4">
        <f>SUM(Employes!$I$2:$I$61)</f>
        <v>334646000</v>
      </c>
      <c r="I5" s="4">
        <f>SUM(Employes!$I$2:$I$61)</f>
        <v>334646000</v>
      </c>
      <c r="J5" s="4">
        <f>SUM(Employes!$I$2:$I$61)</f>
        <v>334646000</v>
      </c>
      <c r="K5" s="4">
        <f>SUM(Employes!$I$2:$I$61)</f>
        <v>334646000</v>
      </c>
      <c r="L5" s="4">
        <f>SUM(Employes!$I$2:$I$61)</f>
        <v>334646000</v>
      </c>
      <c r="M5" s="4">
        <f>SUM(Employes!$I$2:$I$61)</f>
        <v>334646000</v>
      </c>
      <c r="N5" s="4">
        <f>SUM(Employes!$I$2:$I$61)</f>
        <v>334646000</v>
      </c>
      <c r="O5" s="4">
        <f>SUM(C5:N5)</f>
        <v>4015752000</v>
      </c>
    </row>
    <row r="6" spans="1:15">
      <c r="A6" t="s">
        <v>218</v>
      </c>
      <c r="B6" t="s">
        <v>175</v>
      </c>
      <c r="C6" s="4">
        <f t="shared" ref="C6:N6" si="0">C2-C3-C4-C5</f>
        <v>413611588</v>
      </c>
      <c r="D6" s="4">
        <f t="shared" si="0"/>
        <v>470486409</v>
      </c>
      <c r="E6" s="4">
        <f t="shared" si="0"/>
        <v>349051871</v>
      </c>
      <c r="F6" s="4">
        <f t="shared" si="0"/>
        <v>475787336</v>
      </c>
      <c r="G6" s="4">
        <f t="shared" si="0"/>
        <v>518890326</v>
      </c>
      <c r="H6" s="4">
        <f t="shared" si="0"/>
        <v>417776965</v>
      </c>
      <c r="I6" s="4">
        <f t="shared" si="0"/>
        <v>508387252</v>
      </c>
      <c r="J6" s="4">
        <f t="shared" si="0"/>
        <v>490856044</v>
      </c>
      <c r="K6" s="4">
        <f t="shared" si="0"/>
        <v>486001506</v>
      </c>
      <c r="L6" s="4">
        <f t="shared" si="0"/>
        <v>494674878</v>
      </c>
      <c r="M6" s="4">
        <f t="shared" si="0"/>
        <v>519450925</v>
      </c>
      <c r="N6" s="4">
        <f t="shared" si="0"/>
        <v>494980228</v>
      </c>
      <c r="O6" s="4">
        <f>SUM(C6:N6)</f>
        <v>5639955328</v>
      </c>
    </row>
    <row r="7" spans="1:15">
      <c r="A7" t="s">
        <v>219</v>
      </c>
      <c r="B7" t="s">
        <v>9</v>
      </c>
      <c r="C7" s="6">
        <f t="shared" ref="C7:O7" si="1">IFERROR(C6/C2,0)</f>
        <v>0.26967260032085394</v>
      </c>
      <c r="D7" s="6">
        <f t="shared" si="1"/>
        <v>0.30372039916566879</v>
      </c>
      <c r="E7" s="6">
        <f t="shared" si="1"/>
        <v>0.23544371598528957</v>
      </c>
      <c r="F7" s="6">
        <f t="shared" si="1"/>
        <v>0.29963186443258827</v>
      </c>
      <c r="G7" s="6">
        <f t="shared" si="1"/>
        <v>0.31972394516220881</v>
      </c>
      <c r="H7" s="6">
        <f t="shared" si="1"/>
        <v>0.26852008509702285</v>
      </c>
      <c r="I7" s="6">
        <f t="shared" si="1"/>
        <v>0.31809347569091606</v>
      </c>
      <c r="J7" s="6">
        <f t="shared" si="1"/>
        <v>0.29960096267717812</v>
      </c>
      <c r="K7" s="6">
        <f t="shared" si="1"/>
        <v>0.30483644363035328</v>
      </c>
      <c r="L7" s="6">
        <f t="shared" si="1"/>
        <v>0.30795271442317174</v>
      </c>
      <c r="M7" s="6">
        <f t="shared" si="1"/>
        <v>0.31912226573886388</v>
      </c>
      <c r="N7" s="6">
        <f t="shared" si="1"/>
        <v>0.30416798036636838</v>
      </c>
      <c r="O7" s="6">
        <f t="shared" si="1"/>
        <v>0.29645970325100696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2026-09-27T19:07:32Z</dcterms:modified>
</cp:coreProperties>
</file>