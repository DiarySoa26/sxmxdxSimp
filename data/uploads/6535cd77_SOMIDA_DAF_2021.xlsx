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92ace7f10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796172b2ffdb429e"/>
    <x:sheet xmlns:r="http://schemas.openxmlformats.org/officeDocument/2006/relationships" name="Employes" sheetId="2" r:id="Re9061b4c38b94fb6"/>
    <x:sheet xmlns:r="http://schemas.openxmlformats.org/officeDocument/2006/relationships" name="Production" sheetId="3" r:id="R3d035c06b32c473b"/>
    <x:sheet xmlns:r="http://schemas.openxmlformats.org/officeDocument/2006/relationships" name="Charges" sheetId="4" r:id="R281b4227037d41a0"/>
    <x:sheet xmlns:r="http://schemas.openxmlformats.org/officeDocument/2006/relationships" name="Exportations" sheetId="5" r:id="R0f1f80b8af1947f8"/>
    <x:sheet xmlns:r="http://schemas.openxmlformats.org/officeDocument/2006/relationships" name="Frais Export" sheetId="6" r:id="R9347b3dabe204198"/>
    <x:sheet xmlns:r="http://schemas.openxmlformats.org/officeDocument/2006/relationships" name="Synthese" sheetId="7" r:id="Ra584b8896c324323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<x:sst xmlns:x="http://schemas.openxmlformats.org/spreadsheetml/2006/main">
  <x:si>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</x:si>
  <x:si>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</x:si>
  <x:si>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</x:si>
  <x:si>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</x:si>
  <x:si>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</x:si>
  <x:si>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</x:si>
  <x:si>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</x:si>
  <x:si>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</x:si>
  <x:si>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</x:si>
  <x:si>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Paramètre annuel</x:t>
  </x:si>
  <x:si>
    <x:t xml:space="preserve">Taux USD/MGA</x:t>
  </x:si>
  <x:si>
    <x:t xml:space="preserve">MGA/USD</x:t>
  </x:si>
  <x:si>
    <x:t xml:space="preserve">Taux de change</x:t>
  </x:si>
  <x:si>
    <x:t xml:space="preserve">Taux JPY/MGA</x:t>
  </x:si>
  <x:si>
    <x:t xml:space="preserve">MGA/JPY</x:t>
  </x:si>
  <x:si>
    <x:t xml:space="preserve">Augmentation salariale</x:t>
  </x:si>
  <x:si>
    <x:t xml:space="preserve">Évolution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</x:si>
  <x:si>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</x:si>
  <x:si>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</x:si>
  <x:si>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</x:si>
  <x:si>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</x:si>
  <x:si>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</x:si>
  <x:si>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</x:si>
  <x:si>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</x:si>
  <x:si>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</x:si>
  <x:si>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</x:si>
  <x:si>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</x:si>
  <x:si>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</x:si>
  <x:si>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</x:si>
  <x:si>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</x:si>
  <x:si>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</x:si>
  <x:si>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</x:si>
  <x:si>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</x:si>
  <x:si>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Marché export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</x:si>
  <x:si>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</x:si>
  <x:si>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</x:si>
  <x:si>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</x:si>
  <x:si>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</x:si>
  <x:si>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REPRESENTANT CHINE</x:t>
  </x:si>
  <x:si>
    <x:t xml:space="preserve">Matricule</x:t>
  </x:si>
  <x:si>
    <x:t xml:space="preserve">Nom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</x:si>
  <x:si>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</x:si>
  <x:si>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</x:si>
  <x:si>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</x:si>
  <x:si>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</x:si>
  <x:si>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</x:si>
  <x:si>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</x:si>
  <x:si>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</x:si>
  <x:si>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</x:si>
  <x:si>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EMP-001</x:t>
  </x:si>
  <x:si>
    <x:t xml:space="preserve">RABE Hery</x:t>
  </x:si>
  <x:si>
    <x:t xml:space="preserve">Direction</x:t>
  </x:si>
  <x:si>
    <x:t xml:space="preserve">Directeur Général</x:t>
  </x:si>
  <x:si>
    <x:t xml:space="preserve">Actif</x:t>
  </x:si>
  <x:si>
    <x:t xml:space="preserve">EMP-002</x:t>
  </x:si>
  <x:si>
    <x:t xml:space="preserve">RAKOTO Miora</x:t>
  </x:si>
  <x:si>
    <x:t xml:space="preserve">DAF</x:t>
  </x:si>
  <x:si>
    <x:t xml:space="preserve">EMP-003</x:t>
  </x:si>
  <x:si>
    <x:t xml:space="preserve">ANDRIA Fanja</x:t>
  </x:si>
  <x:si>
    <x:t xml:space="preserve">Finance</x:t>
  </x:si>
  <x:si>
    <x:t xml:space="preserve">Chef comptable</x:t>
  </x:si>
  <x:si>
    <x:t xml:space="preserve">EMP-004</x:t>
  </x:si>
  <x:si>
    <x:t xml:space="preserve">RAZAFY Toky</x:t>
  </x:si>
  <x:si>
    <x:t xml:space="preserve">Comptable</x:t>
  </x:si>
  <x:si>
    <x:t xml:space="preserve">EMP-005</x:t>
  </x:si>
  <x:si>
    <x:t xml:space="preserve">RANDRIA Nirina</x:t>
  </x:si>
  <x:si>
    <x:t xml:space="preserve">Assistant comptable</x:t>
  </x:si>
  <x:si>
    <x:t xml:space="preserve">EMP-006</x:t>
  </x:si>
  <x:si>
    <x:t xml:space="preserve">RATSIM Lova</x:t>
  </x:si>
  <x:si>
    <x:t xml:space="preserve">RH</x:t>
  </x:si>
  <x:si>
    <x:t xml:space="preserve">Responsable RH</x:t>
  </x:si>
  <x:si>
    <x:t xml:space="preserve">EMP-007</x:t>
  </x:si>
  <x:si>
    <x:t xml:space="preserve">RAJAO Aina</x:t>
  </x:si>
  <x:si>
    <x:t xml:space="preserve">Commercial</x:t>
  </x:si>
  <x:si>
    <x:t xml:space="preserve">Responsable commercial export</x:t>
  </x:si>
  <x:si>
    <x:t xml:space="preserve">EMP-008</x:t>
  </x:si>
  <x:si>
    <x:t xml:space="preserve">RAMAN Tiana</x:t>
  </x:si>
  <x:si>
    <x:t xml:space="preserve">Agent export</x:t>
  </x:si>
  <x:si>
    <x:t xml:space="preserve">EMP-009</x:t>
  </x:si>
  <x:si>
    <x:t xml:space="preserve">RAKOTON Zo</x:t>
  </x:si>
  <x:si>
    <x:t xml:space="preserve">Responsable production</x:t>
  </x:si>
  <x:si>
    <x:t xml:space="preserve">EMP-010</x:t>
  </x:si>
  <x:si>
    <x:t xml:space="preserve">RAZAN Mamy</x:t>
  </x:si>
  <x:si>
    <x:t xml:space="preserve">Chef d'atelier</x:t>
  </x:si>
  <x:si>
    <x:t xml:space="preserve">EMP-011</x:t>
  </x:si>
  <x:si>
    <x:t xml:space="preserve">RABARY Lalaina</x:t>
  </x:si>
  <x:si>
    <x:t xml:space="preserve">Contrôleur qualité</x:t>
  </x:si>
  <x:si>
    <x:t xml:space="preserve">EMP-012</x:t>
  </x:si>
  <x:si>
    <x:t xml:space="preserve">RAKOTOMALALA Tahina</x:t>
  </x:si>
  <x:si>
    <x:t xml:space="preserve">TRANOMARO</x:t>
  </x:si>
  <x:si>
    <x:t xml:space="preserve">Opérateur traitement</x:t>
  </x:si>
  <x:si>
    <x:t xml:space="preserve">EMP-013</x:t>
  </x:si>
  <x:si>
    <x:t xml:space="preserve">ANDRIAMANANA Soa</x:t>
  </x:si>
  <x:si>
    <x:t xml:space="preserve">Coupeuse / trieuse</x:t>
  </x:si>
  <x:si>
    <x:t xml:space="preserve">EMP-014</x:t>
  </x:si>
  <x:si>
    <x:t xml:space="preserve">RAZAFINDRAKOTO Nomena</x:t>
  </x:si>
  <x:si>
    <x:t xml:space="preserve">AMBOASARY</x:t>
  </x:si>
  <x:si>
    <x:t xml:space="preserve">Logistique</x:t>
  </x:si>
  <x:si>
    <x:t xml:space="preserve">Responsable logistique</x:t>
  </x:si>
  <x:si>
    <x:t xml:space="preserve">EMP-015</x:t>
  </x:si>
  <x:si>
    <x:t xml:space="preserve">RANDRIAMBOLOLONA Finaritra</x:t>
  </x:si>
  <x:si>
    <x:t xml:space="preserve">Magasinier</x:t>
  </x:si>
  <x:si>
    <x:t xml:space="preserve">EMP-016</x:t>
  </x:si>
  <x:si>
    <x:t xml:space="preserve">RASOLO Harena</x:t>
  </x:si>
  <x:si>
    <x:t xml:space="preserve">Maintenance</x:t>
  </x:si>
  <x:si>
    <x:t xml:space="preserve">Technicien maintenance</x:t>
  </x:si>
  <x:si>
    <x:t xml:space="preserve">EMP-017</x:t>
  </x:si>
  <x:si>
    <x:t xml:space="preserve">RATSIMBAZAFY Faniry</x:t>
  </x:si>
  <x:si>
    <x:t xml:space="preserve">Sécurité</x:t>
  </x:si>
  <x:si>
    <x:t xml:space="preserve">Agent de sécurité</x:t>
  </x:si>
  <x:si>
    <x:t xml:space="preserve">EMP-018</x:t>
  </x:si>
  <x:si>
    <x:t xml:space="preserve">RAKOTONDRABE Tsiory</x:t>
  </x:si>
  <x:si>
    <x:t xml:space="preserve">Administration</x:t>
  </x:si>
  <x:si>
    <x:t xml:space="preserve">Assistant administratif</x:t>
  </x:si>
  <x:si>
    <x:t xml:space="preserve">EMP-019</x:t>
  </x:si>
  <x:si>
    <x:t xml:space="preserve">ANDRIANIRINA Mamy</x:t>
  </x:si>
  <x:si>
    <x:t xml:space="preserve">EMP-020</x:t>
  </x:si>
  <x:si>
    <x:t xml:space="preserve">RABENJA Felana</x:t>
  </x:si>
  <x:si>
    <x:t xml:space="preserve">EMP-021</x:t>
  </x:si>
  <x:si>
    <x:t xml:space="preserve">RAJAONARIVELO Faly</x:t>
  </x:si>
  <x:si>
    <x:t xml:space="preserve">EMP-022</x:t>
  </x:si>
  <x:si>
    <x:t xml:space="preserve">RANORO Haja</x:t>
  </x:si>
  <x:si>
    <x:t xml:space="preserve">EMP-023</x:t>
  </x:si>
  <x:si>
    <x:t xml:space="preserve">RAKOTOARISOA Tsanta</x:t>
  </x:si>
  <x:si>
    <x:t xml:space="preserve">EMP-024</x:t>
  </x:si>
  <x:si>
    <x:t xml:space="preserve">RASOANIRINA Lova</x:t>
  </x:si>
  <x:si>
    <x:t xml:space="preserve">EMP-025</x:t>
  </x:si>
  <x:si>
    <x:t xml:space="preserve">ANDRIAMAHENINA Onja</x:t>
  </x:si>
  <x:si>
    <x:t xml:space="preserve">EMP-026</x:t>
  </x:si>
  <x:si>
    <x:t xml:space="preserve">RAKOTOMANGA Fitia</x:t>
  </x:si>
  <x:si>
    <x:t xml:space="preserve">EMP-027</x:t>
  </x:si>
  <x:si>
    <x:t xml:space="preserve">RAKOTOVAO Tovo</x:t>
  </x:si>
  <x:si>
    <x:t xml:space="preserve">EMP-028</x:t>
  </x:si>
  <x:si>
    <x:t xml:space="preserve">RANDRIANASOLO Mendrika</x:t>
  </x:si>
  <x:si>
    <x:t xml:space="preserve">EMP-029</x:t>
  </x:si>
  <x:si>
    <x:t xml:space="preserve">RAVELO Aro</x:t>
  </x:si>
  <x:si>
    <x:t xml:space="preserve">EMP-030</x:t>
  </x:si>
  <x:si>
    <x:t xml:space="preserve">RAZAFIMAHATRATRA Vola</x:t>
  </x:si>
  <x:si>
    <x:t xml:space="preserve">EMP-031</x:t>
  </x:si>
  <x:si>
    <x:t xml:space="preserve">RAKOTOVOLOLONA Rado</x:t>
  </x:si>
  <x:si>
    <x:t xml:space="preserve">EMP-032</x:t>
  </x:si>
  <x:si>
    <x:t xml:space="preserve">RABEMANANJARA Hery</x:t>
  </x:si>
  <x:si>
    <x:t xml:space="preserve">EMP-033</x:t>
  </x:si>
  <x:si>
    <x:t xml:space="preserve">RAKOTOZAFY Mialy</x:t>
  </x:si>
  <x:si>
    <x:t xml:space="preserve">EMP-034</x:t>
  </x:si>
  <x:si>
    <x:t xml:space="preserve">RAZAFINDRAKOTOA Ando</x:t>
  </x:si>
  <x:si>
    <x:t xml:space="preserve">EMP-035</x:t>
  </x:si>
  <x:si>
    <x:t xml:space="preserve">RANAIVO Nantenaina</x:t>
  </x:si>
  <x:si>
    <x:t xml:space="preserve">EMP-036</x:t>
  </x:si>
  <x:si>
    <x:t xml:space="preserve">RABEHARISOA Nirina</x:t>
  </x:si>
  <x:si>
    <x:t xml:space="preserve">EMP-037</x:t>
  </x:si>
  <x:si>
    <x:t xml:space="preserve">RAKOTOMIARANA Toky</x:t>
  </x:si>
  <x:si>
    <x:t xml:space="preserve">EMP-038</x:t>
  </x:si>
  <x:si>
    <x:t xml:space="preserve">ANDRIATSIMBA Tiana</x:t>
  </x:si>
  <x:si>
    <x:t xml:space="preserve">EMP-039</x:t>
  </x:si>
  <x:si>
    <x:t xml:space="preserve">RASOAMALALA Sitraka</x:t>
  </x:si>
  <x:si>
    <x:t xml:space="preserve">EMP-040</x:t>
  </x:si>
  <x:si>
    <x:t xml:space="preserve">RAZAFINDRABE Aina</x:t>
  </x:si>
  <x:si>
    <x:t xml:space="preserve">EMP-041</x:t>
  </x:si>
  <x:si>
    <x:t xml:space="preserve">RATSIMANDRESY Fanja</x:t>
  </x:si>
  <x:si>
    <x:t xml:space="preserve">EMP-042</x:t>
  </x:si>
  <x:si>
    <x:t xml:space="preserve">RAKOTONIRINA Miora</x:t>
  </x:si>
  <x:si>
    <x:t xml:space="preserve">EMP-043</x:t>
  </x:si>
  <x:si>
    <x:t xml:space="preserve">RANDRIAMIHAMINA Hasina</x:t>
  </x:si>
  <x:si>
    <x:t xml:space="preserve">EMP-044</x:t>
  </x:si>
  <x:si>
    <x:t xml:space="preserve">RABEZAFY Feno</x:t>
  </x:si>
  <x:si>
    <x:t xml:space="preserve">EMP-045</x:t>
  </x:si>
  <x:si>
    <x:t xml:space="preserve">RANOMENJANAHARY Kanto</x:t>
  </x:si>
  <x:si>
    <x:t xml:space="preserve">EMP-046</x:t>
  </x:si>
  <x:si>
    <x:t xml:space="preserve">RAKOTONIAINA Mamy</x:t>
  </x:si>
  <x:si>
    <x:t xml:space="preserve">EMP-047</x:t>
  </x:si>
  <x:si>
    <x:t xml:space="preserve">RASOARIMALALA Tafita</x:t>
  </x:si>
  <x:si>
    <x:t xml:space="preserve">EMP-048</x:t>
  </x:si>
  <x:si>
    <x:t xml:space="preserve">ANDRIANJAFY Rija</x:t>
  </x:si>
  <x:si>
    <x:t xml:space="preserve">EMP-049</x:t>
  </x:si>
  <x:si>
    <x:t xml:space="preserve">RAKOTOMAHERY Vero</x:t>
  </x:si>
  <x:si>
    <x:t xml:space="preserve">EMP-050</x:t>
  </x:si>
  <x:si>
    <x:t xml:space="preserve">RAKOTONDRAJAO Lanto</x:t>
  </x:si>
  <x:si>
    <x:t xml:space="preserve">EMP-051</x:t>
  </x:si>
  <x:si>
    <x:t xml:space="preserve">RANDRIANANTENAINA Rindra</x:t>
  </x:si>
  <x:si>
    <x:t xml:space="preserve">EMP-052</x:t>
  </x:si>
  <x:si>
    <x:t xml:space="preserve">RAVAOARISOA Miary</x:t>
  </x:si>
  <x:si>
    <x:t xml:space="preserve">EMP-053</x:t>
  </x:si>
  <x:si>
    <x:t xml:space="preserve">RAZAFIMANANTSOA Solo</x:t>
  </x:si>
  <x:si>
    <x:t xml:space="preserve">EMP-054</x:t>
  </x:si>
  <x:si>
    <x:t xml:space="preserve">RAKOTONANAHARY Noro</x:t>
  </x:si>
  <x:si>
    <x:t xml:space="preserve">EMP-055</x:t>
  </x:si>
  <x:si>
    <x:t xml:space="preserve">RABEFENO Rina</x:t>
  </x:si>
  <x:si>
    <x:t xml:space="preserve">EMP-056</x:t>
  </x:si>
  <x:si>
    <x:t xml:space="preserve">RAKOTOMANANA Tina</x:t>
  </x:si>
  <x:si>
    <x:t xml:space="preserve">EMP-057</x:t>
  </x:si>
  <x:si>
    <x:t xml:space="preserve">RAKOTONANTENAINA Zo</x:t>
  </x:si>
  <x:si>
    <x:t xml:space="preserve">EMP-058</x:t>
  </x:si>
  <x:si>
    <x:t xml:space="preserve">RANDRIATSARA Rado</x:t>
  </x:si>
  <x:si>
    <x:t xml:space="preserve">EMP-059</x:t>
  </x:si>
  <x:si>
    <x:t xml:space="preserve">RASOLOFONIAINA Fetra</x:t>
  </x:si>
  <x:si>
    <x:t xml:space="preserve">EMP-060</x:t>
  </x:si>
  <x:si>
    <x:t xml:space="preserve">RAKOTOVONINA Rova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</x:si>
  <x:si>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</x:si>
  <x:si>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</x:si>
  <x:si>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</x:si>
  <x:si>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</x:si>
  <x:si>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</x:si>
  <x:si>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</x:si>
  <x:si>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</x:si>
  <x:si>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</x:si>
  <x:si>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</x:si>
  <x:si>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</x:si>
  <x:si>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</x:si>
  <x:si>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</x:si>
  <x:si>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</x:si>
  <x:si>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</x:si>
  <x:si>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</x:si>
  <x:si>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</x:si>
  <x:si>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</x:si>
  <x:si>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</x:si>
  <x:si>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</x:si>
  <x:si>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</x:si>
  <x:si>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</x:si>
  <x:si>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Catégorie</x:t>
  </x:si>
  <x:si>
    <x:t xml:space="preserve">Nature</x:t>
  </x:si>
  <x:si>
    <x:t xml:space="preserve">PRODUCTION</x:t>
  </x:si>
  <x:si>
    <x:t xml:space="preserve">Matières et consommables</x:t>
  </x:si>
  <x:si>
    <x:t xml:space="preserve">MGA</x:t>
  </x:si>
  <x:si>
    <x:t xml:space="preserve">Énergie / électricité</x:t>
  </x:si>
  <x:si>
    <x:t xml:space="preserve">Traitement mica</x:t>
  </x:si>
  <x:si>
    <x:t xml:space="preserve">Maintenance équipements</x:t>
  </x:si>
  <x:si>
    <x:t xml:space="preserve">Emballages</x:t>
  </x:si>
  <x:si>
    <x:t xml:space="preserve">ADMINISTRATION</x:t>
  </x:si>
  <x:si>
    <x:t xml:space="preserve">Salaires administratifs</x:t>
  </x:si>
  <x:si>
    <x:t xml:space="preserve">Télécommunications / Internet</x:t>
  </x:si>
  <x:si>
    <x:t xml:space="preserve">Assurances</x:t>
  </x:si>
  <x:si>
    <x:t xml:space="preserve">Honoraires et conseil</x:t>
  </x:si>
  <x:si>
    <x:t xml:space="preserve">LOGISTIQUE</x:t>
  </x:si>
  <x:si>
    <x:t xml:space="preserve">Transport interne</x:t>
  </x:si>
  <x:si>
    <x:t xml:space="preserve">Magasinage / manutention</x:t>
  </x:si>
  <x:si>
    <x:t xml:space="preserve">FISCAL</x:t>
  </x:si>
  <x:si>
    <x:t xml:space="preserve">Impôts et taxes</x:t>
  </x:si>
  <x:si>
    <x:t xml:space="preserve">FINANCE</x:t>
  </x:si>
  <x:si>
    <x:t xml:space="preserve">Frais bancaires</x:t>
  </x:si>
  <x:si>
    <x:t xml:space="preserve">SECURITE</x:t>
  </x:si>
  <x:si>
    <x:t xml:space="preserve">Gardiennage / sécurité</x:t>
  </x:si>
  <x:si>
    <x:t xml:space="preserve">SOMIDA — TABLEAU DE BORD DES EXPORTATIONS 2021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</x:si>
  <x:si>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</x:si>
  <x:si>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</x:si>
  <x:si>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</x:si>
  <x:si>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</x:si>
  <x:si>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</x:si>
  <x:si>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</x:si>
  <x:si>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</x:si>
  <x:si>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</x:si>
  <x:si>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</x:si>
  <x:si>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</x:si>
  <x:si>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</x:si>
  <x:si>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</x:si>
  <x:si>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</x:si>
  <x:si>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</x:si>
  <x:si>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</x:si>
  <x:si>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</x:si>
  <x:si>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</x:si>
  <x:si>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</x:si>
  <x:si>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</x:si>
  <x:si>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</x:si>
  <x:si>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</x:si>
  <x:si>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</x:si>
  <x:si>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</x:si>
  <x:si>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</x:si>
  <x:si>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</x:si>
  <x:si>
    <x:t xml:space="preserve">Résultat opérationnel</x:t>
  </x:si>
  <x:si>
    <x:t xml:space="preserve">Marge opérationnelle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</x:si>
</x:sst>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165" fontId="11" fillId="11" borderId="0" xfId="0" applyNumberFormat="1" applyFont="1" applyFill="1"/>
    <x:xf numFmtId="0" fontId="1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25455cf7347c9" /><Relationship Type="http://schemas.openxmlformats.org/officeDocument/2006/relationships/theme" Target="/xl/theme/theme1.xml" Id="R9ee2618ad5bd4960" /><Relationship Type="http://schemas.openxmlformats.org/officeDocument/2006/relationships/sharedStrings" Target="/xl/sharedStrings.xml" Id="R4eef4afbd5964a76" /><Relationship Type="http://schemas.openxmlformats.org/officeDocument/2006/relationships/worksheet" Target="/xl/worksheets/sheet1.xml" Id="R796172b2ffdb429e" /><Relationship Type="http://schemas.openxmlformats.org/officeDocument/2006/relationships/worksheet" Target="/xl/worksheets/sheet2.xml" Id="Re9061b4c38b94fb6" /><Relationship Type="http://schemas.openxmlformats.org/officeDocument/2006/relationships/worksheet" Target="/xl/worksheets/sheet3.xml" Id="R3d035c06b32c473b" /><Relationship Type="http://schemas.openxmlformats.org/officeDocument/2006/relationships/worksheet" Target="/xl/worksheets/sheet4.xml" Id="R281b4227037d41a0" /><Relationship Type="http://schemas.openxmlformats.org/officeDocument/2006/relationships/worksheet" Target="/xl/worksheets/sheet5.xml" Id="R0f1f80b8af1947f8" /><Relationship Type="http://schemas.openxmlformats.org/officeDocument/2006/relationships/worksheet" Target="/xl/worksheets/sheet6.xml" Id="R9347b3dabe204198" /><Relationship Type="http://schemas.openxmlformats.org/officeDocument/2006/relationships/worksheet" Target="/xl/worksheets/sheet7.xml" Id="Ra584b8896c32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>
      <x:c r="A1" s="34" t="s">
        <x:v>0</x:v>
      </x:c>
      <x:c r="B1" s="34"/>
      <x:c r="C1" s="34"/>
      <x:c r="D1" s="34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>
        <x:v>2021</x:v>
      </x:c>
      <x:c r="C3" t="s">
        <x:v>6</x:v>
      </x:c>
      <x:c r="D3" t="s">
        <x:v>5</x:v>
      </x:c>
    </x:row>
    <x:row r="4">
      <x:c r="A4" t="s">
        <x:v>7</x:v>
      </x:c>
      <x:c r="B4" s="3">
        <x:v>5.8000000000000003E-2</x:v>
      </x:c>
      <x:c r="C4" t="s">
        <x:v>8</x:v>
      </x:c>
      <x:c r="D4" t="s">
        <x:v>9</x:v>
      </x:c>
    </x:row>
    <x:row r="5">
      <x:c r="A5" t="s">
        <x:v>10</x:v>
      </x:c>
      <x:c r="B5" s="2">
        <x:v>3990</x:v>
      </x:c>
      <x:c r="C5" t="s">
        <x:v>11</x:v>
      </x:c>
      <x:c r="D5" t="s">
        <x:v>12</x:v>
      </x:c>
    </x:row>
    <x:row r="6">
      <x:c r="A6" t="s">
        <x:v>13</x:v>
      </x:c>
      <x:c r="B6" s="2">
        <x:v>36.4</x:v>
      </x:c>
      <x:c r="C6" t="s">
        <x:v>14</x:v>
      </x:c>
      <x:c r="D6" t="s">
        <x:v>12</x:v>
      </x:c>
    </x:row>
    <x:row r="7">
      <x:c r="A7" t="s">
        <x:v>15</x:v>
      </x:c>
      <x:c r="B7" s="3">
        <x:v>0.05</x:v>
      </x:c>
      <x:c r="C7" t="s">
        <x:v>8</x:v>
      </x:c>
      <x:c r="D7" t="s">
        <x:v>16</x:v>
      </x:c>
    </x:row>
    <x:row r="8">
      <x:c r="A8" t="s">
        <x:v>17</x:v>
      </x:c>
      <x:c r="B8" s="3">
        <x:v>0.2</x:v>
      </x:c>
      <x:c r="C8" t="s">
        <x:v>8</x:v>
      </x:c>
      <x:c r="D8" t="s">
        <x:v>18</x:v>
      </x:c>
    </x:row>
    <x:row r="9">
      <x:c r="A9" t="s">
        <x:v>19</x:v>
      </x:c>
      <x:c r="B9" t="s">
        <x:v>20</x:v>
      </x:c>
      <x:c r="D9" t="s">
        <x:v>21</x:v>
      </x:c>
    </x:row>
    <x:row r="10">
      <x:c r="A10" t="s">
        <x:v>22</x:v>
      </x:c>
      <x:c r="B10" t="s">
        <x:v>23</x:v>
      </x:c>
      <x:c r="D10" t="s">
        <x:v>24</x:v>
      </x:c>
    </x:row>
    <x:row r="12" ht="16">
      <x:c r="A12" s="1" t="s">
        <x:v>25</x:v>
      </x:c>
      <x:c r="B12" s="1"/>
      <x:c r="C12" s="1"/>
      <x:c r="D12" s="1"/>
    </x:row>
    <x:row r="13" ht="16">
      <x:c r="A13" s="1" t="s">
        <x:v>26</x:v>
      </x:c>
      <x:c r="B13" s="1" t="s">
        <x:v>27</x:v>
      </x:c>
      <x:c r="C13" s="1" t="s">
        <x:v>28</x:v>
      </x:c>
      <x:c r="D13" s="1" t="s">
        <x:v>29</x:v>
      </x:c>
    </x:row>
    <x:row r="14">
      <x:c r="A14" t="s">
        <x:v>30</x:v>
      </x:c>
      <x:c r="B14" t="s">
        <x:v>31</x:v>
      </x:c>
      <x:c r="C14" t="s">
        <x:v>32</x:v>
      </x:c>
      <x:c r="D14" t="s">
        <x:v>33</x:v>
      </x:c>
    </x:row>
    <x:row r="15">
      <x:c r="A15" t="s">
        <x:v>34</x:v>
      </x:c>
      <x:c r="B15" t="s">
        <x:v>35</x:v>
      </x:c>
      <x:c r="C15" t="s">
        <x:v>36</x:v>
      </x:c>
      <x:c r="D15" t="s">
        <x:v>33</x:v>
      </x:c>
    </x:row>
    <x:row r="16">
      <x:c r="A16" t="s">
        <x:v>37</x:v>
      </x:c>
      <x:c r="B16" t="s">
        <x:v>38</x:v>
      </x:c>
      <x:c r="C16" t="s">
        <x:v>36</x:v>
      </x:c>
      <x:c r="D16" t="s">
        <x:v>33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</x:row>
    <x:row r="2">
      <x:c r="A2" t="s">
        <x:v>49</x:v>
      </x:c>
      <x:c r="B2" t="s">
        <x:v>50</x:v>
      </x:c>
      <x:c r="C2" t="s">
        <x:v>20</x:v>
      </x:c>
      <x:c r="D2" t="s">
        <x:v>51</x:v>
      </x:c>
      <x:c r="E2" t="s">
        <x:v>52</x:v>
      </x:c>
      <x:c r="F2" s="4">
        <x:v>11320400</x:v>
      </x:c>
      <x:c r="G2" s="4">
        <x:v>1132040</x:v>
      </x:c>
      <x:c r="H2" s="4">
        <x:v>2037490</x:v>
      </x:c>
      <x:c r="I2" s="4" t="n">
        <x:f t="shared" ref="I2:I33" si="0">SUM(F2:H2)</x:f>
        <x:v>14489930</x:v>
      </x:c>
      <x:c r="J2" t="s">
        <x:v>53</x:v>
      </x:c>
    </x:row>
    <x:row r="3">
      <x:c r="A3" t="s">
        <x:v>54</x:v>
      </x:c>
      <x:c r="B3" t="s">
        <x:v>55</x:v>
      </x:c>
      <x:c r="C3" t="s">
        <x:v>23</x:v>
      </x:c>
      <x:c r="D3" t="s">
        <x:v>51</x:v>
      </x:c>
      <x:c r="E3" t="s">
        <x:v>56</x:v>
      </x:c>
      <x:c r="F3" s="4">
        <x:v>8481200</x:v>
      </x:c>
      <x:c r="G3" s="4">
        <x:v>848120</x:v>
      </x:c>
      <x:c r="H3" s="4">
        <x:v>1526980</x:v>
      </x:c>
      <x:c r="I3" s="4">
        <x:f t="shared" si="0"/>
        <x:v>10856300</x:v>
      </x:c>
      <x:c r="J3" t="s">
        <x:v>53</x:v>
      </x:c>
    </x:row>
    <x:row r="4">
      <x:c r="A4" t="s">
        <x:v>57</x:v>
      </x:c>
      <x:c r="B4" t="s">
        <x:v>58</x:v>
      </x:c>
      <x:c r="C4" t="s">
        <x:v>20</x:v>
      </x:c>
      <x:c r="D4" t="s">
        <x:v>59</x:v>
      </x:c>
      <x:c r="E4" t="s">
        <x:v>60</x:v>
      </x:c>
      <x:c r="F4" s="4">
        <x:v>4832100</x:v>
      </x:c>
      <x:c r="G4" s="4">
        <x:v>579670</x:v>
      </x:c>
      <x:c r="H4" s="4">
        <x:v>869960</x:v>
      </x:c>
      <x:c r="I4" s="4">
        <x:f t="shared" si="0"/>
        <x:v>6281730</x:v>
      </x:c>
      <x:c r="J4" t="s">
        <x:v>53</x:v>
      </x:c>
    </x:row>
    <x:row r="5">
      <x:c r="A5" t="s">
        <x:v>61</x:v>
      </x:c>
      <x:c r="B5" t="s">
        <x:v>62</x:v>
      </x:c>
      <x:c r="C5" t="s">
        <x:v>20</x:v>
      </x:c>
      <x:c r="D5" t="s">
        <x:v>59</x:v>
      </x:c>
      <x:c r="E5" t="s">
        <x:v>63</x:v>
      </x:c>
      <x:c r="F5" s="4">
        <x:v>3103100</x:v>
      </x:c>
      <x:c r="G5" s="4">
        <x:v>248430</x:v>
      </x:c>
      <x:c r="H5" s="4">
        <x:v>558740</x:v>
      </x:c>
      <x:c r="I5" s="4">
        <x:f t="shared" si="0"/>
        <x:v>3910270</x:v>
      </x:c>
      <x:c r="J5" t="s">
        <x:v>53</x:v>
      </x:c>
    </x:row>
    <x:row r="6">
      <x:c r="A6" t="s">
        <x:v>64</x:v>
      </x:c>
      <x:c r="B6" t="s">
        <x:v>65</x:v>
      </x:c>
      <x:c r="C6" t="s">
        <x:v>23</x:v>
      </x:c>
      <x:c r="D6" t="s">
        <x:v>59</x:v>
      </x:c>
      <x:c r="E6" t="s">
        <x:v>66</x:v>
      </x:c>
      <x:c r="F6" s="4">
        <x:v>2065700</x:v>
      </x:c>
      <x:c r="G6" s="4">
        <x:v>103740</x:v>
      </x:c>
      <x:c r="H6" s="4">
        <x:v>372190</x:v>
      </x:c>
      <x:c r="I6" s="4">
        <x:f t="shared" si="0"/>
        <x:v>2541630</x:v>
      </x:c>
      <x:c r="J6" t="s">
        <x:v>53</x:v>
      </x:c>
    </x:row>
    <x:row r="7">
      <x:c r="A7" t="s">
        <x:v>67</x:v>
      </x:c>
      <x:c r="B7" t="s">
        <x:v>68</x:v>
      </x:c>
      <x:c r="C7" t="s">
        <x:v>23</x:v>
      </x:c>
      <x:c r="D7" t="s">
        <x:v>69</x:v>
      </x:c>
      <x:c r="E7" t="s">
        <x:v>70</x:v>
      </x:c>
      <x:c r="F7" s="4">
        <x:v>4322500</x:v>
      </x:c>
      <x:c r="G7" s="4">
        <x:v>345800</x:v>
      </x:c>
      <x:c r="H7" s="4">
        <x:v>778050</x:v>
      </x:c>
      <x:c r="I7" s="4">
        <x:f t="shared" si="0"/>
        <x:v>5446350</x:v>
      </x:c>
      <x:c r="J7" t="s">
        <x:v>53</x:v>
      </x:c>
    </x:row>
    <x:row r="8">
      <x:c r="A8" t="s">
        <x:v>71</x:v>
      </x:c>
      <x:c r="B8" t="s">
        <x:v>72</x:v>
      </x:c>
      <x:c r="C8" t="s">
        <x:v>23</x:v>
      </x:c>
      <x:c r="D8" t="s">
        <x:v>73</x:v>
      </x:c>
      <x:c r="E8" t="s">
        <x:v>74</x:v>
      </x:c>
      <x:c r="F8" s="4">
        <x:v>4904900</x:v>
      </x:c>
      <x:c r="G8" s="4">
        <x:v>392210</x:v>
      </x:c>
      <x:c r="H8" s="4">
        <x:v>882700</x:v>
      </x:c>
      <x:c r="I8" s="4">
        <x:f t="shared" si="0"/>
        <x:v>6179810</x:v>
      </x:c>
      <x:c r="J8" t="s">
        <x:v>53</x:v>
      </x:c>
    </x:row>
    <x:row r="9">
      <x:c r="A9" t="s">
        <x:v>75</x:v>
      </x:c>
      <x:c r="B9" t="s">
        <x:v>76</x:v>
      </x:c>
      <x:c r="C9" t="s">
        <x:v>23</x:v>
      </x:c>
      <x:c r="D9" t="s">
        <x:v>73</x:v>
      </x:c>
      <x:c r="E9" t="s">
        <x:v>77</x:v>
      </x:c>
      <x:c r="F9" s="4">
        <x:v>2793700</x:v>
      </x:c>
      <x:c r="G9" s="4">
        <x:v>140140</x:v>
      </x:c>
      <x:c r="H9" s="4">
        <x:v>503230</x:v>
      </x:c>
      <x:c r="I9" s="4">
        <x:f t="shared" si="0"/>
        <x:v>3437070</x:v>
      </x:c>
      <x:c r="J9" t="s">
        <x:v>53</x:v>
      </x:c>
    </x:row>
    <x:row r="10">
      <x:c r="A10" t="s">
        <x:v>78</x:v>
      </x:c>
      <x:c r="B10" t="s">
        <x:v>79</x:v>
      </x:c>
      <x:c r="C10" t="s">
        <x:v>20</x:v>
      </x:c>
      <x:c r="D10" t="s">
        <x:v>24</x:v>
      </x:c>
      <x:c r="E10" t="s">
        <x:v>80</x:v>
      </x:c>
      <x:c r="F10" s="4">
        <x:v>4832100</x:v>
      </x:c>
      <x:c r="G10" s="4">
        <x:v>579670</x:v>
      </x:c>
      <x:c r="H10" s="4">
        <x:v>869960</x:v>
      </x:c>
      <x:c r="I10" s="4">
        <x:f t="shared" si="0"/>
        <x:v>6281730</x:v>
      </x:c>
      <x:c r="J10" t="s">
        <x:v>53</x:v>
      </x:c>
    </x:row>
    <x:row r="11">
      <x:c r="A11" t="s">
        <x:v>81</x:v>
      </x:c>
      <x:c r="B11" t="s">
        <x:v>82</x:v>
      </x:c>
      <x:c r="C11" t="s">
        <x:v>20</x:v>
      </x:c>
      <x:c r="D11" t="s">
        <x:v>24</x:v>
      </x:c>
      <x:c r="E11" t="s">
        <x:v>83</x:v>
      </x:c>
      <x:c r="F11" s="4">
        <x:v>3021200</x:v>
      </x:c>
      <x:c r="G11" s="4">
        <x:v>302120</x:v>
      </x:c>
      <x:c r="H11" s="4">
        <x:v>544180</x:v>
      </x:c>
      <x:c r="I11" s="4">
        <x:f t="shared" si="0"/>
        <x:v>3867500</x:v>
      </x:c>
      <x:c r="J11" t="s">
        <x:v>53</x:v>
      </x:c>
    </x:row>
    <x:row r="12">
      <x:c r="A12" t="s">
        <x:v>84</x:v>
      </x:c>
      <x:c r="B12" t="s">
        <x:v>85</x:v>
      </x:c>
      <x:c r="C12" t="s">
        <x:v>20</x:v>
      </x:c>
      <x:c r="D12" t="s">
        <x:v>24</x:v>
      </x:c>
      <x:c r="E12" t="s">
        <x:v>86</x:v>
      </x:c>
      <x:c r="F12" s="4">
        <x:v>2311400</x:v>
      </x:c>
      <x:c r="G12" s="4">
        <x:v>184730</x:v>
      </x:c>
      <x:c r="H12" s="4">
        <x:v>415870</x:v>
      </x:c>
      <x:c r="I12" s="4">
        <x:f t="shared" si="0"/>
        <x:v>2912000</x:v>
      </x:c>
      <x:c r="J12" t="s">
        <x:v>53</x:v>
      </x:c>
    </x:row>
    <x:row r="13">
      <x:c r="A13" t="s">
        <x:v>87</x:v>
      </x:c>
      <x:c r="B13" t="s">
        <x:v>88</x:v>
      </x:c>
      <x:c r="C13" t="s">
        <x:v>89</x:v>
      </x:c>
      <x:c r="D13" t="s">
        <x:v>24</x:v>
      </x:c>
      <x:c r="E13" t="s">
        <x:v>90</x:v>
      </x:c>
      <x:c r="F13" s="4">
        <x:v>1528800</x:v>
      </x:c>
      <x:c r="G13" s="4">
        <x:v>121940</x:v>
      </x:c>
      <x:c r="H13" s="4">
        <x:v>274820</x:v>
      </x:c>
      <x:c r="I13" s="4">
        <x:f t="shared" si="0"/>
        <x:v>1925560</x:v>
      </x:c>
      <x:c r="J13" t="s">
        <x:v>53</x:v>
      </x:c>
    </x:row>
    <x:row r="14">
      <x:c r="A14" t="s">
        <x:v>91</x:v>
      </x:c>
      <x:c r="B14" t="s">
        <x:v>92</x:v>
      </x:c>
      <x:c r="C14" t="s">
        <x:v>20</x:v>
      </x:c>
      <x:c r="D14" t="s">
        <x:v>24</x:v>
      </x:c>
      <x:c r="E14" t="s">
        <x:v>93</x:v>
      </x:c>
      <x:c r="F14" s="4">
        <x:v>1164800</x:v>
      </x:c>
      <x:c r="G14" s="4">
        <x:v>92820</x:v>
      </x:c>
      <x:c r="H14" s="4">
        <x:v>209300</x:v>
      </x:c>
      <x:c r="I14" s="4">
        <x:f t="shared" si="0"/>
        <x:v>1466920</x:v>
      </x:c>
      <x:c r="J14" t="s">
        <x:v>53</x:v>
      </x:c>
    </x:row>
    <x:row r="15">
      <x:c r="A15" t="s">
        <x:v>94</x:v>
      </x:c>
      <x:c r="B15" t="s">
        <x:v>95</x:v>
      </x:c>
      <x:c r="C15" t="s">
        <x:v>96</x:v>
      </x:c>
      <x:c r="D15" t="s">
        <x:v>97</x:v>
      </x:c>
      <x:c r="E15" t="s">
        <x:v>98</x:v>
      </x:c>
      <x:c r="F15" s="4">
        <x:v>3476200</x:v>
      </x:c>
      <x:c r="G15" s="4">
        <x:v>173810</x:v>
      </x:c>
      <x:c r="H15" s="4">
        <x:v>626080</x:v>
      </x:c>
      <x:c r="I15" s="4">
        <x:f t="shared" si="0"/>
        <x:v>4276090</x:v>
      </x:c>
      <x:c r="J15" t="s">
        <x:v>53</x:v>
      </x:c>
    </x:row>
    <x:row r="16">
      <x:c r="A16" t="s">
        <x:v>99</x:v>
      </x:c>
      <x:c r="B16" t="s">
        <x:v>100</x:v>
      </x:c>
      <x:c r="C16" t="s">
        <x:v>23</x:v>
      </x:c>
      <x:c r="D16" t="s">
        <x:v>97</x:v>
      </x:c>
      <x:c r="E16" t="s">
        <x:v>101</x:v>
      </x:c>
      <x:c r="F16" s="4">
        <x:v>1446900</x:v>
      </x:c>
      <x:c r="G16" s="4">
        <x:v>144690</x:v>
      </x:c>
      <x:c r="H16" s="4">
        <x:v>260260</x:v>
      </x:c>
      <x:c r="I16" s="4">
        <x:f t="shared" si="0"/>
        <x:v>1851850</x:v>
      </x:c>
      <x:c r="J16" t="s">
        <x:v>53</x:v>
      </x:c>
    </x:row>
    <x:row r="17">
      <x:c r="A17" t="s">
        <x:v>102</x:v>
      </x:c>
      <x:c r="B17" t="s">
        <x:v>103</x:v>
      </x:c>
      <x:c r="C17" t="s">
        <x:v>23</x:v>
      </x:c>
      <x:c r="D17" t="s">
        <x:v>104</x:v>
      </x:c>
      <x:c r="E17" t="s">
        <x:v>105</x:v>
      </x:c>
      <x:c r="F17" s="4">
        <x:v>2120300</x:v>
      </x:c>
      <x:c r="G17" s="4">
        <x:v>254800</x:v>
      </x:c>
      <x:c r="H17" s="4">
        <x:v>381290</x:v>
      </x:c>
      <x:c r="I17" s="4">
        <x:f t="shared" si="0"/>
        <x:v>2756390</x:v>
      </x:c>
      <x:c r="J17" t="s">
        <x:v>53</x:v>
      </x:c>
    </x:row>
    <x:row r="18">
      <x:c r="A18" t="s">
        <x:v>106</x:v>
      </x:c>
      <x:c r="B18" t="s">
        <x:v>107</x:v>
      </x:c>
      <x:c r="C18" t="s">
        <x:v>20</x:v>
      </x:c>
      <x:c r="D18" t="s">
        <x:v>108</x:v>
      </x:c>
      <x:c r="E18" t="s">
        <x:v>109</x:v>
      </x:c>
      <x:c r="F18" s="4">
        <x:v>1064700</x:v>
      </x:c>
      <x:c r="G18" s="4">
        <x:v>85540</x:v>
      </x:c>
      <x:c r="H18" s="4">
        <x:v>192010</x:v>
      </x:c>
      <x:c r="I18" s="4">
        <x:f t="shared" si="0"/>
        <x:v>1342250</x:v>
      </x:c>
      <x:c r="J18" t="s">
        <x:v>53</x:v>
      </x:c>
    </x:row>
    <x:row r="19">
      <x:c r="A19" t="s">
        <x:v>110</x:v>
      </x:c>
      <x:c r="B19" t="s">
        <x:v>111</x:v>
      </x:c>
      <x:c r="C19" t="s">
        <x:v>20</x:v>
      </x:c>
      <x:c r="D19" t="s">
        <x:v>112</x:v>
      </x:c>
      <x:c r="E19" t="s">
        <x:v>113</x:v>
      </x:c>
      <x:c r="F19" s="4">
        <x:v>1719900</x:v>
      </x:c>
      <x:c r="G19" s="4">
        <x:v>137410</x:v>
      </x:c>
      <x:c r="H19" s="4">
        <x:v>309400</x:v>
      </x:c>
      <x:c r="I19" s="4">
        <x:f t="shared" si="0"/>
        <x:v>2166710</x:v>
      </x:c>
      <x:c r="J19" t="s">
        <x:v>53</x:v>
      </x:c>
    </x:row>
    <x:row r="20">
      <x:c r="A20" t="s">
        <x:v>114</x:v>
      </x:c>
      <x:c r="B20" t="s">
        <x:v>115</x:v>
      </x:c>
      <x:c r="C20" t="s">
        <x:v>20</x:v>
      </x:c>
      <x:c r="D20" t="s">
        <x:v>51</x:v>
      </x:c>
      <x:c r="E20" t="s">
        <x:v>52</x:v>
      </x:c>
      <x:c r="F20" s="4">
        <x:v>11365900</x:v>
      </x:c>
      <x:c r="G20" s="4">
        <x:v>909090</x:v>
      </x:c>
      <x:c r="H20" s="4">
        <x:v>2045680</x:v>
      </x:c>
      <x:c r="I20" s="4">
        <x:f t="shared" si="0"/>
        <x:v>14320670</x:v>
      </x:c>
      <x:c r="J20" t="s">
        <x:v>53</x:v>
      </x:c>
    </x:row>
    <x:row r="21">
      <x:c r="A21" t="s">
        <x:v>116</x:v>
      </x:c>
      <x:c r="B21" t="s">
        <x:v>117</x:v>
      </x:c>
      <x:c r="C21" t="s">
        <x:v>96</x:v>
      </x:c>
      <x:c r="D21" t="s">
        <x:v>51</x:v>
      </x:c>
      <x:c r="E21" t="s">
        <x:v>56</x:v>
      </x:c>
      <x:c r="F21" s="4">
        <x:v>8353800</x:v>
      </x:c>
      <x:c r="G21" s="4">
        <x:v>835380</x:v>
      </x:c>
      <x:c r="H21" s="4">
        <x:v>1503320</x:v>
      </x:c>
      <x:c r="I21" s="4">
        <x:f t="shared" si="0"/>
        <x:v>10692500</x:v>
      </x:c>
      <x:c r="J21" t="s">
        <x:v>53</x:v>
      </x:c>
    </x:row>
    <x:row r="22">
      <x:c r="A22" t="s">
        <x:v>118</x:v>
      </x:c>
      <x:c r="B22" t="s">
        <x:v>119</x:v>
      </x:c>
      <x:c r="C22" t="s">
        <x:v>89</x:v>
      </x:c>
      <x:c r="D22" t="s">
        <x:v>59</x:v>
      </x:c>
      <x:c r="E22" t="s">
        <x:v>60</x:v>
      </x:c>
      <x:c r="F22" s="4">
        <x:v>5114200</x:v>
      </x:c>
      <x:c r="G22" s="4">
        <x:v>613340</x:v>
      </x:c>
      <x:c r="H22" s="4">
        <x:v>920920</x:v>
      </x:c>
      <x:c r="I22" s="4">
        <x:f t="shared" si="0"/>
        <x:v>6648460</x:v>
      </x:c>
      <x:c r="J22" t="s">
        <x:v>53</x:v>
      </x:c>
    </x:row>
    <x:row r="23">
      <x:c r="A23" t="s">
        <x:v>120</x:v>
      </x:c>
      <x:c r="B23" t="s">
        <x:v>121</x:v>
      </x:c>
      <x:c r="C23" t="s">
        <x:v>20</x:v>
      </x:c>
      <x:c r="D23" t="s">
        <x:v>59</x:v>
      </x:c>
      <x:c r="E23" t="s">
        <x:v>63</x:v>
      </x:c>
      <x:c r="F23" s="4">
        <x:v>3185000</x:v>
      </x:c>
      <x:c r="G23" s="4">
        <x:v>254800</x:v>
      </x:c>
      <x:c r="H23" s="4">
        <x:v>573300</x:v>
      </x:c>
      <x:c r="I23" s="4">
        <x:f t="shared" si="0"/>
        <x:v>4013100</x:v>
      </x:c>
      <x:c r="J23" t="s">
        <x:v>53</x:v>
      </x:c>
    </x:row>
    <x:row r="24">
      <x:c r="A24" t="s">
        <x:v>122</x:v>
      </x:c>
      <x:c r="B24" t="s">
        <x:v>123</x:v>
      </x:c>
      <x:c r="C24" t="s">
        <x:v>20</x:v>
      </x:c>
      <x:c r="D24" t="s">
        <x:v>59</x:v>
      </x:c>
      <x:c r="E24" t="s">
        <x:v>66</x:v>
      </x:c>
      <x:c r="F24" s="4">
        <x:v>1911000</x:v>
      </x:c>
      <x:c r="G24" s="4">
        <x:v>95550</x:v>
      </x:c>
      <x:c r="H24" s="4">
        <x:v>343980</x:v>
      </x:c>
      <x:c r="I24" s="4">
        <x:f t="shared" si="0"/>
        <x:v>2350530</x:v>
      </x:c>
      <x:c r="J24" t="s">
        <x:v>53</x:v>
      </x:c>
    </x:row>
    <x:row r="25">
      <x:c r="A25" t="s">
        <x:v>124</x:v>
      </x:c>
      <x:c r="B25" t="s">
        <x:v>125</x:v>
      </x:c>
      <x:c r="C25" t="s">
        <x:v>89</x:v>
      </x:c>
      <x:c r="D25" t="s">
        <x:v>69</x:v>
      </x:c>
      <x:c r="E25" t="s">
        <x:v>70</x:v>
      </x:c>
      <x:c r="F25" s="4">
        <x:v>4222400</x:v>
      </x:c>
      <x:c r="G25" s="4">
        <x:v>211120</x:v>
      </x:c>
      <x:c r="H25" s="4">
        <x:v>759850</x:v>
      </x:c>
      <x:c r="I25" s="4">
        <x:f t="shared" si="0"/>
        <x:v>5193370</x:v>
      </x:c>
      <x:c r="J25" t="s">
        <x:v>53</x:v>
      </x:c>
    </x:row>
    <x:row r="26">
      <x:c r="A26" t="s">
        <x:v>126</x:v>
      </x:c>
      <x:c r="B26" t="s">
        <x:v>127</x:v>
      </x:c>
      <x:c r="C26" t="s">
        <x:v>20</x:v>
      </x:c>
      <x:c r="D26" t="s">
        <x:v>73</x:v>
      </x:c>
      <x:c r="E26" t="s">
        <x:v>74</x:v>
      </x:c>
      <x:c r="F26" s="4">
        <x:v>4686500</x:v>
      </x:c>
      <x:c r="G26" s="4">
        <x:v>374920</x:v>
      </x:c>
      <x:c r="H26" s="4">
        <x:v>843570</x:v>
      </x:c>
      <x:c r="I26" s="4">
        <x:f t="shared" si="0"/>
        <x:v>5904990</x:v>
      </x:c>
      <x:c r="J26" t="s">
        <x:v>53</x:v>
      </x:c>
    </x:row>
    <x:row r="27">
      <x:c r="A27" t="s">
        <x:v>128</x:v>
      </x:c>
      <x:c r="B27" t="s">
        <x:v>129</x:v>
      </x:c>
      <x:c r="C27" t="s">
        <x:v>20</x:v>
      </x:c>
      <x:c r="D27" t="s">
        <x:v>73</x:v>
      </x:c>
      <x:c r="E27" t="s">
        <x:v>77</x:v>
      </x:c>
      <x:c r="F27" s="4">
        <x:v>2466100</x:v>
      </x:c>
      <x:c r="G27" s="4">
        <x:v>246610</x:v>
      </x:c>
      <x:c r="H27" s="4">
        <x:v>444080</x:v>
      </x:c>
      <x:c r="I27" s="4">
        <x:f t="shared" si="0"/>
        <x:v>3156790</x:v>
      </x:c>
      <x:c r="J27" t="s">
        <x:v>53</x:v>
      </x:c>
    </x:row>
    <x:row r="28">
      <x:c r="A28" t="s">
        <x:v>130</x:v>
      </x:c>
      <x:c r="B28" t="s">
        <x:v>131</x:v>
      </x:c>
      <x:c r="C28" t="s">
        <x:v>23</x:v>
      </x:c>
      <x:c r="D28" t="s">
        <x:v>24</x:v>
      </x:c>
      <x:c r="E28" t="s">
        <x:v>80</x:v>
      </x:c>
      <x:c r="F28" s="4">
        <x:v>4704700</x:v>
      </x:c>
      <x:c r="G28" s="4">
        <x:v>470470</x:v>
      </x:c>
      <x:c r="H28" s="4">
        <x:v>847210</x:v>
      </x:c>
      <x:c r="I28" s="4">
        <x:f t="shared" si="0"/>
        <x:v>6022380</x:v>
      </x:c>
      <x:c r="J28" t="s">
        <x:v>53</x:v>
      </x:c>
    </x:row>
    <x:row r="29">
      <x:c r="A29" t="s">
        <x:v>132</x:v>
      </x:c>
      <x:c r="B29" t="s">
        <x:v>133</x:v>
      </x:c>
      <x:c r="C29" t="s">
        <x:v>20</x:v>
      </x:c>
      <x:c r="D29" t="s">
        <x:v>24</x:v>
      </x:c>
      <x:c r="E29" t="s">
        <x:v>83</x:v>
      </x:c>
      <x:c r="F29" s="4">
        <x:v>3084900</x:v>
      </x:c>
      <x:c r="G29" s="4">
        <x:v>370370</x:v>
      </x:c>
      <x:c r="H29" s="4">
        <x:v>555100</x:v>
      </x:c>
      <x:c r="I29" s="4">
        <x:f t="shared" si="0"/>
        <x:v>4010370</x:v>
      </x:c>
      <x:c r="J29" t="s">
        <x:v>53</x:v>
      </x:c>
    </x:row>
    <x:row r="30">
      <x:c r="A30" t="s">
        <x:v>134</x:v>
      </x:c>
      <x:c r="B30" t="s">
        <x:v>135</x:v>
      </x:c>
      <x:c r="C30" t="s">
        <x:v>20</x:v>
      </x:c>
      <x:c r="D30" t="s">
        <x:v>24</x:v>
      </x:c>
      <x:c r="E30" t="s">
        <x:v>86</x:v>
      </x:c>
      <x:c r="F30" s="4">
        <x:v>2202200</x:v>
      </x:c>
      <x:c r="G30" s="4">
        <x:v>220220</x:v>
      </x:c>
      <x:c r="H30" s="4">
        <x:v>396760</x:v>
      </x:c>
      <x:c r="I30" s="4">
        <x:f t="shared" si="0"/>
        <x:v>2819180</x:v>
      </x:c>
      <x:c r="J30" t="s">
        <x:v>53</x:v>
      </x:c>
    </x:row>
    <x:row r="31">
      <x:c r="A31" t="s">
        <x:v>136</x:v>
      </x:c>
      <x:c r="B31" t="s">
        <x:v>137</x:v>
      </x:c>
      <x:c r="C31" t="s">
        <x:v>23</x:v>
      </x:c>
      <x:c r="D31" t="s">
        <x:v>24</x:v>
      </x:c>
      <x:c r="E31" t="s">
        <x:v>90</x:v>
      </x:c>
      <x:c r="F31" s="4">
        <x:v>1565200</x:v>
      </x:c>
      <x:c r="G31" s="4">
        <x:v>156520</x:v>
      </x:c>
      <x:c r="H31" s="4">
        <x:v>282100</x:v>
      </x:c>
      <x:c r="I31" s="4">
        <x:f t="shared" si="0"/>
        <x:v>2003820</x:v>
      </x:c>
      <x:c r="J31" t="s">
        <x:v>53</x:v>
      </x:c>
    </x:row>
    <x:row r="32">
      <x:c r="A32" t="s">
        <x:v>138</x:v>
      </x:c>
      <x:c r="B32" t="s">
        <x:v>139</x:v>
      </x:c>
      <x:c r="C32" t="s">
        <x:v>23</x:v>
      </x:c>
      <x:c r="D32" t="s">
        <x:v>24</x:v>
      </x:c>
      <x:c r="E32" t="s">
        <x:v>93</x:v>
      </x:c>
      <x:c r="F32" s="4">
        <x:v>1183000</x:v>
      </x:c>
      <x:c r="G32" s="4">
        <x:v>94640</x:v>
      </x:c>
      <x:c r="H32" s="4">
        <x:v>212940</x:v>
      </x:c>
      <x:c r="I32" s="4">
        <x:f t="shared" si="0"/>
        <x:v>1490580</x:v>
      </x:c>
      <x:c r="J32" t="s">
        <x:v>53</x:v>
      </x:c>
    </x:row>
    <x:row r="33">
      <x:c r="A33" t="s">
        <x:v>140</x:v>
      </x:c>
      <x:c r="B33" t="s">
        <x:v>141</x:v>
      </x:c>
      <x:c r="C33" t="s">
        <x:v>20</x:v>
      </x:c>
      <x:c r="D33" t="s">
        <x:v>97</x:v>
      </x:c>
      <x:c r="E33" t="s">
        <x:v>98</x:v>
      </x:c>
      <x:c r="F33" s="4">
        <x:v>3448900</x:v>
      </x:c>
      <x:c r="G33" s="4">
        <x:v>275730</x:v>
      </x:c>
      <x:c r="H33" s="4">
        <x:v>620620</x:v>
      </x:c>
      <x:c r="I33" s="4">
        <x:f t="shared" si="0"/>
        <x:v>4345250</x:v>
      </x:c>
      <x:c r="J33" t="s">
        <x:v>53</x:v>
      </x:c>
    </x:row>
    <x:row r="34">
      <x:c r="A34" t="s">
        <x:v>142</x:v>
      </x:c>
      <x:c r="B34" t="s">
        <x:v>143</x:v>
      </x:c>
      <x:c r="C34" t="s">
        <x:v>23</x:v>
      </x:c>
      <x:c r="D34" t="s">
        <x:v>97</x:v>
      </x:c>
      <x:c r="E34" t="s">
        <x:v>101</x:v>
      </x:c>
      <x:c r="F34" s="4">
        <x:v>1565200</x:v>
      </x:c>
      <x:c r="G34" s="4">
        <x:v>78260</x:v>
      </x:c>
      <x:c r="H34" s="4">
        <x:v>282100</x:v>
      </x:c>
      <x:c r="I34" s="4" t="n">
        <x:f t="shared" ref="I34:I61" si="1">SUM(F34:H34)</x:f>
        <x:v>1925560</x:v>
      </x:c>
      <x:c r="J34" t="s">
        <x:v>53</x:v>
      </x:c>
    </x:row>
    <x:row r="35">
      <x:c r="A35" t="s">
        <x:v>144</x:v>
      </x:c>
      <x:c r="B35" t="s">
        <x:v>145</x:v>
      </x:c>
      <x:c r="C35" t="s">
        <x:v>96</x:v>
      </x:c>
      <x:c r="D35" t="s">
        <x:v>104</x:v>
      </x:c>
      <x:c r="E35" t="s">
        <x:v>105</x:v>
      </x:c>
      <x:c r="F35" s="4">
        <x:v>2238600</x:v>
      </x:c>
      <x:c r="G35" s="4">
        <x:v>268450</x:v>
      </x:c>
      <x:c r="H35" s="4">
        <x:v>403130</x:v>
      </x:c>
      <x:c r="I35" s="4">
        <x:f t="shared" si="1"/>
        <x:v>2910180</x:v>
      </x:c>
      <x:c r="J35" t="s">
        <x:v>53</x:v>
      </x:c>
    </x:row>
    <x:row r="36">
      <x:c r="A36" t="s">
        <x:v>146</x:v>
      </x:c>
      <x:c r="B36" t="s">
        <x:v>147</x:v>
      </x:c>
      <x:c r="C36" t="s">
        <x:v>20</x:v>
      </x:c>
      <x:c r="D36" t="s">
        <x:v>108</x:v>
      </x:c>
      <x:c r="E36" t="s">
        <x:v>109</x:v>
      </x:c>
      <x:c r="F36" s="4">
        <x:v>1128400</x:v>
      </x:c>
      <x:c r="G36" s="4">
        <x:v>56420</x:v>
      </x:c>
      <x:c r="H36" s="4">
        <x:v>202930</x:v>
      </x:c>
      <x:c r="I36" s="4">
        <x:f t="shared" si="1"/>
        <x:v>1387750</x:v>
      </x:c>
      <x:c r="J36" t="s">
        <x:v>53</x:v>
      </x:c>
    </x:row>
    <x:row r="37">
      <x:c r="A37" t="s">
        <x:v>148</x:v>
      </x:c>
      <x:c r="B37" t="s">
        <x:v>149</x:v>
      </x:c>
      <x:c r="C37" t="s">
        <x:v>96</x:v>
      </x:c>
      <x:c r="D37" t="s">
        <x:v>112</x:v>
      </x:c>
      <x:c r="E37" t="s">
        <x:v>113</x:v>
      </x:c>
      <x:c r="F37" s="4">
        <x:v>1601600</x:v>
      </x:c>
      <x:c r="G37" s="4">
        <x:v>128310</x:v>
      </x:c>
      <x:c r="H37" s="4">
        <x:v>288470</x:v>
      </x:c>
      <x:c r="I37" s="4">
        <x:f t="shared" si="1"/>
        <x:v>2018380</x:v>
      </x:c>
      <x:c r="J37" t="s">
        <x:v>53</x:v>
      </x:c>
    </x:row>
    <x:row r="38">
      <x:c r="A38" t="s">
        <x:v>150</x:v>
      </x:c>
      <x:c r="B38" t="s">
        <x:v>151</x:v>
      </x:c>
      <x:c r="C38" t="s">
        <x:v>96</x:v>
      </x:c>
      <x:c r="D38" t="s">
        <x:v>51</x:v>
      </x:c>
      <x:c r="E38" t="s">
        <x:v>52</x:v>
      </x:c>
      <x:c r="F38" s="4">
        <x:v>10847200</x:v>
      </x:c>
      <x:c r="G38" s="4">
        <x:v>542360</x:v>
      </x:c>
      <x:c r="H38" s="4">
        <x:v>1952860</x:v>
      </x:c>
      <x:c r="I38" s="4">
        <x:f t="shared" si="1"/>
        <x:v>13342420</x:v>
      </x:c>
      <x:c r="J38" t="s">
        <x:v>53</x:v>
      </x:c>
    </x:row>
    <x:row r="39">
      <x:c r="A39" t="s">
        <x:v>152</x:v>
      </x:c>
      <x:c r="B39" t="s">
        <x:v>153</x:v>
      </x:c>
      <x:c r="C39" t="s">
        <x:v>23</x:v>
      </x:c>
      <x:c r="D39" t="s">
        <x:v>51</x:v>
      </x:c>
      <x:c r="E39" t="s">
        <x:v>56</x:v>
      </x:c>
      <x:c r="F39" s="4">
        <x:v>7762300</x:v>
      </x:c>
      <x:c r="G39" s="4">
        <x:v>931840</x:v>
      </x:c>
      <x:c r="H39" s="4">
        <x:v>1396850</x:v>
      </x:c>
      <x:c r="I39" s="4">
        <x:f t="shared" si="1"/>
        <x:v>10090990</x:v>
      </x:c>
      <x:c r="J39" t="s">
        <x:v>53</x:v>
      </x:c>
    </x:row>
    <x:row r="40">
      <x:c r="A40" t="s">
        <x:v>154</x:v>
      </x:c>
      <x:c r="B40" t="s">
        <x:v>155</x:v>
      </x:c>
      <x:c r="C40" t="s">
        <x:v>20</x:v>
      </x:c>
      <x:c r="D40" t="s">
        <x:v>59</x:v>
      </x:c>
      <x:c r="E40" t="s">
        <x:v>60</x:v>
      </x:c>
      <x:c r="F40" s="4">
        <x:v>4904900</x:v>
      </x:c>
      <x:c r="G40" s="4">
        <x:v>392210</x:v>
      </x:c>
      <x:c r="H40" s="4">
        <x:v>882700</x:v>
      </x:c>
      <x:c r="I40" s="4">
        <x:f t="shared" si="1"/>
        <x:v>6179810</x:v>
      </x:c>
      <x:c r="J40" t="s">
        <x:v>53</x:v>
      </x:c>
    </x:row>
    <x:row r="41">
      <x:c r="A41" t="s">
        <x:v>156</x:v>
      </x:c>
      <x:c r="B41" t="s">
        <x:v>157</x:v>
      </x:c>
      <x:c r="C41" t="s">
        <x:v>23</x:v>
      </x:c>
      <x:c r="D41" t="s">
        <x:v>59</x:v>
      </x:c>
      <x:c r="E41" t="s">
        <x:v>63</x:v>
      </x:c>
      <x:c r="F41" s="4">
        <x:v>3148600</x:v>
      </x:c>
      <x:c r="G41" s="4">
        <x:v>157430</x:v>
      </x:c>
      <x:c r="H41" s="4">
        <x:v>566930</x:v>
      </x:c>
      <x:c r="I41" s="4">
        <x:f t="shared" si="1"/>
        <x:v>3872960</x:v>
      </x:c>
      <x:c r="J41" t="s">
        <x:v>53</x:v>
      </x:c>
    </x:row>
    <x:row r="42">
      <x:c r="A42" t="s">
        <x:v>158</x:v>
      </x:c>
      <x:c r="B42" t="s">
        <x:v>159</x:v>
      </x:c>
      <x:c r="C42" t="s">
        <x:v>20</x:v>
      </x:c>
      <x:c r="D42" t="s">
        <x:v>59</x:v>
      </x:c>
      <x:c r="E42" t="s">
        <x:v>66</x:v>
      </x:c>
      <x:c r="F42" s="4">
        <x:v>2020200</x:v>
      </x:c>
      <x:c r="G42" s="4">
        <x:v>202020</x:v>
      </x:c>
      <x:c r="H42" s="4">
        <x:v>364000</x:v>
      </x:c>
      <x:c r="I42" s="4">
        <x:f t="shared" si="1"/>
        <x:v>2586220</x:v>
      </x:c>
      <x:c r="J42" t="s">
        <x:v>53</x:v>
      </x:c>
    </x:row>
    <x:row r="43">
      <x:c r="A43" t="s">
        <x:v>160</x:v>
      </x:c>
      <x:c r="B43" t="s">
        <x:v>161</x:v>
      </x:c>
      <x:c r="C43" t="s">
        <x:v>20</x:v>
      </x:c>
      <x:c r="D43" t="s">
        <x:v>69</x:v>
      </x:c>
      <x:c r="E43" t="s">
        <x:v>70</x:v>
      </x:c>
      <x:c r="F43" s="4">
        <x:v>3867500</x:v>
      </x:c>
      <x:c r="G43" s="4">
        <x:v>309400</x:v>
      </x:c>
      <x:c r="H43" s="4">
        <x:v>696150</x:v>
      </x:c>
      <x:c r="I43" s="4">
        <x:f t="shared" si="1"/>
        <x:v>4873050</x:v>
      </x:c>
      <x:c r="J43" t="s">
        <x:v>53</x:v>
      </x:c>
    </x:row>
    <x:row r="44">
      <x:c r="A44" t="s">
        <x:v>162</x:v>
      </x:c>
      <x:c r="B44" t="s">
        <x:v>163</x:v>
      </x:c>
      <x:c r="C44" t="s">
        <x:v>23</x:v>
      </x:c>
      <x:c r="D44" t="s">
        <x:v>73</x:v>
      </x:c>
      <x:c r="E44" t="s">
        <x:v>74</x:v>
      </x:c>
      <x:c r="F44" s="4">
        <x:v>4832100</x:v>
      </x:c>
      <x:c r="G44" s="4">
        <x:v>386750</x:v>
      </x:c>
      <x:c r="H44" s="4">
        <x:v>869960</x:v>
      </x:c>
      <x:c r="I44" s="4">
        <x:f t="shared" si="1"/>
        <x:v>6088810</x:v>
      </x:c>
      <x:c r="J44" t="s">
        <x:v>53</x:v>
      </x:c>
    </x:row>
    <x:row r="45">
      <x:c r="A45" t="s">
        <x:v>164</x:v>
      </x:c>
      <x:c r="B45" t="s">
        <x:v>165</x:v>
      </x:c>
      <x:c r="C45" t="s">
        <x:v>20</x:v>
      </x:c>
      <x:c r="D45" t="s">
        <x:v>73</x:v>
      </x:c>
      <x:c r="E45" t="s">
        <x:v>77</x:v>
      </x:c>
      <x:c r="F45" s="4">
        <x:v>2702700</x:v>
      </x:c>
      <x:c r="G45" s="4">
        <x:v>323960</x:v>
      </x:c>
      <x:c r="H45" s="4">
        <x:v>486850</x:v>
      </x:c>
      <x:c r="I45" s="4">
        <x:f t="shared" si="1"/>
        <x:v>3513510</x:v>
      </x:c>
      <x:c r="J45" t="s">
        <x:v>53</x:v>
      </x:c>
    </x:row>
    <x:row r="46">
      <x:c r="A46" t="s">
        <x:v>166</x:v>
      </x:c>
      <x:c r="B46" t="s">
        <x:v>167</x:v>
      </x:c>
      <x:c r="C46" t="s">
        <x:v>23</x:v>
      </x:c>
      <x:c r="D46" t="s">
        <x:v>24</x:v>
      </x:c>
      <x:c r="E46" t="s">
        <x:v>80</x:v>
      </x:c>
      <x:c r="F46" s="4">
        <x:v>4586400</x:v>
      </x:c>
      <x:c r="G46" s="4">
        <x:v>550550</x:v>
      </x:c>
      <x:c r="H46" s="4">
        <x:v>825370</x:v>
      </x:c>
      <x:c r="I46" s="4">
        <x:f t="shared" si="1"/>
        <x:v>5962320</x:v>
      </x:c>
      <x:c r="J46" t="s">
        <x:v>53</x:v>
      </x:c>
    </x:row>
    <x:row r="47">
      <x:c r="A47" t="s">
        <x:v>168</x:v>
      </x:c>
      <x:c r="B47" t="s">
        <x:v>169</x:v>
      </x:c>
      <x:c r="C47" t="s">
        <x:v>20</x:v>
      </x:c>
      <x:c r="D47" t="s">
        <x:v>24</x:v>
      </x:c>
      <x:c r="E47" t="s">
        <x:v>83</x:v>
      </x:c>
      <x:c r="F47" s="4">
        <x:v>3066700</x:v>
      </x:c>
      <x:c r="G47" s="4">
        <x:v>245700</x:v>
      </x:c>
      <x:c r="H47" s="4">
        <x:v>552370</x:v>
      </x:c>
      <x:c r="I47" s="4">
        <x:f t="shared" si="1"/>
        <x:v>3864770</x:v>
      </x:c>
      <x:c r="J47" t="s">
        <x:v>53</x:v>
      </x:c>
    </x:row>
    <x:row r="48">
      <x:c r="A48" t="s">
        <x:v>170</x:v>
      </x:c>
      <x:c r="B48" t="s">
        <x:v>171</x:v>
      </x:c>
      <x:c r="C48" t="s">
        <x:v>23</x:v>
      </x:c>
      <x:c r="D48" t="s">
        <x:v>24</x:v>
      </x:c>
      <x:c r="E48" t="s">
        <x:v>86</x:v>
      </x:c>
      <x:c r="F48" s="4">
        <x:v>2502500</x:v>
      </x:c>
      <x:c r="G48" s="4">
        <x:v>300300</x:v>
      </x:c>
      <x:c r="H48" s="4">
        <x:v>450450</x:v>
      </x:c>
      <x:c r="I48" s="4">
        <x:f t="shared" si="1"/>
        <x:v>3253250</x:v>
      </x:c>
      <x:c r="J48" t="s">
        <x:v>53</x:v>
      </x:c>
    </x:row>
    <x:row r="49">
      <x:c r="A49" t="s">
        <x:v>172</x:v>
      </x:c>
      <x:c r="B49" t="s">
        <x:v>173</x:v>
      </x:c>
      <x:c r="C49" t="s">
        <x:v>20</x:v>
      </x:c>
      <x:c r="D49" t="s">
        <x:v>24</x:v>
      </x:c>
      <x:c r="E49" t="s">
        <x:v>90</x:v>
      </x:c>
      <x:c r="F49" s="4">
        <x:v>1456000</x:v>
      </x:c>
      <x:c r="G49" s="4">
        <x:v>116480</x:v>
      </x:c>
      <x:c r="H49" s="4">
        <x:v>262080</x:v>
      </x:c>
      <x:c r="I49" s="4">
        <x:f t="shared" si="1"/>
        <x:v>1834560</x:v>
      </x:c>
      <x:c r="J49" t="s">
        <x:v>53</x:v>
      </x:c>
    </x:row>
    <x:row r="50">
      <x:c r="A50" t="s">
        <x:v>174</x:v>
      </x:c>
      <x:c r="B50" t="s">
        <x:v>175</x:v>
      </x:c>
      <x:c r="C50" t="s">
        <x:v>20</x:v>
      </x:c>
      <x:c r="D50" t="s">
        <x:v>24</x:v>
      </x:c>
      <x:c r="E50" t="s">
        <x:v>93</x:v>
      </x:c>
      <x:c r="F50" s="4">
        <x:v>1164800</x:v>
      </x:c>
      <x:c r="G50" s="4">
        <x:v>92820</x:v>
      </x:c>
      <x:c r="H50" s="4">
        <x:v>209300</x:v>
      </x:c>
      <x:c r="I50" s="4">
        <x:f t="shared" si="1"/>
        <x:v>1466920</x:v>
      </x:c>
      <x:c r="J50" t="s">
        <x:v>53</x:v>
      </x:c>
    </x:row>
    <x:row r="51">
      <x:c r="A51" t="s">
        <x:v>176</x:v>
      </x:c>
      <x:c r="B51" t="s">
        <x:v>177</x:v>
      </x:c>
      <x:c r="C51" t="s">
        <x:v>20</x:v>
      </x:c>
      <x:c r="D51" t="s">
        <x:v>97</x:v>
      </x:c>
      <x:c r="E51" t="s">
        <x:v>98</x:v>
      </x:c>
      <x:c r="F51" s="4">
        <x:v>3749200</x:v>
      </x:c>
      <x:c r="G51" s="4">
        <x:v>187460</x:v>
      </x:c>
      <x:c r="H51" s="4">
        <x:v>675220</x:v>
      </x:c>
      <x:c r="I51" s="4">
        <x:f t="shared" si="1"/>
        <x:v>4611880</x:v>
      </x:c>
      <x:c r="J51" t="s">
        <x:v>53</x:v>
      </x:c>
    </x:row>
    <x:row r="52">
      <x:c r="A52" t="s">
        <x:v>178</x:v>
      </x:c>
      <x:c r="B52" t="s">
        <x:v>179</x:v>
      </x:c>
      <x:c r="C52" t="s">
        <x:v>23</x:v>
      </x:c>
      <x:c r="D52" t="s">
        <x:v>97</x:v>
      </x:c>
      <x:c r="E52" t="s">
        <x:v>101</x:v>
      </x:c>
      <x:c r="F52" s="4">
        <x:v>1383200</x:v>
      </x:c>
      <x:c r="G52" s="4">
        <x:v>111020</x:v>
      </x:c>
      <x:c r="H52" s="4">
        <x:v>249340</x:v>
      </x:c>
      <x:c r="I52" s="4">
        <x:f t="shared" si="1"/>
        <x:v>1743560</x:v>
      </x:c>
      <x:c r="J52" t="s">
        <x:v>53</x:v>
      </x:c>
    </x:row>
    <x:row r="53">
      <x:c r="A53" t="s">
        <x:v>180</x:v>
      </x:c>
      <x:c r="B53" t="s">
        <x:v>181</x:v>
      </x:c>
      <x:c r="C53" t="s">
        <x:v>20</x:v>
      </x:c>
      <x:c r="D53" t="s">
        <x:v>104</x:v>
      </x:c>
      <x:c r="E53" t="s">
        <x:v>105</x:v>
      </x:c>
      <x:c r="F53" s="4">
        <x:v>2065700</x:v>
      </x:c>
      <x:c r="G53" s="4">
        <x:v>103740</x:v>
      </x:c>
      <x:c r="H53" s="4">
        <x:v>372190</x:v>
      </x:c>
      <x:c r="I53" s="4">
        <x:f t="shared" si="1"/>
        <x:v>2541630</x:v>
      </x:c>
      <x:c r="J53" t="s">
        <x:v>53</x:v>
      </x:c>
    </x:row>
    <x:row r="54">
      <x:c r="A54" t="s">
        <x:v>182</x:v>
      </x:c>
      <x:c r="B54" t="s">
        <x:v>183</x:v>
      </x:c>
      <x:c r="C54" t="s">
        <x:v>23</x:v>
      </x:c>
      <x:c r="D54" t="s">
        <x:v>108</x:v>
      </x:c>
      <x:c r="E54" t="s">
        <x:v>109</x:v>
      </x:c>
      <x:c r="F54" s="4">
        <x:v>1082900</x:v>
      </x:c>
      <x:c r="G54" s="4">
        <x:v>130130</x:v>
      </x:c>
      <x:c r="H54" s="4">
        <x:v>194740</x:v>
      </x:c>
      <x:c r="I54" s="4">
        <x:f t="shared" si="1"/>
        <x:v>1407770</x:v>
      </x:c>
      <x:c r="J54" t="s">
        <x:v>53</x:v>
      </x:c>
    </x:row>
    <x:row r="55">
      <x:c r="A55" t="s">
        <x:v>184</x:v>
      </x:c>
      <x:c r="B55" t="s">
        <x:v>185</x:v>
      </x:c>
      <x:c r="C55" t="s">
        <x:v>20</x:v>
      </x:c>
      <x:c r="D55" t="s">
        <x:v>112</x:v>
      </x:c>
      <x:c r="E55" t="s">
        <x:v>113</x:v>
      </x:c>
      <x:c r="F55" s="4">
        <x:v>1601600</x:v>
      </x:c>
      <x:c r="G55" s="4">
        <x:v>160160</x:v>
      </x:c>
      <x:c r="H55" s="4">
        <x:v>288470</x:v>
      </x:c>
      <x:c r="I55" s="4">
        <x:f t="shared" si="1"/>
        <x:v>2050230</x:v>
      </x:c>
      <x:c r="J55" t="s">
        <x:v>53</x:v>
      </x:c>
    </x:row>
    <x:row r="56">
      <x:c r="A56" t="s">
        <x:v>186</x:v>
      </x:c>
      <x:c r="B56" t="s">
        <x:v>187</x:v>
      </x:c>
      <x:c r="C56" t="s">
        <x:v>23</x:v>
      </x:c>
      <x:c r="D56" t="s">
        <x:v>51</x:v>
      </x:c>
      <x:c r="E56" t="s">
        <x:v>52</x:v>
      </x:c>
      <x:c r="F56" s="4">
        <x:v>11083800</x:v>
      </x:c>
      <x:c r="G56" s="4">
        <x:v>1108380</x:v>
      </x:c>
      <x:c r="H56" s="4">
        <x:v>1994720</x:v>
      </x:c>
      <x:c r="I56" s="4">
        <x:f t="shared" si="1"/>
        <x:v>14186900</x:v>
      </x:c>
      <x:c r="J56" t="s">
        <x:v>53</x:v>
      </x:c>
    </x:row>
    <x:row r="57">
      <x:c r="A57" t="s">
        <x:v>188</x:v>
      </x:c>
      <x:c r="B57" t="s">
        <x:v>189</x:v>
      </x:c>
      <x:c r="C57" t="s">
        <x:v>89</x:v>
      </x:c>
      <x:c r="D57" t="s">
        <x:v>51</x:v>
      </x:c>
      <x:c r="E57" t="s">
        <x:v>56</x:v>
      </x:c>
      <x:c r="F57" s="4">
        <x:v>7744100</x:v>
      </x:c>
      <x:c r="G57" s="4">
        <x:v>387660</x:v>
      </x:c>
      <x:c r="H57" s="4">
        <x:v>1394120</x:v>
      </x:c>
      <x:c r="I57" s="4">
        <x:f t="shared" si="1"/>
        <x:v>9525880</x:v>
      </x:c>
      <x:c r="J57" t="s">
        <x:v>53</x:v>
      </x:c>
    </x:row>
    <x:row r="58">
      <x:c r="A58" t="s">
        <x:v>190</x:v>
      </x:c>
      <x:c r="B58" t="s">
        <x:v>191</x:v>
      </x:c>
      <x:c r="C58" t="s">
        <x:v>96</x:v>
      </x:c>
      <x:c r="D58" t="s">
        <x:v>59</x:v>
      </x:c>
      <x:c r="E58" t="s">
        <x:v>60</x:v>
      </x:c>
      <x:c r="F58" s="4">
        <x:v>4995900</x:v>
      </x:c>
      <x:c r="G58" s="4">
        <x:v>249340</x:v>
      </x:c>
      <x:c r="H58" s="4">
        <x:v>899080</x:v>
      </x:c>
      <x:c r="I58" s="4">
        <x:f t="shared" si="1"/>
        <x:v>6144320</x:v>
      </x:c>
      <x:c r="J58" t="s">
        <x:v>53</x:v>
      </x:c>
    </x:row>
    <x:row r="59">
      <x:c r="A59" t="s">
        <x:v>192</x:v>
      </x:c>
      <x:c r="B59" t="s">
        <x:v>193</x:v>
      </x:c>
      <x:c r="C59" t="s">
        <x:v>89</x:v>
      </x:c>
      <x:c r="D59" t="s">
        <x:v>59</x:v>
      </x:c>
      <x:c r="E59" t="s">
        <x:v>63</x:v>
      </x:c>
      <x:c r="F59" s="4">
        <x:v>2912000</x:v>
      </x:c>
      <x:c r="G59" s="4">
        <x:v>145600</x:v>
      </x:c>
      <x:c r="H59" s="4">
        <x:v>524160</x:v>
      </x:c>
      <x:c r="I59" s="4">
        <x:f t="shared" si="1"/>
        <x:v>3581760</x:v>
      </x:c>
      <x:c r="J59" t="s">
        <x:v>53</x:v>
      </x:c>
    </x:row>
    <x:row r="60">
      <x:c r="A60" t="s">
        <x:v>194</x:v>
      </x:c>
      <x:c r="B60" t="s">
        <x:v>195</x:v>
      </x:c>
      <x:c r="C60" t="s">
        <x:v>23</x:v>
      </x:c>
      <x:c r="D60" t="s">
        <x:v>59</x:v>
      </x:c>
      <x:c r="E60" t="s">
        <x:v>66</x:v>
      </x:c>
      <x:c r="F60" s="4">
        <x:v>1938300</x:v>
      </x:c>
      <x:c r="G60" s="4">
        <x:v>193830</x:v>
      </x:c>
      <x:c r="H60" s="4">
        <x:v>348530</x:v>
      </x:c>
      <x:c r="I60" s="4">
        <x:f t="shared" si="1"/>
        <x:v>2480660</x:v>
      </x:c>
      <x:c r="J60" t="s">
        <x:v>53</x:v>
      </x:c>
    </x:row>
    <x:row r="61">
      <x:c r="A61" t="s">
        <x:v>196</x:v>
      </x:c>
      <x:c r="B61" t="s">
        <x:v>197</x:v>
      </x:c>
      <x:c r="C61" t="s">
        <x:v>96</x:v>
      </x:c>
      <x:c r="D61" t="s">
        <x:v>69</x:v>
      </x:c>
      <x:c r="E61" t="s">
        <x:v>70</x:v>
      </x:c>
      <x:c r="F61" s="4">
        <x:v>3913000</x:v>
      </x:c>
      <x:c r="G61" s="4">
        <x:v>469560</x:v>
      </x:c>
      <x:c r="H61" s="4">
        <x:v>704340</x:v>
      </x:c>
      <x:c r="I61" s="4">
        <x:f t="shared" si="1"/>
        <x:v>5086900</x:v>
      </x:c>
      <x:c r="J61" t="s">
        <x:v>53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41</x:v>
      </x:c>
      <x:c r="B1" s="1" t="s">
        <x:v>198</x:v>
      </x:c>
      <x:c r="C1" s="1" t="s">
        <x:v>199</x:v>
      </x:c>
      <x:c r="D1" s="1" t="s">
        <x:v>200</x:v>
      </x:c>
      <x:c r="E1" s="1" t="s">
        <x:v>201</x:v>
      </x:c>
      <x:c r="F1" s="1" t="s">
        <x:v>202</x:v>
      </x:c>
      <x:c r="G1" s="1" t="s">
        <x:v>203</x:v>
      </x:c>
      <x:c r="H1" s="1" t="s">
        <x:v>204</x:v>
      </x:c>
      <x:c r="I1" s="1" t="s">
        <x:v>205</x:v>
      </x:c>
      <x:c r="J1" s="1" t="s">
        <x:v>206</x:v>
      </x:c>
      <x:c r="K1" s="1" t="s">
        <x:v>207</x:v>
      </x:c>
      <x:c r="L1" s="1" t="s">
        <x:v>208</x:v>
      </x:c>
      <x:c r="M1" s="1" t="s">
        <x:v>209</x:v>
      </x:c>
      <x:c r="N1" s="1" t="s">
        <x:v>210</x:v>
      </x:c>
      <x:c r="O1" s="1" t="s">
        <x:v>211</x:v>
      </x:c>
      <x:c r="P1" s="1" t="s">
        <x:v>212</x:v>
      </x:c>
    </x:row>
    <x:row r="2">
      <x:c r="A2" t="s">
        <x:v>23</x:v>
      </x:c>
      <x:c r="B2" t="s">
        <x:v>213</x:v>
      </x:c>
      <x:c r="C2" t="s">
        <x:v>214</x:v>
      </x:c>
      <x:c r="D2" s="5">
        <x:v>74.09</x:v>
      </x:c>
      <x:c r="E2" s="5">
        <x:v>67.650000000000006</x:v>
      </x:c>
      <x:c r="F2" s="5">
        <x:v>58.84</x:v>
      </x:c>
      <x:c r="G2" s="5">
        <x:v>70.7</x:v>
      </x:c>
      <x:c r="H2" s="5">
        <x:v>58.05</x:v>
      </x:c>
      <x:c r="I2" s="5">
        <x:v>64.010000000000005</x:v>
      </x:c>
      <x:c r="J2" s="5">
        <x:v>74.3</x:v>
      </x:c>
      <x:c r="K2" s="5">
        <x:v>65.55</x:v>
      </x:c>
      <x:c r="L2" s="5">
        <x:v>57.58</x:v>
      </x:c>
      <x:c r="M2" s="5">
        <x:v>68.55</x:v>
      </x:c>
      <x:c r="N2" s="5">
        <x:v>73.099999999999994</x:v>
      </x:c>
      <x:c r="O2" s="5">
        <x:v>71.48</x:v>
      </x:c>
      <x:c r="P2" s="5" t="n">
        <x:f t="shared" ref="P2:P11" si="0">SUM(D2:O2)</x:f>
        <x:v>803.9000000000001</x:v>
      </x:c>
    </x:row>
    <x:row r="3">
      <x:c r="A3" t="s">
        <x:v>23</x:v>
      </x:c>
      <x:c r="B3" t="s">
        <x:v>215</x:v>
      </x:c>
      <x:c r="C3" t="s">
        <x:v>214</x:v>
      </x:c>
      <x:c r="D3" s="5">
        <x:v>55.78</x:v>
      </x:c>
      <x:c r="E3" s="5">
        <x:v>46.63</x:v>
      </x:c>
      <x:c r="F3" s="5">
        <x:v>44.32</x:v>
      </x:c>
      <x:c r="G3" s="5">
        <x:v>50.64</x:v>
      </x:c>
      <x:c r="H3" s="5">
        <x:v>50.99</x:v>
      </x:c>
      <x:c r="I3" s="5">
        <x:v>45.72</x:v>
      </x:c>
      <x:c r="J3" s="5">
        <x:v>51.24</x:v>
      </x:c>
      <x:c r="K3" s="5">
        <x:v>48.98</x:v>
      </x:c>
      <x:c r="L3" s="5">
        <x:v>56.57</x:v>
      </x:c>
      <x:c r="M3" s="5">
        <x:v>53.06</x:v>
      </x:c>
      <x:c r="N3" s="5">
        <x:v>46.52</x:v>
      </x:c>
      <x:c r="O3" s="5">
        <x:v>50.87</x:v>
      </x:c>
      <x:c r="P3" s="5">
        <x:f t="shared" si="0"/>
        <x:v>601.32000000000005</x:v>
      </x:c>
    </x:row>
    <x:row r="4">
      <x:c r="A4" t="s">
        <x:v>23</x:v>
      </x:c>
      <x:c r="B4" t="s">
        <x:v>216</x:v>
      </x:c>
      <x:c r="C4" t="s">
        <x:v>214</x:v>
      </x:c>
      <x:c r="D4" s="5">
        <x:v>47.05</x:v>
      </x:c>
      <x:c r="E4" s="5">
        <x:v>49.33</x:v>
      </x:c>
      <x:c r="F4" s="5">
        <x:v>43.82</x:v>
      </x:c>
      <x:c r="G4" s="5">
        <x:v>39.729999999999997</x:v>
      </x:c>
      <x:c r="H4" s="5">
        <x:v>44.09</x:v>
      </x:c>
      <x:c r="I4" s="5">
        <x:v>42.43</x:v>
      </x:c>
      <x:c r="J4" s="5">
        <x:v>44.58</x:v>
      </x:c>
      <x:c r="K4" s="5">
        <x:v>39.39</x:v>
      </x:c>
      <x:c r="L4" s="5">
        <x:v>45.5</x:v>
      </x:c>
      <x:c r="M4" s="5">
        <x:v>40.36</x:v>
      </x:c>
      <x:c r="N4" s="5">
        <x:v>49.06</x:v>
      </x:c>
      <x:c r="O4" s="5">
        <x:v>40.93</x:v>
      </x:c>
      <x:c r="P4" s="5">
        <x:f t="shared" si="0"/>
        <x:v>526.27</x:v>
      </x:c>
    </x:row>
    <x:row r="5">
      <x:c r="A5" t="s">
        <x:v>23</x:v>
      </x:c>
      <x:c r="B5" t="s">
        <x:v>217</x:v>
      </x:c>
      <x:c r="C5" t="s">
        <x:v>214</x:v>
      </x:c>
      <x:c r="D5" s="5">
        <x:v>63.62</x:v>
      </x:c>
      <x:c r="E5" s="5">
        <x:v>59.76</x:v>
      </x:c>
      <x:c r="F5" s="5">
        <x:v>57.31</x:v>
      </x:c>
      <x:c r="G5" s="5">
        <x:v>51.46</x:v>
      </x:c>
      <x:c r="H5" s="5">
        <x:v>56.41</x:v>
      </x:c>
      <x:c r="I5" s="5">
        <x:v>54.41</x:v>
      </x:c>
      <x:c r="J5" s="5">
        <x:v>58.2</x:v>
      </x:c>
      <x:c r="K5" s="5">
        <x:v>53.48</x:v>
      </x:c>
      <x:c r="L5" s="5">
        <x:v>63.76</x:v>
      </x:c>
      <x:c r="M5" s="5">
        <x:v>63.45</x:v>
      </x:c>
      <x:c r="N5" s="5">
        <x:v>53.46</x:v>
      </x:c>
      <x:c r="O5" s="5">
        <x:v>63.17</x:v>
      </x:c>
      <x:c r="P5" s="5">
        <x:f t="shared" si="0"/>
        <x:v>698.49000000000012</x:v>
      </x:c>
    </x:row>
    <x:row r="6">
      <x:c r="A6" t="s">
        <x:v>23</x:v>
      </x:c>
      <x:c r="B6" t="s">
        <x:v>218</x:v>
      </x:c>
      <x:c r="C6" t="s">
        <x:v>214</x:v>
      </x:c>
      <x:c r="D6" s="5">
        <x:v>39.01</x:v>
      </x:c>
      <x:c r="E6" s="5">
        <x:v>35.76</x:v>
      </x:c>
      <x:c r="F6" s="5">
        <x:v>40.17</x:v>
      </x:c>
      <x:c r="G6" s="5">
        <x:v>42.98</x:v>
      </x:c>
      <x:c r="H6" s="5">
        <x:v>37.82</x:v>
      </x:c>
      <x:c r="I6" s="5">
        <x:v>38.65</x:v>
      </x:c>
      <x:c r="J6" s="5">
        <x:v>35.369999999999997</x:v>
      </x:c>
      <x:c r="K6" s="5">
        <x:v>41.89</x:v>
      </x:c>
      <x:c r="L6" s="5">
        <x:v>34.880000000000003</x:v>
      </x:c>
      <x:c r="M6" s="5">
        <x:v>37.200000000000003</x:v>
      </x:c>
      <x:c r="N6" s="5">
        <x:v>34.04</x:v>
      </x:c>
      <x:c r="O6" s="5">
        <x:v>36.1</x:v>
      </x:c>
      <x:c r="P6" s="5">
        <x:f t="shared" si="0"/>
        <x:v>453.87</x:v>
      </x:c>
    </x:row>
    <x:row r="7">
      <x:c r="A7" t="s">
        <x:v>20</x:v>
      </x:c>
      <x:c r="B7" t="s">
        <x:v>213</x:v>
      </x:c>
      <x:c r="C7" t="s">
        <x:v>214</x:v>
      </x:c>
      <x:c r="D7" s="5">
        <x:v>69.099999999999994</x:v>
      </x:c>
      <x:c r="E7" s="5">
        <x:v>71.39</x:v>
      </x:c>
      <x:c r="F7" s="5">
        <x:v>58.34</x:v>
      </x:c>
      <x:c r="G7" s="5">
        <x:v>57.54</x:v>
      </x:c>
      <x:c r="H7" s="5">
        <x:v>60.01</x:v>
      </x:c>
      <x:c r="I7" s="5">
        <x:v>67.540000000000006</x:v>
      </x:c>
      <x:c r="J7" s="5">
        <x:v>61.5</x:v>
      </x:c>
      <x:c r="K7" s="5">
        <x:v>68.319999999999993</x:v>
      </x:c>
      <x:c r="L7" s="5">
        <x:v>63.3</x:v>
      </x:c>
      <x:c r="M7" s="5">
        <x:v>61.21</x:v>
      </x:c>
      <x:c r="N7" s="5">
        <x:v>59.3</x:v>
      </x:c>
      <x:c r="O7" s="5">
        <x:v>73.05</x:v>
      </x:c>
      <x:c r="P7" s="5">
        <x:f t="shared" si="0"/>
        <x:v>770.59999999999991</x:v>
      </x:c>
    </x:row>
    <x:row r="8">
      <x:c r="A8" t="s">
        <x:v>20</x:v>
      </x:c>
      <x:c r="B8" t="s">
        <x:v>215</x:v>
      </x:c>
      <x:c r="C8" t="s">
        <x:v>214</x:v>
      </x:c>
      <x:c r="D8" s="5">
        <x:v>56.93</x:v>
      </x:c>
      <x:c r="E8" s="5">
        <x:v>54.56</x:v>
      </x:c>
      <x:c r="F8" s="5">
        <x:v>56.94</x:v>
      </x:c>
      <x:c r="G8" s="5">
        <x:v>51.44</x:v>
      </x:c>
      <x:c r="H8" s="5">
        <x:v>48.14</x:v>
      </x:c>
      <x:c r="I8" s="5">
        <x:v>43.52</x:v>
      </x:c>
      <x:c r="J8" s="5">
        <x:v>53.3</x:v>
      </x:c>
      <x:c r="K8" s="5">
        <x:v>44.56</x:v>
      </x:c>
      <x:c r="L8" s="5">
        <x:v>48.86</x:v>
      </x:c>
      <x:c r="M8" s="5">
        <x:v>47.38</x:v>
      </x:c>
      <x:c r="N8" s="5">
        <x:v>57.38</x:v>
      </x:c>
      <x:c r="O8" s="5">
        <x:v>56.76</x:v>
      </x:c>
      <x:c r="P8" s="5">
        <x:f t="shared" si="0"/>
        <x:v>619.77</x:v>
      </x:c>
    </x:row>
    <x:row r="9">
      <x:c r="A9" t="s">
        <x:v>20</x:v>
      </x:c>
      <x:c r="B9" t="s">
        <x:v>216</x:v>
      </x:c>
      <x:c r="C9" t="s">
        <x:v>214</x:v>
      </x:c>
      <x:c r="D9" s="5">
        <x:v>38.14</x:v>
      </x:c>
      <x:c r="E9" s="5">
        <x:v>44.65</x:v>
      </x:c>
      <x:c r="F9" s="5">
        <x:v>37.58</x:v>
      </x:c>
      <x:c r="G9" s="5">
        <x:v>45.45</x:v>
      </x:c>
      <x:c r="H9" s="5">
        <x:v>40.549999999999997</x:v>
      </x:c>
      <x:c r="I9" s="5">
        <x:v>48.15</x:v>
      </x:c>
      <x:c r="J9" s="5">
        <x:v>39.61</x:v>
      </x:c>
      <x:c r="K9" s="5">
        <x:v>48.21</x:v>
      </x:c>
      <x:c r="L9" s="5">
        <x:v>42.78</x:v>
      </x:c>
      <x:c r="M9" s="5">
        <x:v>39.64</x:v>
      </x:c>
      <x:c r="N9" s="5">
        <x:v>43.27</x:v>
      </x:c>
      <x:c r="O9" s="5">
        <x:v>40.6</x:v>
      </x:c>
      <x:c r="P9" s="5">
        <x:f t="shared" si="0"/>
        <x:v>508.63</x:v>
      </x:c>
    </x:row>
    <x:row r="10">
      <x:c r="A10" t="s">
        <x:v>20</x:v>
      </x:c>
      <x:c r="B10" t="s">
        <x:v>217</x:v>
      </x:c>
      <x:c r="C10" t="s">
        <x:v>214</x:v>
      </x:c>
      <x:c r="D10" s="5">
        <x:v>57.52</x:v>
      </x:c>
      <x:c r="E10" s="5">
        <x:v>51.26</x:v>
      </x:c>
      <x:c r="F10" s="5">
        <x:v>54.16</x:v>
      </x:c>
      <x:c r="G10" s="5">
        <x:v>62.49</x:v>
      </x:c>
      <x:c r="H10" s="5">
        <x:v>63.07</x:v>
      </x:c>
      <x:c r="I10" s="5">
        <x:v>59.71</x:v>
      </x:c>
      <x:c r="J10" s="5">
        <x:v>60.68</x:v>
      </x:c>
      <x:c r="K10" s="5">
        <x:v>53.39</x:v>
      </x:c>
      <x:c r="L10" s="5">
        <x:v>59.62</x:v>
      </x:c>
      <x:c r="M10" s="5">
        <x:v>52.38</x:v>
      </x:c>
      <x:c r="N10" s="5">
        <x:v>60.77</x:v>
      </x:c>
      <x:c r="O10" s="5">
        <x:v>51.91</x:v>
      </x:c>
      <x:c r="P10" s="5">
        <x:f t="shared" si="0"/>
        <x:v>686.95999999999992</x:v>
      </x:c>
    </x:row>
    <x:row r="11">
      <x:c r="A11" t="s">
        <x:v>20</x:v>
      </x:c>
      <x:c r="B11" t="s">
        <x:v>218</x:v>
      </x:c>
      <x:c r="C11" t="s">
        <x:v>214</x:v>
      </x:c>
      <x:c r="D11" s="5">
        <x:v>40.380000000000003</x:v>
      </x:c>
      <x:c r="E11" s="5">
        <x:v>41.67</x:v>
      </x:c>
      <x:c r="F11" s="5">
        <x:v>40.29</x:v>
      </x:c>
      <x:c r="G11" s="5">
        <x:v>43.58</x:v>
      </x:c>
      <x:c r="H11" s="5">
        <x:v>36.35</x:v>
      </x:c>
      <x:c r="I11" s="5">
        <x:v>36.229999999999997</x:v>
      </x:c>
      <x:c r="J11" s="5">
        <x:v>40.46</x:v>
      </x:c>
      <x:c r="K11" s="5">
        <x:v>38.71</x:v>
      </x:c>
      <x:c r="L11" s="5">
        <x:v>41.03</x:v>
      </x:c>
      <x:c r="M11" s="5">
        <x:v>32.729999999999997</x:v>
      </x:c>
      <x:c r="N11" s="5">
        <x:v>35.67</x:v>
      </x:c>
      <x:c r="O11" s="5">
        <x:v>34.090000000000003</x:v>
      </x:c>
      <x:c r="P11" s="5">
        <x:f t="shared" si="0"/>
        <x:v>461.18999999999994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">
        <x:v>219</x:v>
      </x:c>
      <x:c r="B1" s="1" t="s">
        <x:v>220</x:v>
      </x:c>
      <x:c r="C1" s="1" t="s">
        <x:v>41</x:v>
      </x:c>
      <x:c r="D1" s="1" t="s">
        <x:v>199</x:v>
      </x:c>
      <x:c r="E1" s="1" t="s">
        <x:v>200</x:v>
      </x:c>
      <x:c r="F1" s="1" t="s">
        <x:v>201</x:v>
      </x:c>
      <x:c r="G1" s="1" t="s">
        <x:v>202</x:v>
      </x:c>
      <x:c r="H1" s="1" t="s">
        <x:v>203</x:v>
      </x:c>
      <x:c r="I1" s="1" t="s">
        <x:v>204</x:v>
      </x:c>
      <x:c r="J1" s="1" t="s">
        <x:v>205</x:v>
      </x:c>
      <x:c r="K1" s="1" t="s">
        <x:v>206</x:v>
      </x:c>
      <x:c r="L1" s="1" t="s">
        <x:v>207</x:v>
      </x:c>
      <x:c r="M1" s="1" t="s">
        <x:v>208</x:v>
      </x:c>
      <x:c r="N1" s="1" t="s">
        <x:v>209</x:v>
      </x:c>
      <x:c r="O1" s="1" t="s">
        <x:v>210</x:v>
      </x:c>
      <x:c r="P1" s="1" t="s">
        <x:v>211</x:v>
      </x:c>
      <x:c r="Q1" s="1" t="s">
        <x:v>212</x:v>
      </x:c>
    </x:row>
    <x:row r="2">
      <x:c r="A2" t="s">
        <x:v>221</x:v>
      </x:c>
      <x:c r="B2" t="s">
        <x:v>222</x:v>
      </x:c>
      <x:c r="C2" t="s">
        <x:v>23</x:v>
      </x:c>
      <x:c r="D2" t="s">
        <x:v>223</x:v>
      </x:c>
      <x:c r="E2" s="4">
        <x:v>120816080</x:v>
      </x:c>
      <x:c r="F2" s="4">
        <x:v>128428080</x:v>
      </x:c>
      <x:c r="G2" s="4">
        <x:v>140996240</x:v>
      </x:c>
      <x:c r="H2" s="4">
        <x:v>119242640</x:v>
      </x:c>
      <x:c r="I2" s="4">
        <x:v>140949600</x:v>
      </x:c>
      <x:c r="J2" s="4">
        <x:v>116497920</x:v>
      </x:c>
      <x:c r="K2" s="4">
        <x:v>125957920</x:v>
      </x:c>
      <x:c r="L2" s="4">
        <x:v>129584400</x:v>
      </x:c>
      <x:c r="M2" s="4">
        <x:v>116293760</x:v>
      </x:c>
      <x:c r="N2" s="4">
        <x:v>116452160</x:v>
      </x:c>
      <x:c r="O2" s="4">
        <x:v>134361920</x:v>
      </x:c>
      <x:c r="P2" s="4">
        <x:v>120352320</x:v>
      </x:c>
      <x:c r="Q2" s="4">
        <x:v>1509933040</x:v>
      </x:c>
    </x:row>
    <x:row r="3">
      <x:c r="A3" t="s">
        <x:v>221</x:v>
      </x:c>
      <x:c r="B3" t="s">
        <x:v>224</x:v>
      </x:c>
      <x:c r="C3" t="s">
        <x:v>23</x:v>
      </x:c>
      <x:c r="D3" t="s">
        <x:v>223</x:v>
      </x:c>
      <x:c r="E3" s="4">
        <x:v>43908480</x:v>
      </x:c>
      <x:c r="F3" s="4">
        <x:v>44330000</x:v>
      </x:c>
      <x:c r="G3" s="4">
        <x:v>47561360</x:v>
      </x:c>
      <x:c r="H3" s="4">
        <x:v>42780320</x:v>
      </x:c>
      <x:c r="I3" s="4">
        <x:v>37526720</x:v>
      </x:c>
      <x:c r="J3" s="4">
        <x:v>38816800</x:v>
      </x:c>
      <x:c r="K3" s="4">
        <x:v>44699600</x:v>
      </x:c>
      <x:c r="L3" s="4">
        <x:v>42039360</x:v>
      </x:c>
      <x:c r="M3" s="4">
        <x:v>40245920</x:v>
      </x:c>
      <x:c r="N3" s="4">
        <x:v>46535280</x:v>
      </x:c>
      <x:c r="O3" s="4">
        <x:v>43312720</x:v>
      </x:c>
      <x:c r="P3" s="4">
        <x:v>46748240</x:v>
      </x:c>
      <x:c r="Q3" s="4">
        <x:v>518504800</x:v>
      </x:c>
    </x:row>
    <x:row r="4">
      <x:c r="A4" t="s">
        <x:v>221</x:v>
      </x:c>
      <x:c r="B4" t="s">
        <x:v>225</x:v>
      </x:c>
      <x:c r="C4" t="s">
        <x:v>23</x:v>
      </x:c>
      <x:c r="D4" t="s">
        <x:v>223</x:v>
      </x:c>
      <x:c r="E4" s="4">
        <x:v>75163440</x:v>
      </x:c>
      <x:c r="F4" s="4">
        <x:v>75788240</x:v>
      </x:c>
      <x:c r="G4" s="4">
        <x:v>68618000</x:v>
      </x:c>
      <x:c r="H4" s="4">
        <x:v>70407920</x:v>
      </x:c>
      <x:c r="I4" s="4">
        <x:v>79690160</x:v>
      </x:c>
      <x:c r="J4" s="4">
        <x:v>75006800</x:v>
      </x:c>
      <x:c r="K4" s="4">
        <x:v>72578000</x:v>
      </x:c>
      <x:c r="L4" s="4">
        <x:v>70062960</x:v>
      </x:c>
      <x:c r="M4" s="4">
        <x:v>66352880</x:v>
      </x:c>
      <x:c r="N4" s="4">
        <x:v>72657200</x:v>
      </x:c>
      <x:c r="O4" s="4">
        <x:v>81046240</x:v>
      </x:c>
      <x:c r="P4" s="4">
        <x:v>73449200</x:v>
      </x:c>
      <x:c r="Q4" s="4">
        <x:v>880821040</x:v>
      </x:c>
    </x:row>
    <x:row r="5">
      <x:c r="A5" t="s">
        <x:v>221</x:v>
      </x:c>
      <x:c r="B5" t="s">
        <x:v>226</x:v>
      </x:c>
      <x:c r="C5" t="s">
        <x:v>23</x:v>
      </x:c>
      <x:c r="D5" t="s">
        <x:v>223</x:v>
      </x:c>
      <x:c r="E5" s="4">
        <x:v>26167680</x:v>
      </x:c>
      <x:c r="F5" s="4">
        <x:v>27875760</x:v>
      </x:c>
      <x:c r="G5" s="4">
        <x:v>27078480</x:v>
      </x:c>
      <x:c r="H5" s="4">
        <x:v>24828320</x:v>
      </x:c>
      <x:c r="I5" s="4">
        <x:v>29956080</x:v>
      </x:c>
      <x:c r="J5" s="4">
        <x:v>27759600</x:v>
      </x:c>
      <x:c r="K5" s="4">
        <x:v>26764320</x:v>
      </x:c>
      <x:c r="L5" s="4">
        <x:v>29411360</x:v>
      </x:c>
      <x:c r="M5" s="4">
        <x:v>25355440</x:v>
      </x:c>
      <x:c r="N5" s="4">
        <x:v>30957520</x:v>
      </x:c>
      <x:c r="O5" s="4">
        <x:v>29504640</x:v>
      </x:c>
      <x:c r="P5" s="4">
        <x:v>28036800</x:v>
      </x:c>
      <x:c r="Q5" s="4">
        <x:v>333696000</x:v>
      </x:c>
    </x:row>
    <x:row r="6">
      <x:c r="A6" t="s">
        <x:v>221</x:v>
      </x:c>
      <x:c r="B6" t="s">
        <x:v>227</x:v>
      </x:c>
      <x:c r="C6" t="s">
        <x:v>20</x:v>
      </x:c>
      <x:c r="D6" t="s">
        <x:v>223</x:v>
      </x:c>
      <x:c r="E6" s="4">
        <x:v>19696160</x:v>
      </x:c>
      <x:c r="F6" s="4">
        <x:v>21237920</x:v>
      </x:c>
      <x:c r="G6" s="4">
        <x:v>22542080</x:v>
      </x:c>
      <x:c r="H6" s="4">
        <x:v>19813200</x:v>
      </x:c>
      <x:c r="I6" s="4">
        <x:v>21951600</x:v>
      </x:c>
      <x:c r="J6" s="4">
        <x:v>20240000</x:v>
      </x:c>
      <x:c r="K6" s="4">
        <x:v>21293360</x:v>
      </x:c>
      <x:c r="L6" s="4">
        <x:v>20183680</x:v>
      </x:c>
      <x:c r="M6" s="4">
        <x:v>20134400</x:v>
      </x:c>
      <x:c r="N6" s="4">
        <x:v>18880400</x:v>
      </x:c>
      <x:c r="O6" s="4">
        <x:v>19699680</x:v>
      </x:c>
      <x:c r="P6" s="4">
        <x:v>22425920</x:v>
      </x:c>
      <x:c r="Q6" s="4">
        <x:v>248098400</x:v>
      </x:c>
    </x:row>
    <x:row r="7">
      <x:c r="A7" t="s">
        <x:v>228</x:v>
      </x:c>
      <x:c r="B7" t="s">
        <x:v>229</x:v>
      </x:c>
      <x:c r="C7" t="s">
        <x:v>20</x:v>
      </x:c>
      <x:c r="D7" t="s">
        <x:v>223</x:v>
      </x:c>
      <x:c r="E7" s="4">
        <x:v>59750240</x:v>
      </x:c>
      <x:c r="F7" s="4">
        <x:v>56341120</x:v>
      </x:c>
      <x:c r="G7" s="4">
        <x:v>62360320</x:v>
      </x:c>
      <x:c r="H7" s="4">
        <x:v>57353120</x:v>
      </x:c>
      <x:c r="I7" s="4">
        <x:v>57582800</x:v>
      </x:c>
      <x:c r="J7" s="4">
        <x:v>54754480</x:v>
      </x:c>
      <x:c r="K7" s="4">
        <x:v>60673360</x:v>
      </x:c>
      <x:c r="L7" s="4">
        <x:v>60727920</x:v>
      </x:c>
      <x:c r="M7" s="4">
        <x:v>57833600</x:v>
      </x:c>
      <x:c r="N7" s="4">
        <x:v>54917280</x:v>
      </x:c>
      <x:c r="O7" s="4">
        <x:v>57889040</x:v>
      </x:c>
      <x:c r="P7" s="4">
        <x:v>61948480</x:v>
      </x:c>
      <x:c r="Q7" s="4">
        <x:v>702131760</x:v>
      </x:c>
    </x:row>
    <x:row r="8">
      <x:c r="A8" t="s">
        <x:v>228</x:v>
      </x:c>
      <x:c r="B8" t="s">
        <x:v>230</x:v>
      </x:c>
      <x:c r="C8" t="s">
        <x:v>20</x:v>
      </x:c>
      <x:c r="D8" t="s">
        <x:v>223</x:v>
      </x:c>
      <x:c r="E8" s="4">
        <x:v>7046160</x:v>
      </x:c>
      <x:c r="F8" s="4">
        <x:v>6130960</x:v>
      </x:c>
      <x:c r="G8" s="4">
        <x:v>7350640</x:v>
      </x:c>
      <x:c r="H8" s="4">
        <x:v>7139440</x:v>
      </x:c>
      <x:c r="I8" s="4">
        <x:v>6683600</x:v>
      </x:c>
      <x:c r="J8" s="4">
        <x:v>7431600</x:v>
      </x:c>
      <x:c r="K8" s="4">
        <x:v>5972560</x:v>
      </x:c>
      <x:c r="L8" s="4">
        <x:v>6605280</x:v>
      </x:c>
      <x:c r="M8" s="4">
        <x:v>6242720</x:v>
      </x:c>
      <x:c r="N8" s="4">
        <x:v>5896880</x:v>
      </x:c>
      <x:c r="O8" s="4">
        <x:v>6138000</x:v>
      </x:c>
      <x:c r="P8" s="4">
        <x:v>6028000</x:v>
      </x:c>
      <x:c r="Q8" s="4">
        <x:v>78665840</x:v>
      </x:c>
    </x:row>
    <x:row r="9">
      <x:c r="A9" t="s">
        <x:v>228</x:v>
      </x:c>
      <x:c r="B9" t="s">
        <x:v>231</x:v>
      </x:c>
      <x:c r="C9" t="s">
        <x:v>20</x:v>
      </x:c>
      <x:c r="D9" t="s">
        <x:v>223</x:v>
      </x:c>
      <x:c r="E9" s="4">
        <x:v>11106480</x:v>
      </x:c>
      <x:c r="F9" s="4">
        <x:v>11360800</x:v>
      </x:c>
      <x:c r="G9" s="4">
        <x:v>12212640</x:v>
      </x:c>
      <x:c r="H9" s="4">
        <x:v>12657920</x:v>
      </x:c>
      <x:c r="I9" s="4">
        <x:v>10424480</x:v>
      </x:c>
      <x:c r="J9" s="4">
        <x:v>12510080</x:v>
      </x:c>
      <x:c r="K9" s="4">
        <x:v>11354640</x:v>
      </x:c>
      <x:c r="L9" s="4">
        <x:v>10087440</x:v>
      </x:c>
      <x:c r="M9" s="4">
        <x:v>11993520</x:v>
      </x:c>
      <x:c r="N9" s="4">
        <x:v>12438800</x:v>
      </x:c>
      <x:c r="O9" s="4">
        <x:v>11557040</x:v>
      </x:c>
      <x:c r="P9" s="4">
        <x:v>12111440</x:v>
      </x:c>
      <x:c r="Q9" s="4">
        <x:v>139815280</x:v>
      </x:c>
    </x:row>
    <x:row r="10">
      <x:c r="A10" t="s">
        <x:v>228</x:v>
      </x:c>
      <x:c r="B10" t="s">
        <x:v>232</x:v>
      </x:c>
      <x:c r="C10" t="s">
        <x:v>20</x:v>
      </x:c>
      <x:c r="D10" t="s">
        <x:v>223</x:v>
      </x:c>
      <x:c r="E10" s="4">
        <x:v>15118400</x:v>
      </x:c>
      <x:c r="F10" s="4">
        <x:v>13103200</x:v>
      </x:c>
      <x:c r="G10" s="4">
        <x:v>15332240</x:v>
      </x:c>
      <x:c r="H10" s="4">
        <x:v>14180320</x:v>
      </x:c>
      <x:c r="I10" s="4">
        <x:v>14782240</x:v>
      </x:c>
      <x:c r="J10" s="4">
        <x:v>15763440</x:v>
      </x:c>
      <x:c r="K10" s="4">
        <x:v>14133680</x:v>
      </x:c>
      <x:c r="L10" s="4">
        <x:v>13785200</x:v>
      </x:c>
      <x:c r="M10" s="4">
        <x:v>13984080</x:v>
      </x:c>
      <x:c r="N10" s="4">
        <x:v>13168320</x:v>
      </x:c>
      <x:c r="O10" s="4">
        <x:v>12546160</x:v>
      </x:c>
      <x:c r="P10" s="4">
        <x:v>14850880</x:v>
      </x:c>
      <x:c r="Q10" s="4">
        <x:v>170748160</x:v>
      </x:c>
    </x:row>
    <x:row r="11">
      <x:c r="A11" t="s">
        <x:v>233</x:v>
      </x:c>
      <x:c r="B11" t="s">
        <x:v>234</x:v>
      </x:c>
      <x:c r="C11" t="s">
        <x:v>20</x:v>
      </x:c>
      <x:c r="D11" t="s">
        <x:v>223</x:v>
      </x:c>
      <x:c r="E11" s="4">
        <x:v>33179520</x:v>
      </x:c>
      <x:c r="F11" s="4">
        <x:v>34944800</x:v>
      </x:c>
      <x:c r="G11" s="4">
        <x:v>33820160</x:v>
      </x:c>
      <x:c r="H11" s="4">
        <x:v>30060800</x:v>
      </x:c>
      <x:c r="I11" s="4">
        <x:v>31667680</x:v>
      </x:c>
      <x:c r="J11" s="4">
        <x:v>36170640</x:v>
      </x:c>
      <x:c r="K11" s="4">
        <x:v>30404880</x:v>
      </x:c>
      <x:c r="L11" s="4">
        <x:v>34679040</x:v>
      </x:c>
      <x:c r="M11" s="4">
        <x:v>33903760</x:v>
      </x:c>
      <x:c r="N11" s="4">
        <x:v>32447360</x:v>
      </x:c>
      <x:c r="O11" s="4">
        <x:v>32163120</x:v>
      </x:c>
      <x:c r="P11" s="4">
        <x:v>36053600</x:v>
      </x:c>
      <x:c r="Q11" s="4">
        <x:v>399495360</x:v>
      </x:c>
    </x:row>
    <x:row r="12">
      <x:c r="A12" t="s">
        <x:v>233</x:v>
      </x:c>
      <x:c r="B12" t="s">
        <x:v>235</x:v>
      </x:c>
      <x:c r="C12" t="s">
        <x:v>20</x:v>
      </x:c>
      <x:c r="D12" t="s">
        <x:v>223</x:v>
      </x:c>
      <x:c r="E12" s="4">
        <x:v>19984800</x:v>
      </x:c>
      <x:c r="F12" s="4">
        <x:v>19338000</x:v>
      </x:c>
      <x:c r="G12" s="4">
        <x:v>20655360</x:v>
      </x:c>
      <x:c r="H12" s="4">
        <x:v>20863040</x:v>
      </x:c>
      <x:c r="I12" s="4">
        <x:v>20928160</x:v>
      </x:c>
      <x:c r="J12" s="4">
        <x:v>18363840</x:v>
      </x:c>
      <x:c r="K12" s="4">
        <x:v>19007120</x:v>
      </x:c>
      <x:c r="L12" s="4">
        <x:v>21028480</x:v>
      </x:c>
      <x:c r="M12" s="4">
        <x:v>19459440</x:v>
      </x:c>
      <x:c r="N12" s="4">
        <x:v>18282000</x:v>
      </x:c>
      <x:c r="O12" s="4">
        <x:v>17578000</x:v>
      </x:c>
      <x:c r="P12" s="4">
        <x:v>18245920</x:v>
      </x:c>
      <x:c r="Q12" s="4">
        <x:v>233734160</x:v>
      </x:c>
    </x:row>
    <x:row r="13">
      <x:c r="A13" t="s">
        <x:v>236</x:v>
      </x:c>
      <x:c r="B13" t="s">
        <x:v>237</x:v>
      </x:c>
      <x:c r="C13" t="s">
        <x:v>20</x:v>
      </x:c>
      <x:c r="D13" t="s">
        <x:v>223</x:v>
      </x:c>
      <x:c r="E13" s="4">
        <x:v>24024880</x:v>
      </x:c>
      <x:c r="F13" s="4">
        <x:v>26416720</x:v>
      </x:c>
      <x:c r="G13" s="4">
        <x:v>25130160</x:v>
      </x:c>
      <x:c r="H13" s="4">
        <x:v>23456400</x:v>
      </x:c>
      <x:c r="I13" s="4">
        <x:v>25384480</x:v>
      </x:c>
      <x:c r="J13" s="4">
        <x:v>22030800</x:v>
      </x:c>
      <x:c r="K13" s="4">
        <x:v>25673120</x:v>
      </x:c>
      <x:c r="L13" s="4">
        <x:v>22512160</x:v>
      </x:c>
      <x:c r="M13" s="4">
        <x:v>21545040</x:v>
      </x:c>
      <x:c r="N13" s="4">
        <x:v>21875040</x:v>
      </x:c>
      <x:c r="O13" s="4">
        <x:v>22271040</x:v>
      </x:c>
      <x:c r="P13" s="4">
        <x:v>26223120</x:v>
      </x:c>
      <x:c r="Q13" s="4">
        <x:v>286542960</x:v>
      </x:c>
    </x:row>
    <x:row r="14">
      <x:c r="A14" t="s">
        <x:v>238</x:v>
      </x:c>
      <x:c r="B14" t="s">
        <x:v>239</x:v>
      </x:c>
      <x:c r="C14" t="s">
        <x:v>20</x:v>
      </x:c>
      <x:c r="D14" t="s">
        <x:v>223</x:v>
      </x:c>
      <x:c r="E14" s="4">
        <x:v>9180160</x:v>
      </x:c>
      <x:c r="F14" s="4">
        <x:v>8702320</x:v>
      </x:c>
      <x:c r="G14" s="4">
        <x:v>10854800</x:v>
      </x:c>
      <x:c r="H14" s="4">
        <x:v>10560000</x:v>
      </x:c>
      <x:c r="I14" s="4">
        <x:v>9123840</x:v>
      </x:c>
      <x:c r="J14" s="4">
        <x:v>10697280</x:v>
      </x:c>
      <x:c r="K14" s="4">
        <x:v>10885600</x:v>
      </x:c>
      <x:c r="L14" s="4">
        <x:v>8719040</x:v>
      </x:c>
      <x:c r="M14" s="4">
        <x:v>9414240</x:v>
      </x:c>
      <x:c r="N14" s="4">
        <x:v>8930240</x:v>
      </x:c>
      <x:c r="O14" s="4">
        <x:v>9390480</x:v>
      </x:c>
      <x:c r="P14" s="4">
        <x:v>10415680</x:v>
      </x:c>
      <x:c r="Q14" s="4">
        <x:v>116873680</x:v>
      </x:c>
    </x:row>
    <x:row r="15">
      <x:c r="A15" t="s">
        <x:v>240</x:v>
      </x:c>
      <x:c r="B15" t="s">
        <x:v>241</x:v>
      </x:c>
      <x:c r="C15" t="s">
        <x:v>23</x:v>
      </x:c>
      <x:c r="D15" t="s">
        <x:v>223</x:v>
      </x:c>
      <x:c r="E15" s="4">
        <x:v>14283280</x:v>
      </x:c>
      <x:c r="F15" s="4">
        <x:v>13519440</x:v>
      </x:c>
      <x:c r="G15" s="4">
        <x:v>14121360</x:v>
      </x:c>
      <x:c r="H15" s="4">
        <x:v>13045120</x:v>
      </x:c>
      <x:c r="I15" s="4">
        <x:v>13665520</x:v>
      </x:c>
      <x:c r="J15" s="4">
        <x:v>12416800</x:v>
      </x:c>
      <x:c r="K15" s="4">
        <x:v>11734800</x:v>
      </x:c>
      <x:c r="L15" s="4">
        <x:v>14161840</x:v>
      </x:c>
      <x:c r="M15" s="4">
        <x:v>14134560</x:v>
      </x:c>
      <x:c r="N15" s="4">
        <x:v>12778480</x:v>
      </x:c>
      <x:c r="O15" s="4">
        <x:v>13420000</x:v>
      </x:c>
      <x:c r="P15" s="4">
        <x:v>13135760</x:v>
      </x:c>
      <x:c r="Q15" s="4">
        <x:v>160416960</x:v>
      </x:c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53.25" customHeight="1">
      <x:c r="A1" s="35" t="s">
        <x:v>242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</x:row>
    <x:row r="2" ht="39" customHeight="1">
      <x:c r="A2" s="36" t="s">
        <x:v>243</x:v>
      </x:c>
      <x:c r="B2" s="36"/>
      <x:c r="C2" s="36"/>
      <x:c r="D2" s="36"/>
      <x:c r="E2" s="36"/>
      <x:c r="F2" s="36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46.25" customHeight="1">
      <x:c r="A4" s="38" t="s">
        <x:v>244</x:v>
      </x:c>
      <x:c r="B4" s="38"/>
      <x:c r="C4" s="38"/>
      <x:c r="D4" s="38" t="s">
        <x:v>245</x:v>
      </x:c>
      <x:c r="E4" s="38"/>
      <x:c r="F4" s="38"/>
      <x:c r="G4" s="39" t="s">
        <x:v>246</x:v>
      </x:c>
      <x:c r="H4" s="39"/>
      <x:c r="I4" s="39"/>
      <x:c r="J4" s="39" t="s">
        <x:v>247</x:v>
      </x:c>
      <x:c r="K4" s="39"/>
      <x:c r="L4" s="39"/>
      <x:c r="M4" s="39" t="s">
        <x:v>248</x:v>
      </x:c>
      <x:c r="N4" s="39"/>
      <x:c r="O4" s="39"/>
      <x:c r="P4" s="39" t="s">
        <x:v>249</x:v>
      </x:c>
      <x:c r="Q4" s="39"/>
      <x:c r="R4" s="39"/>
      <x:c r="S4" s="39"/>
    </x:row>
    <x:row r="5" ht="49.75" customHeight="1">
      <x:c r="A5" s="43" t="n">
        <x:f>SUMIF($E$10:$E$54,"Quantité exportée",$S$10:$S$54)</x:f>
        <x:v>3094.92</x:v>
      </x:c>
      <x:c r="B5" s="44"/>
      <x:c r="C5" s="44"/>
      <x:c r="D5" s="45" t="n">
        <x:f>SUMIF($E$10:$E$54,"Chiffre d'affaires MGA",$S$10:$S$54)</x:f>
        <x:v>17737746840</x:v>
      </x:c>
      <x:c r="E5" s="44"/>
      <x:c r="F5" s="44"/>
      <x:c r="G5" s="45" t="n">
        <x:f>SUMIFS($S$10:$S$54,$A$10:$A$54,"Japon",$E$10:$E$54,"Chiffre d'affaires MGA")</x:f>
        <x:v>5418113635</x:v>
      </x:c>
      <x:c r="H5" s="40"/>
      <x:c r="I5" s="40"/>
      <x:c r="J5" s="45" t="n">
        <x:f>SUMIFS($S$10:$S$54,$A$10:$A$54,"Russie",$E$10:$E$54,"Chiffre d'affaires MGA")</x:f>
        <x:v>6201787445</x:v>
      </x:c>
      <x:c r="K5" s="40"/>
      <x:c r="L5" s="40"/>
      <x:c r="M5" s="45" t="n">
        <x:f>SUMIFS($S$10:$S$54,$A$10:$A$54,"Chine",$E$10:$E$54,"Chiffre d'affaires MGA")</x:f>
        <x:v>6117845760</x:v>
      </x:c>
      <x:c r="N5" s="40"/>
      <x:c r="O5" s="40"/>
      <x:c r="P5" s="40" t="s">
        <x:v>250</x:v>
      </x:c>
      <x:c r="Q5" s="40"/>
      <x:c r="R5" s="40"/>
      <x:c r="S5" s="40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39" customHeight="1">
      <x:c r="A7" s="41" t="s">
        <x:v>251</x:v>
      </x:c>
      <x:c r="B7" s="41"/>
      <x:c r="C7" s="41"/>
      <x:c r="D7" s="41"/>
      <x:c r="E7" s="41"/>
      <x:c r="F7" s="41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60.25" customHeight="1">
      <x:c r="A9" s="7" t="s">
        <x:v>26</x:v>
      </x:c>
      <x:c r="B9" s="7" t="s">
        <x:v>27</x:v>
      </x:c>
      <x:c r="C9" s="7" t="s">
        <x:v>198</x:v>
      </x:c>
      <x:c r="D9" s="7" t="s">
        <x:v>28</x:v>
      </x:c>
      <x:c r="E9" s="7" t="s">
        <x:v>252</x:v>
      </x:c>
      <x:c r="F9" s="7" t="s">
        <x:v>199</x:v>
      </x:c>
      <x:c r="G9" s="23" t="s">
        <x:v>200</x:v>
      </x:c>
      <x:c r="H9" s="23" t="s">
        <x:v>201</x:v>
      </x:c>
      <x:c r="I9" s="23" t="s">
        <x:v>202</x:v>
      </x:c>
      <x:c r="J9" s="23" t="s">
        <x:v>203</x:v>
      </x:c>
      <x:c r="K9" s="23" t="s">
        <x:v>204</x:v>
      </x:c>
      <x:c r="L9" s="23" t="s">
        <x:v>205</x:v>
      </x:c>
      <x:c r="M9" s="23" t="s">
        <x:v>206</x:v>
      </x:c>
      <x:c r="N9" s="23" t="s">
        <x:v>207</x:v>
      </x:c>
      <x:c r="O9" s="23" t="s">
        <x:v>208</x:v>
      </x:c>
      <x:c r="P9" s="23" t="s">
        <x:v>209</x:v>
      </x:c>
      <x:c r="Q9" s="23" t="s">
        <x:v>210</x:v>
      </x:c>
      <x:c r="R9" s="23" t="s">
        <x:v>211</x:v>
      </x:c>
      <x:c r="S9" s="23" t="s">
        <x:v>212</x:v>
      </x:c>
    </x:row>
    <x:row r="10">
      <x:c r="A10" s="8" t="s">
        <x:v>30</x:v>
      </x:c>
      <x:c r="B10" s="8" t="s">
        <x:v>31</x:v>
      </x:c>
      <x:c r="C10" s="9" t="s">
        <x:v>213</x:v>
      </x:c>
      <x:c r="D10" s="9" t="s">
        <x:v>32</x:v>
      </x:c>
      <x:c r="E10" s="9" t="s">
        <x:v>253</x:v>
      </x:c>
      <x:c r="F10" s="9" t="s">
        <x:v>214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30</x:v>
      </x:c>
      <x:c r="B11" s="10" t="s">
        <x:v>31</x:v>
      </x:c>
      <x:c r="C11" s="11" t="s">
        <x:v>213</x:v>
      </x:c>
      <x:c r="D11" s="11" t="s">
        <x:v>32</x:v>
      </x:c>
      <x:c r="E11" s="11" t="s">
        <x:v>254</x:v>
      </x:c>
      <x:c r="F11" s="11" t="s">
        <x:v>32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30</x:v>
      </x:c>
      <x:c r="B12" s="12" t="s">
        <x:v>31</x:v>
      </x:c>
      <x:c r="C12" s="12" t="s">
        <x:v>213</x:v>
      </x:c>
      <x:c r="D12" s="12" t="s">
        <x:v>32</x:v>
      </x:c>
      <x:c r="E12" s="12" t="s">
        <x:v>255</x:v>
      </x:c>
      <x:c r="F12" s="12" t="s">
        <x:v>223</x:v>
      </x:c>
      <x:c r="G12" s="26">
        <x:v>152234650</x:v>
      </x:c>
      <x:c r="H12" s="26">
        <x:v>114881300</x:v>
      </x:c>
      <x:c r="I12" s="26">
        <x:v>93383375</x:v>
      </x:c>
      <x:c r="J12" s="26">
        <x:v>103878425</x:v>
      </x:c>
      <x:c r="K12" s="26">
        <x:v>94116900</x:v>
      </x:c>
      <x:c r="L12" s="26">
        <x:v>143545200</x:v>
      </x:c>
      <x:c r="M12" s="26">
        <x:v>121313750</x:v>
      </x:c>
      <x:c r="N12" s="26">
        <x:v>143883750</x:v>
      </x:c>
      <x:c r="O12" s="26">
        <x:v>95358250</x:v>
      </x:c>
      <x:c r="P12" s="26">
        <x:v>89602900</x:v>
      </x:c>
      <x:c r="Q12" s="26">
        <x:v>94963275</x:v>
      </x:c>
      <x:c r="R12" s="26">
        <x:v>146422875</x:v>
      </x:c>
      <x:c r="S12" s="26">
        <x:v>1393584650</x:v>
      </x:c>
    </x:row>
    <x:row r="13">
      <x:c r="A13" s="10" t="s">
        <x:v>30</x:v>
      </x:c>
      <x:c r="B13" s="10" t="s">
        <x:v>31</x:v>
      </x:c>
      <x:c r="C13" s="11" t="s">
        <x:v>215</x:v>
      </x:c>
      <x:c r="D13" s="11" t="s">
        <x:v>32</x:v>
      </x:c>
      <x:c r="E13" s="11" t="s">
        <x:v>253</x:v>
      </x:c>
      <x:c r="F13" s="11" t="s">
        <x:v>214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30</x:v>
      </x:c>
      <x:c r="B14" s="10" t="s">
        <x:v>31</x:v>
      </x:c>
      <x:c r="C14" s="11" t="s">
        <x:v>215</x:v>
      </x:c>
      <x:c r="D14" s="11" t="s">
        <x:v>32</x:v>
      </x:c>
      <x:c r="E14" s="11" t="s">
        <x:v>254</x:v>
      </x:c>
      <x:c r="F14" s="11" t="s">
        <x:v>32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30</x:v>
      </x:c>
      <x:c r="B15" s="12" t="s">
        <x:v>31</x:v>
      </x:c>
      <x:c r="C15" s="12" t="s">
        <x:v>215</x:v>
      </x:c>
      <x:c r="D15" s="12" t="s">
        <x:v>32</x:v>
      </x:c>
      <x:c r="E15" s="12" t="s">
        <x:v>255</x:v>
      </x:c>
      <x:c r="F15" s="12" t="s">
        <x:v>223</x:v>
      </x:c>
      <x:c r="G15" s="26">
        <x:v>95078565</x:v>
      </x:c>
      <x:c r="H15" s="26">
        <x:v>74268720</x:v>
      </x:c>
      <x:c r="I15" s="26">
        <x:v>98677260</x:v>
      </x:c>
      <x:c r="J15" s="26">
        <x:v>75311820</x:v>
      </x:c>
      <x:c r="K15" s="26">
        <x:v>104988015</x:v>
      </x:c>
      <x:c r="L15" s="26">
        <x:v>111037995</x:v>
      </x:c>
      <x:c r="M15" s="26">
        <x:v>92679435</x:v>
      </x:c>
      <x:c r="N15" s="26">
        <x:v>102067335</x:v>
      </x:c>
      <x:c r="O15" s="26">
        <x:v>84595410</x:v>
      </x:c>
      <x:c r="P15" s="26">
        <x:v>90071685</x:v>
      </x:c>
      <x:c r="Q15" s="26">
        <x:v>82926450</x:v>
      </x:c>
      <x:c r="R15" s="26">
        <x:v>77032935</x:v>
      </x:c>
      <x:c r="S15" s="26">
        <x:v>1088735625</x:v>
      </x:c>
    </x:row>
    <x:row r="16">
      <x:c r="A16" s="10" t="s">
        <x:v>30</x:v>
      </x:c>
      <x:c r="B16" s="10" t="s">
        <x:v>31</x:v>
      </x:c>
      <x:c r="C16" s="11" t="s">
        <x:v>216</x:v>
      </x:c>
      <x:c r="D16" s="11" t="s">
        <x:v>32</x:v>
      </x:c>
      <x:c r="E16" s="11" t="s">
        <x:v>253</x:v>
      </x:c>
      <x:c r="F16" s="11" t="s">
        <x:v>214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30</x:v>
      </x:c>
      <x:c r="B17" s="10" t="s">
        <x:v>31</x:v>
      </x:c>
      <x:c r="C17" s="11" t="s">
        <x:v>216</x:v>
      </x:c>
      <x:c r="D17" s="11" t="s">
        <x:v>32</x:v>
      </x:c>
      <x:c r="E17" s="11" t="s">
        <x:v>254</x:v>
      </x:c>
      <x:c r="F17" s="11" t="s">
        <x:v>32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30</x:v>
      </x:c>
      <x:c r="B18" s="12" t="s">
        <x:v>31</x:v>
      </x:c>
      <x:c r="C18" s="12" t="s">
        <x:v>216</x:v>
      </x:c>
      <x:c r="D18" s="12" t="s">
        <x:v>32</x:v>
      </x:c>
      <x:c r="E18" s="12" t="s">
        <x:v>255</x:v>
      </x:c>
      <x:c r="F18" s="12" t="s">
        <x:v>223</x:v>
      </x:c>
      <x:c r="G18" s="26">
        <x:v>89024925</x:v>
      </x:c>
      <x:c r="H18" s="26">
        <x:v>91893450</x:v>
      </x:c>
      <x:c r="I18" s="26">
        <x:v>84596325</x:v>
      </x:c>
      <x:c r="J18" s="26">
        <x:v>60440325</x:v>
      </x:c>
      <x:c r="K18" s="26">
        <x:v>69599475</x:v>
      </x:c>
      <x:c r="L18" s="26">
        <x:v>62654625</x:v>
      </x:c>
      <x:c r="M18" s="26">
        <x:v>74631975</x:v>
      </x:c>
      <x:c r="N18" s="26">
        <x:v>83740800</x:v>
      </x:c>
      <x:c r="O18" s="26">
        <x:v>96523350</x:v>
      </x:c>
      <x:c r="P18" s="26">
        <x:v>59786100</x:v>
      </x:c>
      <x:c r="Q18" s="26">
        <x:v>71813775</x:v>
      </x:c>
      <x:c r="R18" s="26">
        <x:v>92899950</x:v>
      </x:c>
      <x:c r="S18" s="26">
        <x:v>937605075</x:v>
      </x:c>
    </x:row>
    <x:row r="19">
      <x:c r="A19" s="10" t="s">
        <x:v>30</x:v>
      </x:c>
      <x:c r="B19" s="10" t="s">
        <x:v>31</x:v>
      </x:c>
      <x:c r="C19" s="11" t="s">
        <x:v>217</x:v>
      </x:c>
      <x:c r="D19" s="11" t="s">
        <x:v>32</x:v>
      </x:c>
      <x:c r="E19" s="11" t="s">
        <x:v>253</x:v>
      </x:c>
      <x:c r="F19" s="11" t="s">
        <x:v>214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30</x:v>
      </x:c>
      <x:c r="B20" s="10" t="s">
        <x:v>31</x:v>
      </x:c>
      <x:c r="C20" s="11" t="s">
        <x:v>217</x:v>
      </x:c>
      <x:c r="D20" s="11" t="s">
        <x:v>32</x:v>
      </x:c>
      <x:c r="E20" s="11" t="s">
        <x:v>254</x:v>
      </x:c>
      <x:c r="F20" s="11" t="s">
        <x:v>32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30</x:v>
      </x:c>
      <x:c r="B21" s="12" t="s">
        <x:v>31</x:v>
      </x:c>
      <x:c r="C21" s="12" t="s">
        <x:v>217</x:v>
      </x:c>
      <x:c r="D21" s="12" t="s">
        <x:v>32</x:v>
      </x:c>
      <x:c r="E21" s="12" t="s">
        <x:v>255</x:v>
      </x:c>
      <x:c r="F21" s="12" t="s">
        <x:v>223</x:v>
      </x:c>
      <x:c r="G21" s="26">
        <x:v>92727320</x:v>
      </x:c>
      <x:c r="H21" s="26">
        <x:v>104671120</x:v>
      </x:c>
      <x:c r="I21" s="26">
        <x:v>128613010</x:v>
      </x:c>
      <x:c r="J21" s="26">
        <x:v>87786930</x:v>
      </x:c>
      <x:c r="K21" s="26">
        <x:v>101087980</x:v>
      </x:c>
      <x:c r="L21" s="26">
        <x:v>134584910</x:v>
      </x:c>
      <x:c r="M21" s="26">
        <x:v>116886370</x:v>
      </x:c>
      <x:c r="N21" s="26">
        <x:v>122423950</x:v>
      </x:c>
      <x:c r="O21" s="26">
        <x:v>111185920</x:v>
      </x:c>
      <x:c r="P21" s="26">
        <x:v>115529120</x:v>
      </x:c>
      <x:c r="Q21" s="26">
        <x:v>97993450</x:v>
      </x:c>
      <x:c r="R21" s="26">
        <x:v>116560630</x:v>
      </x:c>
      <x:c r="S21" s="26">
        <x:v>1330050710</x:v>
      </x:c>
    </x:row>
    <x:row r="22">
      <x:c r="A22" s="10" t="s">
        <x:v>30</x:v>
      </x:c>
      <x:c r="B22" s="10" t="s">
        <x:v>31</x:v>
      </x:c>
      <x:c r="C22" s="11" t="s">
        <x:v>218</x:v>
      </x:c>
      <x:c r="D22" s="11" t="s">
        <x:v>32</x:v>
      </x:c>
      <x:c r="E22" s="11" t="s">
        <x:v>253</x:v>
      </x:c>
      <x:c r="F22" s="11" t="s">
        <x:v>214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30</x:v>
      </x:c>
      <x:c r="B23" s="10" t="s">
        <x:v>31</x:v>
      </x:c>
      <x:c r="C23" s="11" t="s">
        <x:v>218</x:v>
      </x:c>
      <x:c r="D23" s="11" t="s">
        <x:v>32</x:v>
      </x:c>
      <x:c r="E23" s="11" t="s">
        <x:v>254</x:v>
      </x:c>
      <x:c r="F23" s="11" t="s">
        <x:v>32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30</x:v>
      </x:c>
      <x:c r="B24" s="12" t="s">
        <x:v>31</x:v>
      </x:c>
      <x:c r="C24" s="12" t="s">
        <x:v>218</x:v>
      </x:c>
      <x:c r="D24" s="12" t="s">
        <x:v>32</x:v>
      </x:c>
      <x:c r="E24" s="12" t="s">
        <x:v>255</x:v>
      </x:c>
      <x:c r="F24" s="12" t="s">
        <x:v>223</x:v>
      </x:c>
      <x:c r="G24" s="26">
        <x:v>52333425</x:v>
      </x:c>
      <x:c r="H24" s="26">
        <x:v>51860675</x:v>
      </x:c>
      <x:c r="I24" s="26">
        <x:v>44722150</x:v>
      </x:c>
      <x:c r="J24" s="26">
        <x:v>46944075</x:v>
      </x:c>
      <x:c r="K24" s="26">
        <x:v>57439125</x:v>
      </x:c>
      <x:c r="L24" s="26">
        <x:v>66468650</x:v>
      </x:c>
      <x:c r="M24" s="26">
        <x:v>44202125</x:v>
      </x:c>
      <x:c r="N24" s="26">
        <x:v>60086525</x:v>
      </x:c>
      <x:c r="O24" s="26">
        <x:v>55642675</x:v>
      </x:c>
      <x:c r="P24" s="26">
        <x:v>65192225</x:v>
      </x:c>
      <x:c r="Q24" s="26">
        <x:v>59046475</x:v>
      </x:c>
      <x:c r="R24" s="26">
        <x:v>64199450</x:v>
      </x:c>
      <x:c r="S24" s="26">
        <x:v>668137575</x:v>
      </x:c>
    </x:row>
    <x:row r="25">
      <x:c r="A25" s="13" t="s">
        <x:v>34</x:v>
      </x:c>
      <x:c r="B25" s="13" t="s">
        <x:v>35</x:v>
      </x:c>
      <x:c r="C25" s="14" t="s">
        <x:v>213</x:v>
      </x:c>
      <x:c r="D25" s="14" t="s">
        <x:v>36</x:v>
      </x:c>
      <x:c r="E25" s="14" t="s">
        <x:v>253</x:v>
      </x:c>
      <x:c r="F25" s="14" t="s">
        <x:v>214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34</x:v>
      </x:c>
      <x:c r="B26" s="15" t="s">
        <x:v>35</x:v>
      </x:c>
      <x:c r="C26" s="16" t="s">
        <x:v>213</x:v>
      </x:c>
      <x:c r="D26" s="16" t="s">
        <x:v>36</x:v>
      </x:c>
      <x:c r="E26" s="16" t="s">
        <x:v>254</x:v>
      </x:c>
      <x:c r="F26" s="16" t="s">
        <x:v>36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34</x:v>
      </x:c>
      <x:c r="B27" s="17" t="s">
        <x:v>35</x:v>
      </x:c>
      <x:c r="C27" s="17" t="s">
        <x:v>213</x:v>
      </x:c>
      <x:c r="D27" s="17" t="s">
        <x:v>36</x:v>
      </x:c>
      <x:c r="E27" s="17" t="s">
        <x:v>255</x:v>
      </x:c>
      <x:c r="F27" s="17" t="s">
        <x:v>223</x:v>
      </x:c>
      <x:c r="G27" s="29">
        <x:v>179185925</x:v>
      </x:c>
      <x:c r="H27" s="29">
        <x:v>140922600</x:v>
      </x:c>
      <x:c r="I27" s="29">
        <x:v>176088725</x:v>
      </x:c>
      <x:c r="J27" s="29">
        <x:v>127630450</x:v>
      </x:c>
      <x:c r="K27" s="29">
        <x:v>151117550</x:v>
      </x:c>
      <x:c r="L27" s="29">
        <x:v>121113425</x:v>
      </x:c>
      <x:c r="M27" s="29">
        <x:v>115951425</x:v>
      </x:c>
      <x:c r="N27" s="29">
        <x:v>119887450</x:v>
      </x:c>
      <x:c r="O27" s="29">
        <x:v>165054950</x:v>
      </x:c>
      <x:c r="P27" s="29">
        <x:v>175701575</x:v>
      </x:c>
      <x:c r="Q27" s="29">
        <x:v>104336925</x:v>
      </x:c>
      <x:c r="R27" s="29">
        <x:v>138793275</x:v>
      </x:c>
      <x:c r="S27" s="29">
        <x:v>1715784275</x:v>
      </x:c>
    </x:row>
    <x:row r="28">
      <x:c r="A28" s="15" t="s">
        <x:v>34</x:v>
      </x:c>
      <x:c r="B28" s="15" t="s">
        <x:v>35</x:v>
      </x:c>
      <x:c r="C28" s="16" t="s">
        <x:v>215</x:v>
      </x:c>
      <x:c r="D28" s="16" t="s">
        <x:v>36</x:v>
      </x:c>
      <x:c r="E28" s="16" t="s">
        <x:v>253</x:v>
      </x:c>
      <x:c r="F28" s="16" t="s">
        <x:v>214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34</x:v>
      </x:c>
      <x:c r="B29" s="15" t="s">
        <x:v>35</x:v>
      </x:c>
      <x:c r="C29" s="16" t="s">
        <x:v>215</x:v>
      </x:c>
      <x:c r="D29" s="16" t="s">
        <x:v>36</x:v>
      </x:c>
      <x:c r="E29" s="16" t="s">
        <x:v>254</x:v>
      </x:c>
      <x:c r="F29" s="16" t="s">
        <x:v>36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34</x:v>
      </x:c>
      <x:c r="B30" s="17" t="s">
        <x:v>35</x:v>
      </x:c>
      <x:c r="C30" s="17" t="s">
        <x:v>215</x:v>
      </x:c>
      <x:c r="D30" s="17" t="s">
        <x:v>36</x:v>
      </x:c>
      <x:c r="E30" s="17" t="s">
        <x:v>255</x:v>
      </x:c>
      <x:c r="F30" s="17" t="s">
        <x:v>223</x:v>
      </x:c>
      <x:c r="G30" s="29">
        <x:v>100621620</x:v>
      </x:c>
      <x:c r="H30" s="29">
        <x:v>74364840</x:v>
      </x:c>
      <x:c r="I30" s="29">
        <x:v>113485680</x:v>
      </x:c>
      <x:c r="J30" s="29">
        <x:v>81002460</x:v>
      </x:c>
      <x:c r="K30" s="29">
        <x:v>122942820</x:v>
      </x:c>
      <x:c r="L30" s="29">
        <x:v>104146020</x:v>
      </x:c>
      <x:c r="M30" s="29">
        <x:v>84761820</x:v>
      </x:c>
      <x:c r="N30" s="29">
        <x:v>103676100</x:v>
      </x:c>
      <x:c r="O30" s="29">
        <x:v>110078760</x:v>
      </x:c>
      <x:c r="P30" s="29">
        <x:v>96333600</x:v>
      </x:c>
      <x:c r="Q30" s="29">
        <x:v>106965540</x:v>
      </x:c>
      <x:c r="R30" s="29">
        <x:v>115894020</x:v>
      </x:c>
      <x:c r="S30" s="29">
        <x:v>1214273280</x:v>
      </x:c>
    </x:row>
    <x:row r="31">
      <x:c r="A31" s="15" t="s">
        <x:v>34</x:v>
      </x:c>
      <x:c r="B31" s="15" t="s">
        <x:v>35</x:v>
      </x:c>
      <x:c r="C31" s="16" t="s">
        <x:v>216</x:v>
      </x:c>
      <x:c r="D31" s="16" t="s">
        <x:v>36</x:v>
      </x:c>
      <x:c r="E31" s="16" t="s">
        <x:v>253</x:v>
      </x:c>
      <x:c r="F31" s="16" t="s">
        <x:v>214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34</x:v>
      </x:c>
      <x:c r="B32" s="15" t="s">
        <x:v>35</x:v>
      </x:c>
      <x:c r="C32" s="16" t="s">
        <x:v>216</x:v>
      </x:c>
      <x:c r="D32" s="16" t="s">
        <x:v>36</x:v>
      </x:c>
      <x:c r="E32" s="16" t="s">
        <x:v>254</x:v>
      </x:c>
      <x:c r="F32" s="16" t="s">
        <x:v>36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34</x:v>
      </x:c>
      <x:c r="B33" s="17" t="s">
        <x:v>35</x:v>
      </x:c>
      <x:c r="C33" s="17" t="s">
        <x:v>216</x:v>
      </x:c>
      <x:c r="D33" s="17" t="s">
        <x:v>36</x:v>
      </x:c>
      <x:c r="E33" s="17" t="s">
        <x:v>255</x:v>
      </x:c>
      <x:c r="F33" s="17" t="s">
        <x:v>223</x:v>
      </x:c>
      <x:c r="G33" s="29">
        <x:v>82907505</x:v>
      </x:c>
      <x:c r="H33" s="29">
        <x:v>85676740</x:v>
      </x:c>
      <x:c r="I33" s="29">
        <x:v>94210505</x:v>
      </x:c>
      <x:c r="J33" s="29">
        <x:v>82850990</x:v>
      </x:c>
      <x:c r="K33" s="29">
        <x:v>85846285</x:v>
      </x:c>
      <x:c r="L33" s="29">
        <x:v>75277980</x:v>
      </x:c>
      <x:c r="M33" s="29">
        <x:v>105626535</x:v>
      </x:c>
      <x:c r="N33" s="29">
        <x:v>106756835</x:v>
      </x:c>
      <x:c r="O33" s="29">
        <x:v>70587235</x:v>
      </x:c>
      <x:c r="P33" s="29">
        <x:v>83642200</x:v>
      </x:c>
      <x:c r="Q33" s="29">
        <x:v>70700265</x:v>
      </x:c>
      <x:c r="R33" s="29">
        <x:v>74430255</x:v>
      </x:c>
      <x:c r="S33" s="29">
        <x:v>1018513330</x:v>
      </x:c>
    </x:row>
    <x:row r="34">
      <x:c r="A34" s="15" t="s">
        <x:v>34</x:v>
      </x:c>
      <x:c r="B34" s="15" t="s">
        <x:v>35</x:v>
      </x:c>
      <x:c r="C34" s="16" t="s">
        <x:v>217</x:v>
      </x:c>
      <x:c r="D34" s="16" t="s">
        <x:v>36</x:v>
      </x:c>
      <x:c r="E34" s="16" t="s">
        <x:v>253</x:v>
      </x:c>
      <x:c r="F34" s="16" t="s">
        <x:v>214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34</x:v>
      </x:c>
      <x:c r="B35" s="15" t="s">
        <x:v>35</x:v>
      </x:c>
      <x:c r="C35" s="16" t="s">
        <x:v>217</x:v>
      </x:c>
      <x:c r="D35" s="16" t="s">
        <x:v>36</x:v>
      </x:c>
      <x:c r="E35" s="16" t="s">
        <x:v>254</x:v>
      </x:c>
      <x:c r="F35" s="16" t="s">
        <x:v>36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34</x:v>
      </x:c>
      <x:c r="B36" s="17" t="s">
        <x:v>35</x:v>
      </x:c>
      <x:c r="C36" s="17" t="s">
        <x:v>217</x:v>
      </x:c>
      <x:c r="D36" s="17" t="s">
        <x:v>36</x:v>
      </x:c>
      <x:c r="E36" s="17" t="s">
        <x:v>255</x:v>
      </x:c>
      <x:c r="F36" s="17" t="s">
        <x:v>223</x:v>
      </x:c>
      <x:c r="G36" s="29">
        <x:v>118637890</x:v>
      </x:c>
      <x:c r="H36" s="29">
        <x:v>155812745</x:v>
      </x:c>
      <x:c r="I36" s="29">
        <x:v>99153565</x:v>
      </x:c>
      <x:c r="J36" s="29">
        <x:v>134225350</x:v>
      </x:c>
      <x:c r="K36" s="29">
        <x:v>118081195</x:v>
      </x:c>
      <x:c r="L36" s="29">
        <x:v>107751410</x:v>
      </x:c>
      <x:c r="M36" s="29">
        <x:v>138926330</x:v>
      </x:c>
      <x:c r="N36" s="29">
        <x:v>143379890</x:v>
      </x:c>
      <x:c r="O36" s="29">
        <x:v>99710260</x:v>
      </x:c>
      <x:c r="P36" s="29">
        <x:v>94823715</x:v>
      </x:c>
      <x:c r="Q36" s="29">
        <x:v>156245730</x:v>
      </x:c>
      <x:c r="R36" s="29">
        <x:v>127173880</x:v>
      </x:c>
      <x:c r="S36" s="29">
        <x:v>1493921960</x:v>
      </x:c>
    </x:row>
    <x:row r="37">
      <x:c r="A37" s="15" t="s">
        <x:v>34</x:v>
      </x:c>
      <x:c r="B37" s="15" t="s">
        <x:v>35</x:v>
      </x:c>
      <x:c r="C37" s="16" t="s">
        <x:v>218</x:v>
      </x:c>
      <x:c r="D37" s="16" t="s">
        <x:v>36</x:v>
      </x:c>
      <x:c r="E37" s="16" t="s">
        <x:v>253</x:v>
      </x:c>
      <x:c r="F37" s="16" t="s">
        <x:v>214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34</x:v>
      </x:c>
      <x:c r="B38" s="15" t="s">
        <x:v>35</x:v>
      </x:c>
      <x:c r="C38" s="16" t="s">
        <x:v>218</x:v>
      </x:c>
      <x:c r="D38" s="16" t="s">
        <x:v>36</x:v>
      </x:c>
      <x:c r="E38" s="16" t="s">
        <x:v>254</x:v>
      </x:c>
      <x:c r="F38" s="16" t="s">
        <x:v>36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34</x:v>
      </x:c>
      <x:c r="B39" s="17" t="s">
        <x:v>35</x:v>
      </x:c>
      <x:c r="C39" s="17" t="s">
        <x:v>218</x:v>
      </x:c>
      <x:c r="D39" s="17" t="s">
        <x:v>36</x:v>
      </x:c>
      <x:c r="E39" s="17" t="s">
        <x:v>255</x:v>
      </x:c>
      <x:c r="F39" s="17" t="s">
        <x:v>223</x:v>
      </x:c>
      <x:c r="G39" s="29">
        <x:v>66267620</x:v>
      </x:c>
      <x:c r="H39" s="29">
        <x:v>62906980</x:v>
      </x:c>
      <x:c r="I39" s="29">
        <x:v>53087610</x:v>
      </x:c>
      <x:c r="J39" s="29">
        <x:v>73724040</x:v>
      </x:c>
      <x:c r="K39" s="29">
        <x:v>71728660</x:v>
      </x:c>
      <x:c r="L39" s="29">
        <x:v>50882190</x:v>
      </x:c>
      <x:c r="M39" s="29">
        <x:v>54452870</x:v>
      </x:c>
      <x:c r="N39" s="29">
        <x:v>50724660</x:v>
      </x:c>
      <x:c r="O39" s="29">
        <x:v>79237590</x:v>
      </x:c>
      <x:c r="P39" s="29">
        <x:v>64272240</x:v>
      </x:c>
      <x:c r="Q39" s="29">
        <x:v>56343230</x:v>
      </x:c>
      <x:c r="R39" s="29">
        <x:v>75666910</x:v>
      </x:c>
      <x:c r="S39" s="29">
        <x:v>759294600</x:v>
      </x:c>
    </x:row>
    <x:row r="40">
      <x:c r="A40" s="18" t="s">
        <x:v>37</x:v>
      </x:c>
      <x:c r="B40" s="18" t="s">
        <x:v>256</x:v>
      </x:c>
      <x:c r="C40" s="19" t="s">
        <x:v>213</x:v>
      </x:c>
      <x:c r="D40" s="19" t="s">
        <x:v>36</x:v>
      </x:c>
      <x:c r="E40" s="19" t="s">
        <x:v>253</x:v>
      </x:c>
      <x:c r="F40" s="19" t="s">
        <x:v>214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37</x:v>
      </x:c>
      <x:c r="B41" s="20" t="s">
        <x:v>256</x:v>
      </x:c>
      <x:c r="C41" s="21" t="s">
        <x:v>213</x:v>
      </x:c>
      <x:c r="D41" s="21" t="s">
        <x:v>36</x:v>
      </x:c>
      <x:c r="E41" s="21" t="s">
        <x:v>254</x:v>
      </x:c>
      <x:c r="F41" s="21" t="s">
        <x:v>36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37</x:v>
      </x:c>
      <x:c r="B42" s="22" t="s">
        <x:v>256</x:v>
      </x:c>
      <x:c r="C42" s="22" t="s">
        <x:v>213</x:v>
      </x:c>
      <x:c r="D42" s="22" t="s">
        <x:v>36</x:v>
      </x:c>
      <x:c r="E42" s="22" t="s">
        <x:v>255</x:v>
      </x:c>
      <x:c r="F42" s="22" t="s">
        <x:v>223</x:v>
      </x:c>
      <x:c r="G42" s="32">
        <x:v>128211175</x:v>
      </x:c>
      <x:c r="H42" s="32">
        <x:v>158537925</x:v>
      </x:c>
      <x:c r="I42" s="32">
        <x:v>141309750</x:v>
      </x:c>
      <x:c r="J42" s="32">
        <x:v>116983825</x:v>
      </x:c>
      <x:c r="K42" s="32">
        <x:v>121371525</x:v>
      </x:c>
      <x:c r="L42" s="32">
        <x:v>133115075</x:v>
      </x:c>
      <x:c r="M42" s="32">
        <x:v>108466525</x:v>
      </x:c>
      <x:c r="N42" s="32">
        <x:v>159957475</x:v>
      </x:c>
      <x:c r="O42" s="32">
        <x:v>105627425</x:v>
      </x:c>
      <x:c r="P42" s="32">
        <x:v>135115350</x:v>
      </x:c>
      <x:c r="Q42" s="32">
        <x:v>115564275</x:v>
      </x:c>
      <x:c r="R42" s="32">
        <x:v>118403375</x:v>
      </x:c>
      <x:c r="S42" s="32">
        <x:v>1542663700</x:v>
      </x:c>
    </x:row>
    <x:row r="43">
      <x:c r="A43" s="20" t="s">
        <x:v>37</x:v>
      </x:c>
      <x:c r="B43" s="20" t="s">
        <x:v>256</x:v>
      </x:c>
      <x:c r="C43" s="21" t="s">
        <x:v>215</x:v>
      </x:c>
      <x:c r="D43" s="21" t="s">
        <x:v>36</x:v>
      </x:c>
      <x:c r="E43" s="21" t="s">
        <x:v>253</x:v>
      </x:c>
      <x:c r="F43" s="21" t="s">
        <x:v>214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37</x:v>
      </x:c>
      <x:c r="B44" s="20" t="s">
        <x:v>256</x:v>
      </x:c>
      <x:c r="C44" s="21" t="s">
        <x:v>215</x:v>
      </x:c>
      <x:c r="D44" s="21" t="s">
        <x:v>36</x:v>
      </x:c>
      <x:c r="E44" s="21" t="s">
        <x:v>254</x:v>
      </x:c>
      <x:c r="F44" s="21" t="s">
        <x:v>36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37</x:v>
      </x:c>
      <x:c r="B45" s="22" t="s">
        <x:v>256</x:v>
      </x:c>
      <x:c r="C45" s="22" t="s">
        <x:v>215</x:v>
      </x:c>
      <x:c r="D45" s="22" t="s">
        <x:v>36</x:v>
      </x:c>
      <x:c r="E45" s="22" t="s">
        <x:v>255</x:v>
      </x:c>
      <x:c r="F45" s="22" t="s">
        <x:v>223</x:v>
      </x:c>
      <x:c r="G45" s="32">
        <x:v>74423580</x:v>
      </x:c>
      <x:c r="H45" s="32">
        <x:v>125938560</x:v>
      </x:c>
      <x:c r="I45" s="32">
        <x:v>105027120</x:v>
      </x:c>
      <x:c r="J45" s="32">
        <x:v>107376720</x:v>
      </x:c>
      <x:c r="K45" s="32">
        <x:v>123706440</x:v>
      </x:c>
      <x:c r="L45" s="32">
        <x:v>117480000</x:v>
      </x:c>
      <x:c r="M45" s="32">
        <x:v>82353480</x:v>
      </x:c>
      <x:c r="N45" s="32">
        <x:v>78535380</x:v>
      </x:c>
      <x:c r="O45" s="32">
        <x:v>90812040</x:v>
      </x:c>
      <x:c r="P45" s="32">
        <x:v>112428360</x:v>
      </x:c>
      <x:c r="Q45" s="32">
        <x:v>103088700</x:v>
      </x:c>
      <x:c r="R45" s="32">
        <x:v>126643440</x:v>
      </x:c>
      <x:c r="S45" s="32">
        <x:v>1247813820</x:v>
      </x:c>
    </x:row>
    <x:row r="46">
      <x:c r="A46" s="20" t="s">
        <x:v>37</x:v>
      </x:c>
      <x:c r="B46" s="20" t="s">
        <x:v>256</x:v>
      </x:c>
      <x:c r="C46" s="21" t="s">
        <x:v>216</x:v>
      </x:c>
      <x:c r="D46" s="21" t="s">
        <x:v>36</x:v>
      </x:c>
      <x:c r="E46" s="21" t="s">
        <x:v>253</x:v>
      </x:c>
      <x:c r="F46" s="21" t="s">
        <x:v>214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37</x:v>
      </x:c>
      <x:c r="B47" s="20" t="s">
        <x:v>256</x:v>
      </x:c>
      <x:c r="C47" s="21" t="s">
        <x:v>216</x:v>
      </x:c>
      <x:c r="D47" s="21" t="s">
        <x:v>36</x:v>
      </x:c>
      <x:c r="E47" s="21" t="s">
        <x:v>254</x:v>
      </x:c>
      <x:c r="F47" s="21" t="s">
        <x:v>36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37</x:v>
      </x:c>
      <x:c r="B48" s="22" t="s">
        <x:v>256</x:v>
      </x:c>
      <x:c r="C48" s="22" t="s">
        <x:v>216</x:v>
      </x:c>
      <x:c r="D48" s="22" t="s">
        <x:v>36</x:v>
      </x:c>
      <x:c r="E48" s="22" t="s">
        <x:v>255</x:v>
      </x:c>
      <x:c r="F48" s="22" t="s">
        <x:v>223</x:v>
      </x:c>
      <x:c r="G48" s="32">
        <x:v>101670485</x:v>
      </x:c>
      <x:c r="H48" s="32">
        <x:v>102292150</x:v>
      </x:c>
      <x:c r="I48" s="32">
        <x:v>89915365</x:v>
      </x:c>
      <x:c r="J48" s="32">
        <x:v>82907505</x:v>
      </x:c>
      <x:c r="K48" s="32">
        <x:v>83698715</x:v>
      </x:c>
      <x:c r="L48" s="32">
        <x:v>61601350</x:v>
      </x:c>
      <x:c r="M48" s="32">
        <x:v>95849440</x:v>
      </x:c>
      <x:c r="N48" s="32">
        <x:v>101105335</x:v>
      </x:c>
      <x:c r="O48" s="32">
        <x:v>79403575</x:v>
      </x:c>
      <x:c r="P48" s="32">
        <x:v>108395770</x:v>
      </x:c>
      <x:c r="Q48" s="32">
        <x:v>62392560</x:v>
      </x:c>
      <x:c r="R48" s="32">
        <x:v>101613970</x:v>
      </x:c>
      <x:c r="S48" s="32">
        <x:v>1070846220</x:v>
      </x:c>
    </x:row>
    <x:row r="49">
      <x:c r="A49" s="20" t="s">
        <x:v>37</x:v>
      </x:c>
      <x:c r="B49" s="20" t="s">
        <x:v>256</x:v>
      </x:c>
      <x:c r="C49" s="21" t="s">
        <x:v>217</x:v>
      </x:c>
      <x:c r="D49" s="21" t="s">
        <x:v>36</x:v>
      </x:c>
      <x:c r="E49" s="21" t="s">
        <x:v>253</x:v>
      </x:c>
      <x:c r="F49" s="21" t="s">
        <x:v>214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37</x:v>
      </x:c>
      <x:c r="B50" s="20" t="s">
        <x:v>256</x:v>
      </x:c>
      <x:c r="C50" s="21" t="s">
        <x:v>217</x:v>
      </x:c>
      <x:c r="D50" s="21" t="s">
        <x:v>36</x:v>
      </x:c>
      <x:c r="E50" s="21" t="s">
        <x:v>254</x:v>
      </x:c>
      <x:c r="F50" s="21" t="s">
        <x:v>36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37</x:v>
      </x:c>
      <x:c r="B51" s="22" t="s">
        <x:v>256</x:v>
      </x:c>
      <x:c r="C51" s="22" t="s">
        <x:v>217</x:v>
      </x:c>
      <x:c r="D51" s="22" t="s">
        <x:v>36</x:v>
      </x:c>
      <x:c r="E51" s="22" t="s">
        <x:v>255</x:v>
      </x:c>
      <x:c r="F51" s="22" t="s">
        <x:v>223</x:v>
      </x:c>
      <x:c r="G51" s="32">
        <x:v>140596415</x:v>
      </x:c>
      <x:c r="H51" s="32">
        <x:v>146843770</x:v>
      </x:c>
      <x:c r="I51" s="32">
        <x:v>141338675</x:v>
      </x:c>
      <x:c r="J51" s="32">
        <x:v>114741025</x:v>
      </x:c>
      <x:c r="K51" s="32">
        <x:v>117277080</x:v>
      </x:c>
      <x:c r="L51" s="32">
        <x:v>126617185</x:v>
      </x:c>
      <x:c r="M51" s="32">
        <x:v>157977670</x:v>
      </x:c>
      <x:c r="N51" s="32">
        <x:v>99400985</x:v>
      </x:c>
      <x:c r="O51" s="32">
        <x:v>108988510</x:v>
      </x:c>
      <x:c r="P51" s="32">
        <x:v>147214900</x:v>
      </x:c>
      <x:c r="Q51" s="32">
        <x:v>97730900</x:v>
      </x:c>
      <x:c r="R51" s="32">
        <x:v>100390665</x:v>
      </x:c>
      <x:c r="S51" s="32">
        <x:v>1499117780</x:v>
      </x:c>
    </x:row>
    <x:row r="52">
      <x:c r="A52" s="20" t="s">
        <x:v>37</x:v>
      </x:c>
      <x:c r="B52" s="20" t="s">
        <x:v>256</x:v>
      </x:c>
      <x:c r="C52" s="21" t="s">
        <x:v>218</x:v>
      </x:c>
      <x:c r="D52" s="21" t="s">
        <x:v>36</x:v>
      </x:c>
      <x:c r="E52" s="21" t="s">
        <x:v>253</x:v>
      </x:c>
      <x:c r="F52" s="21" t="s">
        <x:v>214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37</x:v>
      </x:c>
      <x:c r="B53" s="20" t="s">
        <x:v>256</x:v>
      </x:c>
      <x:c r="C53" s="21" t="s">
        <x:v>218</x:v>
      </x:c>
      <x:c r="D53" s="21" t="s">
        <x:v>36</x:v>
      </x:c>
      <x:c r="E53" s="21" t="s">
        <x:v>254</x:v>
      </x:c>
      <x:c r="F53" s="21" t="s">
        <x:v>36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37</x:v>
      </x:c>
      <x:c r="B54" s="22" t="s">
        <x:v>256</x:v>
      </x:c>
      <x:c r="C54" s="22" t="s">
        <x:v>218</x:v>
      </x:c>
      <x:c r="D54" s="22" t="s">
        <x:v>36</x:v>
      </x:c>
      <x:c r="E54" s="22" t="s">
        <x:v>255</x:v>
      </x:c>
      <x:c r="F54" s="22" t="s">
        <x:v>223</x:v>
      </x:c>
      <x:c r="G54" s="32">
        <x:v>69103160</x:v>
      </x:c>
      <x:c r="H54" s="32">
        <x:v>53297650</x:v>
      </x:c>
      <x:c r="I54" s="32">
        <x:v>58181080</x:v>
      </x:c>
      <x:c r="J54" s="32">
        <x:v>72831370</x:v>
      </x:c>
      <x:c r="K54" s="32">
        <x:v>75614400</x:v>
      </x:c>
      <x:c r="L54" s="32">
        <x:v>59388810</x:v>
      </x:c>
      <x:c r="M54" s="32">
        <x:v>76034480</x:v>
      </x:c>
      <x:c r="N54" s="32">
        <x:v>71938700</x:v>
      </x:c>
      <x:c r="O54" s="32">
        <x:v>49989520</x:v>
      </x:c>
      <x:c r="P54" s="32">
        <x:v>68998140</x:v>
      </x:c>
      <x:c r="Q54" s="32">
        <x:v>47941630</x:v>
      </x:c>
      <x:c r="R54" s="32">
        <x:v>54085300</x:v>
      </x:c>
      <x:c r="S54" s="32">
        <x:v>757404240</x:v>
      </x:c>
    </x:row>
  </x:sheetData>
  <x:mergeCells>
    <x:mergeCell ref="P5:S5"/>
    <x:mergeCell ref="A7:S7"/>
    <x:mergeCell ref="A5:C5"/>
    <x:mergeCell ref="D5:F5"/>
    <x:mergeCell ref="G5:I5"/>
    <x:mergeCell ref="J5:L5"/>
    <x:mergeCell ref="M5:O5"/>
    <x:mergeCell ref="A1:S1"/>
    <x:mergeCell ref="A2:S2"/>
    <x:mergeCell ref="A4:C4"/>
    <x:mergeCell ref="D4:F4"/>
    <x:mergeCell ref="G4:I4"/>
    <x:mergeCell ref="J4:L4"/>
    <x:mergeCell ref="M4:O4"/>
    <x:mergeCell ref="P4:S4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</x:cfRule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26</x:v>
      </x:c>
      <x:c r="B1" s="1" t="s">
        <x:v>27</x:v>
      </x:c>
      <x:c r="C1" s="1" t="s">
        <x:v>257</x:v>
      </x:c>
      <x:c r="D1" s="1" t="s">
        <x:v>199</x:v>
      </x:c>
      <x:c r="E1" s="1" t="s">
        <x:v>200</x:v>
      </x:c>
      <x:c r="F1" s="1" t="s">
        <x:v>201</x:v>
      </x:c>
      <x:c r="G1" s="1" t="s">
        <x:v>202</x:v>
      </x:c>
      <x:c r="H1" s="1" t="s">
        <x:v>203</x:v>
      </x:c>
      <x:c r="I1" s="1" t="s">
        <x:v>204</x:v>
      </x:c>
      <x:c r="J1" s="1" t="s">
        <x:v>205</x:v>
      </x:c>
      <x:c r="K1" s="1" t="s">
        <x:v>206</x:v>
      </x:c>
      <x:c r="L1" s="1" t="s">
        <x:v>207</x:v>
      </x:c>
      <x:c r="M1" s="1" t="s">
        <x:v>208</x:v>
      </x:c>
      <x:c r="N1" s="1" t="s">
        <x:v>209</x:v>
      </x:c>
      <x:c r="O1" s="1" t="s">
        <x:v>210</x:v>
      </x:c>
      <x:c r="P1" s="1" t="s">
        <x:v>211</x:v>
      </x:c>
      <x:c r="Q1" s="1" t="s">
        <x:v>212</x:v>
      </x:c>
    </x:row>
    <x:row r="2">
      <x:c r="A2" t="s">
        <x:v>30</x:v>
      </x:c>
      <x:c r="B2" t="s">
        <x:v>31</x:v>
      </x:c>
      <x:c r="C2" t="s">
        <x:v>258</x:v>
      </x:c>
      <x:c r="D2" t="s">
        <x:v>223</x:v>
      </x:c>
      <x:c r="E2" s="4">
        <x:v>12243528</x:v>
      </x:c>
      <x:c r="F2" s="4">
        <x:v>10541520</x:v>
      </x:c>
      <x:c r="G2" s="4">
        <x:v>9903960</x:v>
      </x:c>
      <x:c r="H2" s="4">
        <x:v>11515680</x:v>
      </x:c>
      <x:c r="I2" s="4">
        <x:v>11560032</x:v>
      </x:c>
      <x:c r="J2" s="4">
        <x:v>11204424</x:v>
      </x:c>
      <x:c r="K2" s="4">
        <x:v>11772288</x:v>
      </x:c>
      <x:c r="L2" s="4">
        <x:v>10950192</x:v>
      </x:c>
      <x:c r="M2" s="4">
        <x:v>10257984</x:v>
      </x:c>
      <x:c r="N2" s="4">
        <x:v>12862080</x:v>
      </x:c>
      <x:c r="O2" s="4">
        <x:v>9733680</x:v>
      </x:c>
      <x:c r="P2" s="4">
        <x:v>10262736</x:v>
      </x:c>
      <x:c r="Q2" s="4" t="n">
        <x:f t="shared" ref="Q2:Q19" si="0">SUM(E2:P2)</x:f>
        <x:v>132808104</x:v>
      </x:c>
    </x:row>
    <x:row r="3">
      <x:c r="A3" t="s">
        <x:v>30</x:v>
      </x:c>
      <x:c r="B3" t="s">
        <x:v>31</x:v>
      </x:c>
      <x:c r="C3" t="s">
        <x:v>259</x:v>
      </x:c>
      <x:c r="D3" t="s">
        <x:v>223</x:v>
      </x:c>
      <x:c r="E3" s="4">
        <x:v>4854168</x:v>
      </x:c>
      <x:c r="F3" s="4">
        <x:v>5323824</x:v>
      </x:c>
      <x:c r="G3" s="4">
        <x:v>5707944</x:v>
      </x:c>
      <x:c r="H3" s="4">
        <x:v>5336496</x:v>
      </x:c>
      <x:c r="I3" s="4">
        <x:v>4382136</x:v>
      </x:c>
      <x:c r="J3" s="4">
        <x:v>4726656</x:v>
      </x:c>
      <x:c r="K3" s="4">
        <x:v>5193144</x:v>
      </x:c>
      <x:c r="L3" s="4">
        <x:v>5128992</x:v>
      </x:c>
      <x:c r="M3" s="4">
        <x:v>5532912</x:v>
      </x:c>
      <x:c r="N3" s="4">
        <x:v>5165424</x:v>
      </x:c>
      <x:c r="O3" s="4">
        <x:v>5909904</x:v>
      </x:c>
      <x:c r="P3" s="4">
        <x:v>5345208</x:v>
      </x:c>
      <x:c r="Q3" s="4">
        <x:f t="shared" si="0"/>
        <x:v>62606808</x:v>
      </x:c>
    </x:row>
    <x:row r="4">
      <x:c r="A4" t="s">
        <x:v>30</x:v>
      </x:c>
      <x:c r="B4" t="s">
        <x:v>31</x:v>
      </x:c>
      <x:c r="C4" t="s">
        <x:v>260</x:v>
      </x:c>
      <x:c r="D4" t="s">
        <x:v>223</x:v>
      </x:c>
      <x:c r="E4" s="4">
        <x:v>6730416</x:v>
      </x:c>
      <x:c r="F4" s="4">
        <x:v>7132752</x:v>
      </x:c>
      <x:c r="G4" s="4">
        <x:v>6036624</x:v>
      </x:c>
      <x:c r="H4" s="4">
        <x:v>7319664</x:v>
      </x:c>
      <x:c r="I4" s="4">
        <x:v>6629040</x:v>
      </x:c>
      <x:c r="J4" s="4">
        <x:v>6785856</x:v>
      </x:c>
      <x:c r="K4" s="4">
        <x:v>6127704</x:v>
      </x:c>
      <x:c r="L4" s="4">
        <x:v>6618744</x:v>
      </x:c>
      <x:c r="M4" s="4">
        <x:v>7680024</x:v>
      </x:c>
      <x:c r="N4" s="4">
        <x:v>7449552</x:v>
      </x:c>
      <x:c r="O4" s="4">
        <x:v>6512616</x:v>
      </x:c>
      <x:c r="P4" s="4">
        <x:v>7813080</x:v>
      </x:c>
      <x:c r="Q4" s="4">
        <x:f t="shared" si="0"/>
        <x:v>82836072</x:v>
      </x:c>
    </x:row>
    <x:row r="5">
      <x:c r="A5" t="s">
        <x:v>30</x:v>
      </x:c>
      <x:c r="B5" t="s">
        <x:v>31</x:v>
      </x:c>
      <x:c r="C5" t="s">
        <x:v>261</x:v>
      </x:c>
      <x:c r="D5" t="s">
        <x:v>223</x:v>
      </x:c>
      <x:c r="E5" s="4">
        <x:v>34904232</x:v>
      </x:c>
      <x:c r="F5" s="4">
        <x:v>41237856</x:v>
      </x:c>
      <x:c r="G5" s="4">
        <x:v>40514760</x:v>
      </x:c>
      <x:c r="H5" s="4">
        <x:v>34526448</x:v>
      </x:c>
      <x:c r="I5" s="4">
        <x:v>40289832</x:v>
      </x:c>
      <x:c r="J5" s="4">
        <x:v>41222808</x:v>
      </x:c>
      <x:c r="K5" s="4">
        <x:v>37706328</x:v>
      </x:c>
      <x:c r="L5" s="4">
        <x:v>44463672</x:v>
      </x:c>
      <x:c r="M5" s="4">
        <x:v>33567336</x:v>
      </x:c>
      <x:c r="N5" s="4">
        <x:v>40842648</x:v>
      </x:c>
      <x:c r="O5" s="4">
        <x:v>41384376</x:v>
      </x:c>
      <x:c r="P5" s="4">
        <x:v>37774440</x:v>
      </x:c>
      <x:c r="Q5" s="4">
        <x:f t="shared" si="0"/>
        <x:v>468434736</x:v>
      </x:c>
    </x:row>
    <x:row r="6">
      <x:c r="A6" t="s">
        <x:v>30</x:v>
      </x:c>
      <x:c r="B6" t="s">
        <x:v>31</x:v>
      </x:c>
      <x:c r="C6" t="s">
        <x:v>262</x:v>
      </x:c>
      <x:c r="D6" t="s">
        <x:v>223</x:v>
      </x:c>
      <x:c r="E6" s="4">
        <x:v>3245616</x:v>
      </x:c>
      <x:c r="F6" s="4">
        <x:v>4163544</x:v>
      </x:c>
      <x:c r="G6" s="4">
        <x:v>4179384</x:v>
      </x:c>
      <x:c r="H6" s="4">
        <x:v>4123944</x:v>
      </x:c>
      <x:c r="I6" s="4">
        <x:v>4187304</x:v>
      </x:c>
      <x:c r="J6" s="4">
        <x:v>3850704</x:v>
      </x:c>
      <x:c r="K6" s="4">
        <x:v>4142160</x:v>
      </x:c>
      <x:c r="L6" s="4">
        <x:v>4260960</x:v>
      </x:c>
      <x:c r="M6" s="4">
        <x:v>3429360</x:v>
      </x:c>
      <x:c r="N6" s="4">
        <x:v>3916440</x:v>
      </x:c>
      <x:c r="O6" s="4">
        <x:v>4211856</x:v>
      </x:c>
      <x:c r="P6" s="4">
        <x:v>3487968</x:v>
      </x:c>
      <x:c r="Q6" s="4">
        <x:f t="shared" si="0"/>
        <x:v>47199240</x:v>
      </x:c>
    </x:row>
    <x:row r="7">
      <x:c r="A7" t="s">
        <x:v>30</x:v>
      </x:c>
      <x:c r="B7" t="s">
        <x:v>31</x:v>
      </x:c>
      <x:c r="C7" t="s">
        <x:v>263</x:v>
      </x:c>
      <x:c r="D7" t="s">
        <x:v>223</x:v>
      </x:c>
      <x:c r="E7" s="4">
        <x:v>2463912</x:v>
      </x:c>
      <x:c r="F7" s="4">
        <x:v>2229480</x:v>
      </x:c>
      <x:c r="G7" s="4">
        <x:v>2516184</x:v>
      </x:c>
      <x:c r="H7" s="4">
        <x:v>2554992</x:v>
      </x:c>
      <x:c r="I7" s="4">
        <x:v>2704680</x:v>
      </x:c>
      <x:c r="J7" s="4">
        <x:v>2235024</x:v>
      </x:c>
      <x:c r="K7" s="4">
        <x:v>2256408</x:v>
      </x:c>
      <x:c r="L7" s="4">
        <x:v>2935944</x:v>
      </x:c>
      <x:c r="M7" s="4">
        <x:v>2885256</x:v>
      </x:c>
      <x:c r="N7" s="4">
        <x:v>2266704</x:v>
      </x:c>
      <x:c r="O7" s="4">
        <x:v>2372832</x:v>
      </x:c>
      <x:c r="P7" s="4">
        <x:v>2372832</x:v>
      </x:c>
      <x:c r="Q7" s="4">
        <x:f t="shared" si="0"/>
        <x:v>29794248</x:v>
      </x:c>
    </x:row>
    <x:row r="8">
      <x:c r="A8" t="s">
        <x:v>34</x:v>
      </x:c>
      <x:c r="B8" t="s">
        <x:v>35</x:v>
      </x:c>
      <x:c r="C8" t="s">
        <x:v>258</x:v>
      </x:c>
      <x:c r="D8" t="s">
        <x:v>223</x:v>
      </x:c>
      <x:c r="E8" s="4">
        <x:v>11218680</x:v>
      </x:c>
      <x:c r="F8" s="4">
        <x:v>12067704</x:v>
      </x:c>
      <x:c r="G8" s="4">
        <x:v>12454200</x:v>
      </x:c>
      <x:c r="H8" s="4">
        <x:v>12180168</x:v>
      </x:c>
      <x:c r="I8" s="4">
        <x:v>10390248</x:v>
      </x:c>
      <x:c r="J8" s="4">
        <x:v>13445784</x:v>
      </x:c>
      <x:c r="K8" s="4">
        <x:v>10696752</x:v>
      </x:c>
      <x:c r="L8" s="4">
        <x:v>10756944</x:v>
      </x:c>
      <x:c r="M8" s="4">
        <x:v>12908808</x:v>
      </x:c>
      <x:c r="N8" s="4">
        <x:v>13273920</x:v>
      </x:c>
      <x:c r="O8" s="4">
        <x:v>13505976</x:v>
      </x:c>
      <x:c r="P8" s="4">
        <x:v>13165416</x:v>
      </x:c>
      <x:c r="Q8" s="4">
        <x:f t="shared" si="0"/>
        <x:v>146064600</x:v>
      </x:c>
    </x:row>
    <x:row r="9">
      <x:c r="A9" t="s">
        <x:v>34</x:v>
      </x:c>
      <x:c r="B9" t="s">
        <x:v>35</x:v>
      </x:c>
      <x:c r="C9" t="s">
        <x:v>259</x:v>
      </x:c>
      <x:c r="D9" t="s">
        <x:v>223</x:v>
      </x:c>
      <x:c r="E9" s="4">
        <x:v>6084936</x:v>
      </x:c>
      <x:c r="F9" s="4">
        <x:v>5753088</x:v>
      </x:c>
      <x:c r="G9" s="4">
        <x:v>6239376</x:v>
      </x:c>
      <x:c r="H9" s="4">
        <x:v>6019992</x:v>
      </x:c>
      <x:c r="I9" s="4">
        <x:v>5579640</x:v>
      </x:c>
      <x:c r="J9" s="4">
        <x:v>4802688</x:v>
      </x:c>
      <x:c r="K9" s="4">
        <x:v>4936536</x:v>
      </x:c>
      <x:c r="L9" s="4">
        <x:v>5694480</x:v>
      </x:c>
      <x:c r="M9" s="4">
        <x:v>6201360</x:v>
      </x:c>
      <x:c r="N9" s="4">
        <x:v>4858920</x:v>
      </x:c>
      <x:c r="O9" s="4">
        <x:v>4844664</x:v>
      </x:c>
      <x:c r="P9" s="4">
        <x:v>6385896</x:v>
      </x:c>
      <x:c r="Q9" s="4">
        <x:f t="shared" si="0"/>
        <x:v>67401576</x:v>
      </x:c>
    </x:row>
    <x:row r="10">
      <x:c r="A10" t="s">
        <x:v>34</x:v>
      </x:c>
      <x:c r="B10" t="s">
        <x:v>35</x:v>
      </x:c>
      <x:c r="C10" t="s">
        <x:v>260</x:v>
      </x:c>
      <x:c r="D10" t="s">
        <x:v>223</x:v>
      </x:c>
      <x:c r="E10" s="4">
        <x:v>6685272</x:v>
      </x:c>
      <x:c r="F10" s="4">
        <x:v>7436088</x:v>
      </x:c>
      <x:c r="G10" s="4">
        <x:v>8243136</x:v>
      </x:c>
      <x:c r="H10" s="4">
        <x:v>6644088</x:v>
      </x:c>
      <x:c r="I10" s="4">
        <x:v>6709824</x:v>
      </x:c>
      <x:c r="J10" s="4">
        <x:v>8366688</x:v>
      </x:c>
      <x:c r="K10" s="4">
        <x:v>8347680</x:v>
      </x:c>
      <x:c r="L10" s="4">
        <x:v>7439256</x:v>
      </x:c>
      <x:c r="M10" s="4">
        <x:v>8274024</x:v>
      </x:c>
      <x:c r="N10" s="4">
        <x:v>8213040</x:v>
      </x:c>
      <x:c r="O10" s="4">
        <x:v>8229672</x:v>
      </x:c>
      <x:c r="P10" s="4">
        <x:v>8705664</x:v>
      </x:c>
      <x:c r="Q10" s="4">
        <x:f t="shared" si="0"/>
        <x:v>93294432</x:v>
      </x:c>
    </x:row>
    <x:row r="11">
      <x:c r="A11" t="s">
        <x:v>34</x:v>
      </x:c>
      <x:c r="B11" t="s">
        <x:v>35</x:v>
      </x:c>
      <x:c r="C11" t="s">
        <x:v>261</x:v>
      </x:c>
      <x:c r="D11" t="s">
        <x:v>223</x:v>
      </x:c>
      <x:c r="E11" s="4">
        <x:v>36749592</x:v>
      </x:c>
      <x:c r="F11" s="4">
        <x:v>42320520</x:v>
      </x:c>
      <x:c r="G11" s="4">
        <x:v>48871152</x:v>
      </x:c>
      <x:c r="H11" s="4">
        <x:v>37592280</x:v>
      </x:c>
      <x:c r="I11" s="4">
        <x:v>41093712</x:v>
      </x:c>
      <x:c r="J11" s="4">
        <x:v>37997784</x:v>
      </x:c>
      <x:c r="K11" s="4">
        <x:v>45911448</x:v>
      </x:c>
      <x:c r="L11" s="4">
        <x:v>38437344</x:v>
      </x:c>
      <x:c r="M11" s="4">
        <x:v>44279136</x:v>
      </x:c>
      <x:c r="N11" s="4">
        <x:v>45833832</x:v>
      </x:c>
      <x:c r="O11" s="4">
        <x:v>38103120</x:v>
      </x:c>
      <x:c r="P11" s="4">
        <x:v>47964312</x:v>
      </x:c>
      <x:c r="Q11" s="4">
        <x:f t="shared" si="0"/>
        <x:v>505154232</x:v>
      </x:c>
    </x:row>
    <x:row r="12">
      <x:c r="A12" t="s">
        <x:v>34</x:v>
      </x:c>
      <x:c r="B12" t="s">
        <x:v>35</x:v>
      </x:c>
      <x:c r="C12" t="s">
        <x:v>262</x:v>
      </x:c>
      <x:c r="D12" t="s">
        <x:v>223</x:v>
      </x:c>
      <x:c r="E12" s="4">
        <x:v>3504600</x:v>
      </x:c>
      <x:c r="F12" s="4">
        <x:v>4055040</x:v>
      </x:c>
      <x:c r="G12" s="4">
        <x:v>3810312</x:v>
      </x:c>
      <x:c r="H12" s="4">
        <x:v>4324320</x:v>
      </x:c>
      <x:c r="I12" s="4">
        <x:v>4506480</x:v>
      </x:c>
      <x:c r="J12" s="4">
        <x:v>3883968</x:v>
      </x:c>
      <x:c r="K12" s="4">
        <x:v>3480840</x:v>
      </x:c>
      <x:c r="L12" s="4">
        <x:v>4132656</x:v>
      </x:c>
      <x:c r="M12" s="4">
        <x:v>4047912</x:v>
      </x:c>
      <x:c r="N12" s="4">
        <x:v>4446288</x:v>
      </x:c>
      <x:c r="O12" s="4">
        <x:v>4481136</x:v>
      </x:c>
      <x:c r="P12" s="4">
        <x:v>3463416</x:v>
      </x:c>
      <x:c r="Q12" s="4">
        <x:f t="shared" si="0"/>
        <x:v>48136968</x:v>
      </x:c>
    </x:row>
    <x:row r="13">
      <x:c r="A13" t="s">
        <x:v>34</x:v>
      </x:c>
      <x:c r="B13" t="s">
        <x:v>35</x:v>
      </x:c>
      <x:c r="C13" t="s">
        <x:v>263</x:v>
      </x:c>
      <x:c r="D13" t="s">
        <x:v>223</x:v>
      </x:c>
      <x:c r="E13" s="4">
        <x:v>2656368</x:v>
      </x:c>
      <x:c r="F13" s="4">
        <x:v>3185424</x:v>
      </x:c>
      <x:c r="G13" s="4">
        <x:v>3147408</x:v>
      </x:c>
      <x:c r="H13" s="4">
        <x:v>2724480</x:v>
      </x:c>
      <x:c r="I13" s="4">
        <x:v>2786256</x:v>
      </x:c>
      <x:c r="J13" s="4">
        <x:v>2520144</x:v>
      </x:c>
      <x:c r="K13" s="4">
        <x:v>3005640</x:v>
      </x:c>
      <x:c r="L13" s="4">
        <x:v>2859120</x:v>
      </x:c>
      <x:c r="M13" s="4">
        <x:v>2581920</x:v>
      </x:c>
      <x:c r="N13" s="4">
        <x:v>2751408</x:v>
      </x:c>
      <x:c r="O13" s="4">
        <x:v>2596968</x:v>
      </x:c>
      <x:c r="P13" s="4">
        <x:v>3050784</x:v>
      </x:c>
      <x:c r="Q13" s="4">
        <x:f t="shared" si="0"/>
        <x:v>33865920</x:v>
      </x:c>
    </x:row>
    <x:row r="14">
      <x:c r="A14" t="s">
        <x:v>37</x:v>
      </x:c>
      <x:c r="B14" t="s">
        <x:v>38</x:v>
      </x:c>
      <x:c r="C14" t="s">
        <x:v>258</x:v>
      </x:c>
      <x:c r="D14" t="s">
        <x:v>223</x:v>
      </x:c>
      <x:c r="E14" s="4">
        <x:v>9107208</x:v>
      </x:c>
      <x:c r="F14" s="4">
        <x:v>11232144</x:v>
      </x:c>
      <x:c r="G14" s="4">
        <x:v>9934056</x:v>
      </x:c>
      <x:c r="H14" s="4">
        <x:v>10393416</x:v>
      </x:c>
      <x:c r="I14" s="4">
        <x:v>10734768</x:v>
      </x:c>
      <x:c r="J14" s="4">
        <x:v>8494200</x:v>
      </x:c>
      <x:c r="K14" s="4">
        <x:v>9667944</x:v>
      </x:c>
      <x:c r="L14" s="4">
        <x:v>10601712</x:v>
      </x:c>
      <x:c r="M14" s="4">
        <x:v>10521720</x:v>
      </x:c>
      <x:c r="N14" s="4">
        <x:v>10980288</x:v>
      </x:c>
      <x:c r="O14" s="4">
        <x:v>9780408</x:v>
      </x:c>
      <x:c r="P14" s="4">
        <x:v>9024048</x:v>
      </x:c>
      <x:c r="Q14" s="4">
        <x:f t="shared" si="0"/>
        <x:v>120471912</x:v>
      </x:c>
    </x:row>
    <x:row r="15">
      <x:c r="A15" t="s">
        <x:v>37</x:v>
      </x:c>
      <x:c r="B15" t="s">
        <x:v>38</x:v>
      </x:c>
      <x:c r="C15" t="s">
        <x:v>259</x:v>
      </x:c>
      <x:c r="D15" t="s">
        <x:v>223</x:v>
      </x:c>
      <x:c r="E15" s="4">
        <x:v>4477176</x:v>
      </x:c>
      <x:c r="F15" s="4">
        <x:v>4554000</x:v>
      </x:c>
      <x:c r="G15" s="4">
        <x:v>4485888</x:v>
      </x:c>
      <x:c r="H15" s="4">
        <x:v>3959208</x:v>
      </x:c>
      <x:c r="I15" s="4">
        <x:v>4836744</x:v>
      </x:c>
      <x:c r="J15" s="4">
        <x:v>3945744</x:v>
      </x:c>
      <x:c r="K15" s="4">
        <x:v>4121568</x:v>
      </x:c>
      <x:c r="L15" s="4">
        <x:v>4664088</x:v>
      </x:c>
      <x:c r="M15" s="4">
        <x:v>4528656</x:v>
      </x:c>
      <x:c r="N15" s="4">
        <x:v>4372632</x:v>
      </x:c>
      <x:c r="O15" s="4">
        <x:v>4034448</x:v>
      </x:c>
      <x:c r="P15" s="4">
        <x:v>5247792</x:v>
      </x:c>
      <x:c r="Q15" s="4">
        <x:f t="shared" si="0"/>
        <x:v>53227944</x:v>
      </x:c>
    </x:row>
    <x:row r="16">
      <x:c r="A16" t="s">
        <x:v>37</x:v>
      </x:c>
      <x:c r="B16" t="s">
        <x:v>38</x:v>
      </x:c>
      <x:c r="C16" t="s">
        <x:v>260</x:v>
      </x:c>
      <x:c r="D16" t="s">
        <x:v>223</x:v>
      </x:c>
      <x:c r="E16" s="4">
        <x:v>5677056</x:v>
      </x:c>
      <x:c r="F16" s="4">
        <x:v>5650920</x:v>
      </x:c>
      <x:c r="G16" s="4">
        <x:v>5369760</x:v>
      </x:c>
      <x:c r="H16" s="4">
        <x:v>7099488</x:v>
      </x:c>
      <x:c r="I16" s="4">
        <x:v>6682104</x:v>
      </x:c>
      <x:c r="J16" s="4">
        <x:v>5898816</x:v>
      </x:c>
      <x:c r="K16" s="4">
        <x:v>5914656</x:v>
      </x:c>
      <x:c r="L16" s="4">
        <x:v>6620328</x:v>
      </x:c>
      <x:c r="M16" s="4">
        <x:v>5921784</x:v>
      </x:c>
      <x:c r="N16" s="4">
        <x:v>6098400</x:v>
      </x:c>
      <x:c r="O16" s="4">
        <x:v>6603696</x:v>
      </x:c>
      <x:c r="P16" s="4">
        <x:v>6052464</x:v>
      </x:c>
      <x:c r="Q16" s="4">
        <x:f t="shared" si="0"/>
        <x:v>73589472</x:v>
      </x:c>
    </x:row>
    <x:row r="17">
      <x:c r="A17" t="s">
        <x:v>37</x:v>
      </x:c>
      <x:c r="B17" t="s">
        <x:v>38</x:v>
      </x:c>
      <x:c r="C17" t="s">
        <x:v>261</x:v>
      </x:c>
      <x:c r="D17" t="s">
        <x:v>223</x:v>
      </x:c>
      <x:c r="E17" s="4">
        <x:v>36382104</x:v>
      </x:c>
      <x:c r="F17" s="4">
        <x:v>36022536</x:v>
      </x:c>
      <x:c r="G17" s="4">
        <x:v>38056392</x:v>
      </x:c>
      <x:c r="H17" s="4">
        <x:v>30825432</x:v>
      </x:c>
      <x:c r="I17" s="4">
        <x:v>37631880</x:v>
      </x:c>
      <x:c r="J17" s="4">
        <x:v>39118464</x:v>
      </x:c>
      <x:c r="K17" s="4">
        <x:v>30373200</x:v>
      </x:c>
      <x:c r="L17" s="4">
        <x:v>38082528</x:v>
      </x:c>
      <x:c r="M17" s="4">
        <x:v>37444176</x:v>
      </x:c>
      <x:c r="N17" s="4">
        <x:v>34788600</x:v>
      </x:c>
      <x:c r="O17" s="4">
        <x:v>32738904</x:v>
      </x:c>
      <x:c r="P17" s="4">
        <x:v>36698112</x:v>
      </x:c>
      <x:c r="Q17" s="4">
        <x:f t="shared" si="0"/>
        <x:v>428162328</x:v>
      </x:c>
    </x:row>
    <x:row r="18">
      <x:c r="A18" t="s">
        <x:v>37</x:v>
      </x:c>
      <x:c r="B18" t="s">
        <x:v>38</x:v>
      </x:c>
      <x:c r="C18" t="s">
        <x:v>262</x:v>
      </x:c>
      <x:c r="D18" t="s">
        <x:v>223</x:v>
      </x:c>
      <x:c r="E18" s="4">
        <x:v>3171960</x:v>
      </x:c>
      <x:c r="F18" s="4">
        <x:v>2883672</x:v>
      </x:c>
      <x:c r="G18" s="4">
        <x:v>2864664</x:v>
      </x:c>
      <x:c r="H18" s="4">
        <x:v>3278088</x:v>
      </x:c>
      <x:c r="I18" s="4">
        <x:v>3436488</x:v>
      </x:c>
      <x:c r="J18" s="4">
        <x:v>3306600</x:v>
      </x:c>
      <x:c r="K18" s="4">
        <x:v>3038904</x:v>
      </x:c>
      <x:c r="L18" s="4">
        <x:v>2892384</x:v>
      </x:c>
      <x:c r="M18" s="4">
        <x:v>2919312</x:v>
      </x:c>
      <x:c r="N18" s="4">
        <x:v>3175128</x:v>
      </x:c>
      <x:c r="O18" s="4">
        <x:v>3769128</x:v>
      </x:c>
      <x:c r="P18" s="4">
        <x:v>3686760</x:v>
      </x:c>
      <x:c r="Q18" s="4">
        <x:f t="shared" si="0"/>
        <x:v>38423088</x:v>
      </x:c>
    </x:row>
    <x:row r="19">
      <x:c r="A19" t="s">
        <x:v>37</x:v>
      </x:c>
      <x:c r="B19" t="s">
        <x:v>38</x:v>
      </x:c>
      <x:c r="C19" t="s">
        <x:v>263</x:v>
      </x:c>
      <x:c r="D19" t="s">
        <x:v>223</x:v>
      </x:c>
      <x:c r="E19" s="4">
        <x:v>2341152</x:v>
      </x:c>
      <x:c r="F19" s="4">
        <x:v>2442528</x:v>
      </x:c>
      <x:c r="G19" s="4">
        <x:v>2147112</x:v>
      </x:c>
      <x:c r="H19" s="4">
        <x:v>2002968</x:v>
      </x:c>
      <x:c r="I19" s="4">
        <x:v>1980792</x:v>
      </x:c>
      <x:c r="J19" s="4">
        <x:v>2033064</x:v>
      </x:c>
      <x:c r="K19" s="4">
        <x:v>2029104</x:v>
      </x:c>
      <x:c r="L19" s="4">
        <x:v>2518560</x:v>
      </x:c>
      <x:c r="M19" s="4">
        <x:v>1999800</x:v>
      </x:c>
      <x:c r="N19" s="4">
        <x:v>2015640</x:v>
      </x:c>
      <x:c r="O19" s="4">
        <x:v>2391840</x:v>
      </x:c>
      <x:c r="P19" s="4">
        <x:v>2642904</x:v>
      </x:c>
      <x:c r="Q19" s="4">
        <x:f t="shared" si="0"/>
        <x:v>26545464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26" customWidth="1"/>
    <x:col min="2" max="2" width="4.6640625" customWidth="1"/>
    <x:col min="3" max="3" width="31.83203125" customWidth="1"/>
    <x:col min="4" max="14" width="11.1640625" customWidth="1"/>
    <x:col min="15" max="15" width="12.1640625" customWidth="1"/>
  </x:cols>
  <x:sheetData>
    <x:row r="1" ht="32">
      <x:c r="A1" s="1" t="s">
        <x:v>252</x:v>
      </x:c>
      <x:c r="B1" s="1" t="s">
        <x:v>199</x:v>
      </x:c>
      <x:c r="C1" s="1" t="s">
        <x:v>200</x:v>
      </x:c>
      <x:c r="D1" s="1" t="s">
        <x:v>201</x:v>
      </x:c>
      <x:c r="E1" s="1" t="s">
        <x:v>202</x:v>
      </x:c>
      <x:c r="F1" s="1" t="s">
        <x:v>203</x:v>
      </x:c>
      <x:c r="G1" s="1" t="s">
        <x:v>204</x:v>
      </x:c>
      <x:c r="H1" s="1" t="s">
        <x:v>205</x:v>
      </x:c>
      <x:c r="I1" s="1" t="s">
        <x:v>206</x:v>
      </x:c>
      <x:c r="J1" s="1" t="s">
        <x:v>207</x:v>
      </x:c>
      <x:c r="K1" s="1" t="s">
        <x:v>208</x:v>
      </x:c>
      <x:c r="L1" s="1" t="s">
        <x:v>209</x:v>
      </x:c>
      <x:c r="M1" s="1" t="s">
        <x:v>210</x:v>
      </x:c>
      <x:c r="N1" s="1" t="s">
        <x:v>211</x:v>
      </x:c>
      <x:c r="O1" s="1" t="s">
        <x:v>212</x:v>
      </x:c>
    </x:row>
    <x:row r="2">
      <x:c r="A2" t="s">
        <x:v>264</x:v>
      </x:c>
      <x:c r="B2" t="s">
        <x:v>223</x:v>
      </x:c>
      <x:c r="C2" s="4" t="n">
        <x:f>SUMIF(Exportations!$E$10:$E$54,"Chiffre d'affaires MGA",Exportations!$G$10:$G$54)</x:f>
        <x:v>1543024260</x:v>
      </x:c>
      <x:c r="D2" s="4" t="n">
        <x:f>SUMIF(Exportations!$E$10:$E$54,"Chiffre d'affaires MGA",Exportations!$H$10:$H$54)</x:f>
        <x:v>1544169225</x:v>
      </x:c>
      <x:c r="E2" s="4" t="n">
        <x:f>SUMIF(Exportations!$E$10:$E$54,"Chiffre d'affaires MGA",Exportations!$I$10:$I$54)</x:f>
        <x:v>1521790195</x:v>
      </x:c>
      <x:c r="F2" s="4" t="n">
        <x:f>SUMIF(Exportations!$E$10:$E$54,"Chiffre d'affaires MGA",Exportations!$J$10:$J$54)</x:f>
        <x:v>1368635310</x:v>
      </x:c>
      <x:c r="G2" s="4" t="n">
        <x:f>SUMIF(Exportations!$E$10:$E$54,"Chiffre d'affaires MGA",Exportations!$K$10:$K$54)</x:f>
        <x:v>1498616165</x:v>
      </x:c>
      <x:c r="H2" s="4" t="n">
        <x:f>SUMIF(Exportations!$E$10:$E$54,"Chiffre d'affaires MGA",Exportations!$L$10:$L$54)</x:f>
        <x:v>1475664825</x:v>
      </x:c>
      <x:c r="I2" s="4" t="n">
        <x:f>SUMIF(Exportations!$E$10:$E$54,"Chiffre d'affaires MGA",Exportations!$M$10:$M$54)</x:f>
        <x:v>1470114230</x:v>
      </x:c>
      <x:c r="J2" s="4" t="n">
        <x:f>SUMIF(Exportations!$E$10:$E$54,"Chiffre d'affaires MGA",Exportations!$N$10:$N$54)</x:f>
        <x:v>1547565170</x:v>
      </x:c>
      <x:c r="K2" s="4" t="n">
        <x:f>SUMIF(Exportations!$E$10:$E$54,"Chiffre d'affaires MGA",Exportations!$O$10:$O$54)</x:f>
        <x:v>1402795470</x:v>
      </x:c>
      <x:c r="L2" s="4" t="n">
        <x:f>SUMIF(Exportations!$E$10:$E$54,"Chiffre d'affaires MGA",Exportations!$P$10:$P$54)</x:f>
        <x:v>1507107880</x:v>
      </x:c>
      <x:c r="M2" s="4" t="n">
        <x:f>SUMIF(Exportations!$E$10:$E$54,"Chiffre d'affaires MGA",Exportations!$Q$10:$Q$54)</x:f>
        <x:v>1328053180</x:v>
      </x:c>
      <x:c r="N2" s="4" t="n">
        <x:f>SUMIF(Exportations!$E$10:$E$54,"Chiffre d'affaires MGA",Exportations!$R$10:$R$54)</x:f>
        <x:v>1530210930</x:v>
      </x:c>
      <x:c r="O2" s="4" t="n">
        <x:f>SUM(C2:N2)</x:f>
        <x:v>17737746840</x:v>
      </x:c>
    </x:row>
    <x:row r="3">
      <x:c r="A3" t="s">
        <x:v>265</x:v>
      </x:c>
      <x:c r="B3" t="s">
        <x:v>223</x:v>
      </x:c>
      <x:c r="C3" s="4" t="n">
        <x:f>SUMIF(Charges!$A$2:$A$27,"PRODUCTION",Charges!$E$2:$E$27)+SUMIF(Charges!$A$2:$A$27,"ADMINISTRATION",Charges!$E$2:$E$27)-SUMIF(Charges!$B$2:$B$27,"Salaires administratifs",Charges!$E$2:$E$27)+SUMIF(Charges!$A$2:$A$27,"LOGISTIQUE",Charges!$E$2:$E$27)+SUMIF(Charges!$A$2:$A$27,"SECURITE",Charges!$E$2:$E$27)+SUMIF(Charges!$A$2:$A$27,"FISCAL",Charges!$E$2:$E$27)+C5+Charges!E27</x:f>
        <x:v>693990390</x:v>
      </x:c>
      <x:c r="D3" s="4" t="n">
        <x:f>SUMIF(Charges!$A$2:$A$27,"PRODUCTION",Charges!$F$2:$F$27)+SUMIF(Charges!$A$2:$A$27,"ADMINISTRATION",Charges!$F$2:$F$27)-SUMIF(Charges!$B$2:$B$27,"Salaires administratifs",Charges!$F$2:$F$27)+SUMIF(Charges!$A$2:$A$27,"LOGISTIQUE",Charges!$F$2:$F$27)+SUMIF(Charges!$A$2:$A$27,"SECURITE",Charges!$F$2:$F$27)+SUMIF(Charges!$A$2:$A$27,"FISCAL",Charges!$F$2:$F$27)+D5+Charges!F27</x:f>
        <x:v>705968950</x:v>
      </x:c>
      <x:c r="E3" s="4" t="n">
        <x:f>SUMIF(Charges!$A$2:$A$27,"PRODUCTION",Charges!$G$2:$G$27)+SUMIF(Charges!$A$2:$A$27,"ADMINISTRATION",Charges!$G$2:$G$27)-SUMIF(Charges!$B$2:$B$27,"Salaires administratifs",Charges!$G$2:$G$27)+SUMIF(Charges!$A$2:$A$27,"LOGISTIQUE",Charges!$G$2:$G$27)+SUMIF(Charges!$A$2:$A$27,"SECURITE",Charges!$G$2:$G$27)+SUMIF(Charges!$A$2:$A$27,"FISCAL",Charges!$G$2:$G$27)+E5+Charges!G27</x:f>
        <x:v>718913750</x:v>
      </x:c>
      <x:c r="F3" s="4" t="n">
        <x:f>SUMIF(Charges!$A$2:$A$27,"PRODUCTION",Charges!$H$2:$H$27)+SUMIF(Charges!$A$2:$A$27,"ADMINISTRATION",Charges!$H$2:$H$27)-SUMIF(Charges!$B$2:$B$27,"Salaires administratifs",Charges!$H$2:$H$27)+SUMIF(Charges!$A$2:$A$27,"LOGISTIQUE",Charges!$H$2:$H$27)+SUMIF(Charges!$A$2:$A$27,"SECURITE",Charges!$H$2:$H$27)+SUMIF(Charges!$A$2:$A$27,"FISCAL",Charges!$H$2:$H$27)+F5+Charges!H27</x:f>
        <x:v>681970470</x:v>
      </x:c>
      <x:c r="G3" s="4" t="n">
        <x:f>SUMIF(Charges!$A$2:$A$27,"PRODUCTION",Charges!$I$2:$I$27)+SUMIF(Charges!$A$2:$A$27,"ADMINISTRATION",Charges!$I$2:$I$27)-SUMIF(Charges!$B$2:$B$27,"Salaires administratifs",Charges!$I$2:$I$27)+SUMIF(Charges!$A$2:$A$27,"LOGISTIQUE",Charges!$I$2:$I$27)+SUMIF(Charges!$A$2:$A$27,"SECURITE",Charges!$I$2:$I$27)+SUMIF(Charges!$A$2:$A$27,"FISCAL",Charges!$I$2:$I$27)+G5+Charges!I27</x:f>
        <x:v>717105350</x:v>
      </x:c>
      <x:c r="H3" s="4" t="n">
        <x:f>SUMIF(Charges!$A$2:$A$27,"PRODUCTION",Charges!$J$2:$J$27)+SUMIF(Charges!$A$2:$A$27,"ADMINISTRATION",Charges!$J$2:$J$27)-SUMIF(Charges!$B$2:$B$27,"Salaires administratifs",Charges!$J$2:$J$27)+SUMIF(Charges!$A$2:$A$27,"LOGISTIQUE",Charges!$J$2:$J$27)+SUMIF(Charges!$A$2:$A$27,"SECURITE",Charges!$J$2:$J$27)+SUMIF(Charges!$A$2:$A$27,"FISCAL",Charges!$J$2:$J$27)+H5+Charges!J27</x:f>
        <x:v>686503350</x:v>
      </x:c>
      <x:c r="I3" s="4" t="n">
        <x:f>SUMIF(Charges!$A$2:$A$27,"PRODUCTION",Charges!$K$2:$K$27)+SUMIF(Charges!$A$2:$A$27,"ADMINISTRATION",Charges!$K$2:$K$27)-SUMIF(Charges!$B$2:$B$27,"Salaires administratifs",Charges!$K$2:$K$27)+SUMIF(Charges!$A$2:$A$27,"LOGISTIQUE",Charges!$K$2:$K$27)+SUMIF(Charges!$A$2:$A$27,"SECURITE",Charges!$K$2:$K$27)+SUMIF(Charges!$A$2:$A$27,"FISCAL",Charges!$K$2:$K$27)+I5+Charges!K27</x:f>
        <x:v>693069030</x:v>
      </x:c>
      <x:c r="J3" s="4" t="n">
        <x:f>SUMIF(Charges!$A$2:$A$27,"PRODUCTION",Charges!$L$2:$L$27)+SUMIF(Charges!$A$2:$A$27,"ADMINISTRATION",Charges!$L$2:$L$27)-SUMIF(Charges!$B$2:$B$27,"Salaires administratifs",Charges!$L$2:$L$27)+SUMIF(Charges!$A$2:$A$27,"LOGISTIQUE",Charges!$L$2:$L$27)+SUMIF(Charges!$A$2:$A$27,"SECURITE",Charges!$L$2:$L$27)+SUMIF(Charges!$A$2:$A$27,"FISCAL",Charges!$L$2:$L$27)+J5+Charges!L27</x:f>
        <x:v>697636230</x:v>
      </x:c>
      <x:c r="K3" s="4" t="n">
        <x:f>SUMIF(Charges!$A$2:$A$27,"PRODUCTION",Charges!$M$2:$M$27)+SUMIF(Charges!$A$2:$A$27,"ADMINISTRATION",Charges!$M$2:$M$27)-SUMIF(Charges!$B$2:$B$27,"Salaires administratifs",Charges!$M$2:$M$27)+SUMIF(Charges!$A$2:$A$27,"LOGISTIQUE",Charges!$M$2:$M$27)+SUMIF(Charges!$A$2:$A$27,"SECURITE",Charges!$M$2:$M$27)+SUMIF(Charges!$A$2:$A$27,"FISCAL",Charges!$M$2:$M$27)+K5+Charges!M27</x:f>
        <x:v>673140550</x:v>
      </x:c>
      <x:c r="L3" s="4" t="n">
        <x:f>SUMIF(Charges!$A$2:$A$27,"PRODUCTION",Charges!$N$2:$N$27)+SUMIF(Charges!$A$2:$A$27,"ADMINISTRATION",Charges!$N$2:$N$27)-SUMIF(Charges!$B$2:$B$27,"Salaires administratifs",Charges!$N$2:$N$27)+SUMIF(Charges!$A$2:$A$27,"LOGISTIQUE",Charges!$N$2:$N$27)+SUMIF(Charges!$A$2:$A$27,"SECURITE",Charges!$N$2:$N$27)+SUMIF(Charges!$A$2:$A$27,"FISCAL",Charges!$N$2:$N$27)+L5+Charges!N27</x:f>
        <x:v>685864470</x:v>
      </x:c>
      <x:c r="M3" s="4" t="n">
        <x:f>SUMIF(Charges!$A$2:$A$27,"PRODUCTION",Charges!$O$2:$O$27)+SUMIF(Charges!$A$2:$A$27,"ADMINISTRATION",Charges!$O$2:$O$27)-SUMIF(Charges!$B$2:$B$27,"Salaires administratifs",Charges!$O$2:$O$27)+SUMIF(Charges!$A$2:$A$27,"LOGISTIQUE",Charges!$O$2:$O$27)+SUMIF(Charges!$A$2:$A$27,"SECURITE",Charges!$O$2:$O$27)+SUMIF(Charges!$A$2:$A$27,"FISCAL",Charges!$O$2:$O$27)+M5+Charges!O27</x:f>
        <x:v>707093590</x:v>
      </x:c>
      <x:c r="N3" s="4" t="n">
        <x:f>SUMIF(Charges!$A$2:$A$27,"PRODUCTION",Charges!$P$2:$P$27)+SUMIF(Charges!$A$2:$A$27,"ADMINISTRATION",Charges!$P$2:$P$27)-SUMIF(Charges!$B$2:$B$27,"Salaires administratifs",Charges!$P$2:$P$27)+SUMIF(Charges!$A$2:$A$27,"LOGISTIQUE",Charges!$P$2:$P$27)+SUMIF(Charges!$A$2:$A$27,"SECURITE",Charges!$P$2:$P$27)+SUMIF(Charges!$A$2:$A$27,"FISCAL",Charges!$P$2:$P$27)+N5+Charges!P27</x:f>
        <x:v>701156230</x:v>
      </x:c>
      <x:c r="O3" s="4" t="n">
        <x:f>SUM(C3:N3)</x:f>
        <x:v>8362412360</x:v>
      </x:c>
    </x:row>
    <x:row r="4">
      <x:c r="A4" t="s">
        <x:v>266</x:v>
      </x:c>
      <x:c r="B4" t="s">
        <x:v>223</x:v>
      </x:c>
      <x:c r="C4" s="4" t="n">
        <x:f>SUM('Frais Export'!E2:E19)</x:f>
        <x:v>192497976</x:v>
      </x:c>
      <x:c r="D4" s="4" t="n">
        <x:f>SUM('Frais Export'!F2:F19)</x:f>
        <x:v>208232640</x:v>
      </x:c>
      <x:c r="E4" s="4" t="n">
        <x:f>SUM('Frais Export'!G2:G19)</x:f>
        <x:v>214482312</x:v>
      </x:c>
      <x:c r="F4" s="4" t="n">
        <x:f>SUM('Frais Export'!H2:H19)</x:f>
        <x:v>192421152</x:v>
      </x:c>
      <x:c r="G4" s="4" t="n">
        <x:f>SUM('Frais Export'!I2:I19)</x:f>
        <x:v>206121960</x:v>
      </x:c>
      <x:c r="H4" s="4" t="n">
        <x:f>SUM('Frais Export'!J2:J19)</x:f>
        <x:v>203839416</x:v>
      </x:c>
      <x:c r="I4" s="4" t="n">
        <x:f>SUM('Frais Export'!K2:K19)</x:f>
        <x:v>198722304</x:v>
      </x:c>
      <x:c r="J4" s="4" t="n">
        <x:f>SUM('Frais Export'!L2:L19)</x:f>
        <x:v>209057904</x:v>
      </x:c>
      <x:c r="K4" s="4" t="n">
        <x:f>SUM('Frais Export'!M2:M19)</x:f>
        <x:v>204981480</x:v>
      </x:c>
      <x:c r="L4" s="4" t="n">
        <x:f>SUM('Frais Export'!N2:N19)</x:f>
        <x:v>213310944</x:v>
      </x:c>
      <x:c r="M4" s="4" t="n">
        <x:f>SUM('Frais Export'!O2:O19)</x:f>
        <x:v>201205224</x:v>
      </x:c>
      <x:c r="N4" s="4" t="n">
        <x:f>SUM('Frais Export'!P2:P19)</x:f>
        <x:v>213143832</x:v>
      </x:c>
      <x:c r="O4" s="4" t="n">
        <x:f>SUM(C4:N4)</x:f>
        <x:v>2458017144</x:v>
      </x:c>
    </x:row>
    <x:row r="5">
      <x:c r="A5" t="s">
        <x:v>267</x:v>
      </x:c>
      <x:c r="B5" t="s">
        <x:v>223</x:v>
      </x:c>
      <x:c r="C5" s="4" t="n">
        <x:f>SUM(Employes!$I$2:$I$61)</x:f>
        <x:v>283495030</x:v>
      </x:c>
      <x:c r="D5" s="4" t="n">
        <x:f>SUM(Employes!$I$2:$I$61)</x:f>
        <x:v>283495030</x:v>
      </x:c>
      <x:c r="E5" s="4" t="n">
        <x:f>SUM(Employes!$I$2:$I$61)</x:f>
        <x:v>283495030</x:v>
      </x:c>
      <x:c r="F5" s="4" t="n">
        <x:f>SUM(Employes!$I$2:$I$61)</x:f>
        <x:v>283495030</x:v>
      </x:c>
      <x:c r="G5" s="4" t="n">
        <x:f>SUM(Employes!$I$2:$I$61)</x:f>
        <x:v>283495030</x:v>
      </x:c>
      <x:c r="H5" s="4" t="n">
        <x:f>SUM(Employes!$I$2:$I$61)</x:f>
        <x:v>283495030</x:v>
      </x:c>
      <x:c r="I5" s="4" t="n">
        <x:f>SUM(Employes!$I$2:$I$61)</x:f>
        <x:v>283495030</x:v>
      </x:c>
      <x:c r="J5" s="4" t="n">
        <x:f>SUM(Employes!$I$2:$I$61)</x:f>
        <x:v>283495030</x:v>
      </x:c>
      <x:c r="K5" s="4" t="n">
        <x:f>SUM(Employes!$I$2:$I$61)</x:f>
        <x:v>283495030</x:v>
      </x:c>
      <x:c r="L5" s="4" t="n">
        <x:f>SUM(Employes!$I$2:$I$61)</x:f>
        <x:v>283495030</x:v>
      </x:c>
      <x:c r="M5" s="4" t="n">
        <x:f>SUM(Employes!$I$2:$I$61)</x:f>
        <x:v>283495030</x:v>
      </x:c>
      <x:c r="N5" s="4" t="n">
        <x:f>SUM(Employes!$I$2:$I$61)</x:f>
        <x:v>283495030</x:v>
      </x:c>
      <x:c r="O5" s="4" t="n">
        <x:f>SUM(C5:N5)</x:f>
        <x:v>3401940360</x:v>
      </x:c>
    </x:row>
    <x:row r="6">
      <x:c r="A6" t="s">
        <x:v>268</x:v>
      </x:c>
      <x:c r="B6" t="s">
        <x:v>223</x:v>
      </x:c>
      <x:c r="C6" s="4" t="n">
        <x:f t="shared" ref="C6:N6" si="0">C2-C3-C4</x:f>
        <x:v>656535894</x:v>
      </x:c>
      <x:c r="D6" s="4">
        <x:f t="shared" si="0"/>
        <x:v>629967635</x:v>
      </x:c>
      <x:c r="E6" s="4">
        <x:f t="shared" si="0"/>
        <x:v>588394133</x:v>
      </x:c>
      <x:c r="F6" s="4">
        <x:f t="shared" si="0"/>
        <x:v>494243688</x:v>
      </x:c>
      <x:c r="G6" s="4">
        <x:f t="shared" si="0"/>
        <x:v>575388855</x:v>
      </x:c>
      <x:c r="H6" s="4">
        <x:f t="shared" si="0"/>
        <x:v>585322059</x:v>
      </x:c>
      <x:c r="I6" s="4">
        <x:f t="shared" si="0"/>
        <x:v>578322896</x:v>
      </x:c>
      <x:c r="J6" s="4">
        <x:f t="shared" si="0"/>
        <x:v>640871036</x:v>
      </x:c>
      <x:c r="K6" s="4">
        <x:f t="shared" si="0"/>
        <x:v>524673440</x:v>
      </x:c>
      <x:c r="L6" s="4">
        <x:f t="shared" si="0"/>
        <x:v>607932466</x:v>
      </x:c>
      <x:c r="M6" s="4">
        <x:f t="shared" si="0"/>
        <x:v>419754366</x:v>
      </x:c>
      <x:c r="N6" s="4">
        <x:f t="shared" si="0"/>
        <x:v>615910868</x:v>
      </x:c>
      <x:c r="O6" s="4" t="n">
        <x:f>SUM(C6:N6)</x:f>
        <x:v>6917317336</x:v>
      </x:c>
    </x:row>
    <x:row r="7">
      <x:c r="A7" t="s">
        <x:v>269</x:v>
      </x:c>
      <x:c r="B7" t="s">
        <x:v>8</x:v>
      </x:c>
      <x:c r="C7" s="6" t="n">
        <x:f t="shared" ref="C7:O7" si="1">IFERROR(C6/C2,0)</x:f>
        <x:v>0.4254864366163627</x:v>
      </x:c>
      <x:c r="D7" s="6">
        <x:f t="shared" si="1"/>
        <x:v>0.40796541259912755</x:v>
      </x:c>
      <x:c r="E7" s="6">
        <x:f t="shared" si="1"/>
        <x:v>0.38664602711545265</x:v>
      </x:c>
      <x:c r="F7" s="6">
        <x:f t="shared" si="1"/>
        <x:v>0.36112153792086515</x:v>
      </x:c>
      <x:c r="G7" s="6">
        <x:f t="shared" si="1"/>
        <x:v>0.3839467826639919</x:v>
      </x:c>
      <x:c r="H7" s="6">
        <x:f t="shared" si="1"/>
        <x:v>0.39664973311266671</x:v>
      </x:c>
      <x:c r="I7" s="6">
        <x:f t="shared" si="1"/>
        <x:v>0.39338636698999913</x:v>
      </x:c>
      <x:c r="J7" s="6">
        <x:f t="shared" si="1"/>
        <x:v>0.41411570150548166</x:v>
      </x:c>
      <x:c r="K7" s="6">
        <x:f t="shared" si="1"/>
        <x:v>0.3740199132522149</x:v>
      </x:c>
      <x:c r="L7" s="6">
        <x:f t="shared" si="1"/>
        <x:v>0.40337687438804976</x:v>
      </x:c>
      <x:c r="M7" s="6">
        <x:f t="shared" si="1"/>
        <x:v>0.31606743790184666</x:v>
      </x:c>
      <x:c r="N7" s="6">
        <x:f t="shared" si="1"/>
        <x:v>0.40250063303364325</x:v>
      </x:c>
      <x:c r="O7" s="6">
        <x:f t="shared" si="1"/>
        <x:v>0.38997722756990255</x:v>
      </x:c>
    </x:row>
  </x:sheetData>
  <x:pageMargins left="0.7" right="0.7" top="0.75" bottom="0.75" header="0.3" footer="0.3"/>
</x:worksheet>
</file>