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ad76d64ae4e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e84ed24f706e4e2b"/>
    <x:sheet xmlns:r="http://schemas.openxmlformats.org/officeDocument/2006/relationships" name="Employes" sheetId="2" r:id="R5416ef726f88432a"/>
    <x:sheet xmlns:r="http://schemas.openxmlformats.org/officeDocument/2006/relationships" name="Production" sheetId="3" r:id="R9e80a97b02824292"/>
    <x:sheet xmlns:r="http://schemas.openxmlformats.org/officeDocument/2006/relationships" name="Charges" sheetId="4" r:id="Rf60a244712864c6c"/>
    <x:sheet xmlns:r="http://schemas.openxmlformats.org/officeDocument/2006/relationships" name="Exportations" sheetId="5" r:id="R2e59d4391cf146e8"/>
    <x:sheet xmlns:r="http://schemas.openxmlformats.org/officeDocument/2006/relationships" name="Frais Export" sheetId="6" r:id="R02596314d5314f0a"/>
    <x:sheet xmlns:r="http://schemas.openxmlformats.org/officeDocument/2006/relationships" name="Synthese" sheetId="7" r:id="R1fd0bdf7752447a9"/>
    <x:sheet xmlns:r="http://schemas.openxmlformats.org/officeDocument/2006/relationships" name="CR" sheetId="8" r:id="R5684e3b68a0243fe"/>
    <x:sheet xmlns:r="http://schemas.openxmlformats.org/officeDocument/2006/relationships" name="Amortissements" sheetId="9" r:id="Rfeaaa2d851744c9c"/>
  </x:sheets>
</x:workbook>
</file>

<file path=xl/sharedStrings.xml><?xml version="1.0" encoding="utf-8"?>
<x:sst xmlns:x="http://schemas.openxmlformats.org/spreadsheetml/2006/main">
  <x:si>
    <x:t xml:space="preserve">DONNEES SOMIDA - PARAMETRES ET REFERENTIELS</x:t>
  </x:si>
  <x:si>
    <x:t xml:space="preserve">Paramètre</x:t>
  </x:si>
  <x:si>
    <x:t xml:space="preserve">Valeur</x:t>
  </x:si>
  <x:si>
    <x:t xml:space="preserve">Unité / devise</x:t>
  </x:si>
  <x:si>
    <x:t xml:space="preserve">Commentaire</x:t>
  </x:si>
  <x:si>
    <x:t xml:space="preserve">Exercice</x:t>
  </x:si>
  <x:si>
    <x:t xml:space="preserve">année</x:t>
  </x:si>
  <x:si>
    <x:t xml:space="preserve">Inflation annuelle</x:t>
  </x:si>
  <x:si>
    <x:t xml:space="preserve">%</x:t>
  </x:si>
  <x:si>
    <x:t xml:space="preserve">Taux USD/MGA</x:t>
  </x:si>
  <x:si>
    <x:t xml:space="preserve">MGA/USD</x:t>
  </x:si>
  <x:si>
    <x:t xml:space="preserve">Taux JPY/MGA</x:t>
  </x:si>
  <x:si>
    <x:t xml:space="preserve">MGA/JPY</x:t>
  </x:si>
  <x:si>
    <x:t xml:space="preserve">Augmentation salariale</x:t>
  </x:si>
  <x:si>
    <x:t xml:space="preserve">TVA</x:t>
  </x:si>
  <x:si>
    <x:t xml:space="preserve">Paramètre fiscal</x:t>
  </x:si>
  <x:si>
    <x:t xml:space="preserve">Site principal</x:t>
  </x:si>
  <x:si>
    <x:t xml:space="preserve">FORT DAUPHIN</x:t>
  </x:si>
  <x:si>
    <x:t xml:space="preserve">Administration / export</x:t>
  </x:si>
  <x:si>
    <x:t xml:space="preserve">Site production</x:t>
  </x:si>
  <x:si>
    <x:t xml:space="preserve">AMPANDRANDAVA</x:t>
  </x:si>
  <x:si>
    <x:t xml:space="preserve">Production</x:t>
  </x:si>
  <x:si>
    <x:t xml:space="preserve">MARCHES EXPORT</x:t>
  </x:si>
  <x:si>
    <x:t xml:space="preserve">Pays</x:t>
  </x:si>
  <x:si>
    <x:t xml:space="preserve">Entité représentatrice</x:t>
  </x:si>
  <x:si>
    <x:t xml:space="preserve">Devise</x:t>
  </x:si>
  <x:si>
    <x:t xml:space="preserve">Observation</x:t>
  </x:si>
  <x:si>
    <x:t xml:space="preserve">Japon</x:t>
  </x:si>
  <x:si>
    <x:t xml:space="preserve">GOODEIS</x:t>
  </x:si>
  <x:si>
    <x:t xml:space="preserve">JPY</x:t>
  </x:si>
  <x:si>
    <x:t xml:space="preserve">Russie</x:t>
  </x:si>
  <x:si>
    <x:t xml:space="preserve">ELINAR</x:t>
  </x:si>
  <x:si>
    <x:t xml:space="preserve">USD</x:t>
  </x:si>
  <x:si>
    <x:t xml:space="preserve">Chine</x:t>
  </x:si>
  <x:si>
    <x:t xml:space="preserve">Matricule</x:t>
  </x:si>
  <x:si>
    <x:t xml:space="preserve">Site</x:t>
  </x:si>
  <x:si>
    <x:t xml:space="preserve">Département</x:t>
  </x:si>
  <x:si>
    <x:t xml:space="preserve">Poste</x:t>
  </x:si>
  <x:si>
    <x:t xml:space="preserve">Salaire base mensuel (MGA)</x:t>
  </x:si>
  <x:si>
    <x:t xml:space="preserve">Prime mensuelle (MGA)</x:t>
  </x:si>
  <x:si>
    <x:t xml:space="preserve">Charges patronales (MGA)</x:t>
  </x:si>
  <x:si>
    <x:t xml:space="preserve">Coût mensuel total (MGA)</x:t>
  </x:si>
  <x:si>
    <x:t xml:space="preserve">Statut</x:t>
  </x:si>
  <x:si>
    <x:t xml:space="preserve">Produit</x:t>
  </x:si>
  <x:si>
    <x:t xml:space="preserve">Unité</x:t>
  </x:si>
  <x:si>
    <x:t xml:space="preserve">Janvier</x:t>
  </x:si>
  <x:si>
    <x:t xml:space="preserve">Février</x:t>
  </x:si>
  <x:si>
    <x:t xml:space="preserve">Mars</x:t>
  </x:si>
  <x:si>
    <x:t xml:space="preserve">Avril</x:t>
  </x:si>
  <x:si>
    <x:t xml:space="preserve">Mai</x:t>
  </x:si>
  <x:si>
    <x:t xml:space="preserve">Juin</x:t>
  </x:si>
  <x:si>
    <x:t xml:space="preserve">Juillet</x:t>
  </x:si>
  <x:si>
    <x:t xml:space="preserve">Août</x:t>
  </x:si>
  <x:si>
    <x:t xml:space="preserve">Septembre</x:t>
  </x:si>
  <x:si>
    <x:t xml:space="preserve">Octobre</x:t>
  </x:si>
  <x:si>
    <x:t xml:space="preserve">Novembre</x:t>
  </x:si>
  <x:si>
    <x:t xml:space="preserve">Décembre</x:t>
  </x:si>
  <x:si>
    <x:t xml:space="preserve">Total annuel</x:t>
  </x:si>
  <x:si>
    <x:t xml:space="preserve">ABR COUPE</x:t>
  </x:si>
  <x:si>
    <x:t xml:space="preserve">tonnes</x:t>
  </x:si>
  <x:si>
    <x:t xml:space="preserve">FP1 COUPE</x:t>
  </x:si>
  <x:si>
    <x:t xml:space="preserve">FP2 COUPE</x:t>
  </x:si>
  <x:si>
    <x:t xml:space="preserve">TRA</x:t>
  </x:si>
  <x:si>
    <x:t xml:space="preserve">BSA</x:t>
  </x:si>
  <x:si>
    <x:t xml:space="preserve">SOMIDA — TABLEAU DE BORD DES EXPORTATIONS 2026</x:t>
  </x:si>
  <x:si>
    <x:t xml:space="preserve">Pilotage DAF • Japon / Russie / Chine • Suivi mensuel des volumes, devises et chiffre d’affaires</x:t>
  </x:si>
  <x:si>
    <x:t xml:space="preserve">VOLUME EXPORTÉ (t)</x:t>
  </x:si>
  <x:si>
    <x:t xml:space="preserve">CA EXPORT (MGA)</x:t>
  </x:si>
  <x:si>
    <x:t xml:space="preserve">CA JAPON (MGA)</x:t>
  </x:si>
  <x:si>
    <x:t xml:space="preserve">CA RUSSIE (MGA)</x:t>
  </x:si>
  <x:si>
    <x:t xml:space="preserve">CA CHINE (MGA)</x:t>
  </x:si>
  <x:si>
    <x:t xml:space="preserve">MARCHÉS / DEVISES</x:t>
  </x:si>
  <x:si>
    <x:t xml:space="preserve">3 pays • JPY / USD</x:t>
  </x:si>
  <x:si>
    <x:t xml:space="preserve">DÉTAIL MENSUEL DES EXPORTATIONS PAR MARCHÉ, REPRÉSENTANT ET PRODUIT</x:t>
  </x:si>
  <x:si>
    <x:t xml:space="preserve">Indicateur</x:t>
  </x:si>
  <x:si>
    <x:t xml:space="preserve">Quantité exportée</x:t>
  </x:si>
  <x:si>
    <x:t xml:space="preserve">Chiffre d'affaires devise</x:t>
  </x:si>
  <x:si>
    <x:t xml:space="preserve">Chiffre d'affaires MGA</x:t>
  </x:si>
  <x:si>
    <x:t xml:space="preserve">MGA</x:t>
  </x:si>
  <x:si>
    <x:t xml:space="preserve">REPRESENTANT CHINE - A VALIDER</x:t>
  </x:si>
  <x:si>
    <x:t xml:space="preserve">Nature frais</x:t>
  </x:si>
  <x:si>
    <x:t xml:space="preserve">Transport local</x:t>
  </x:si>
  <x:si>
    <x:t xml:space="preserve">Transit &amp; documents</x:t>
  </x:si>
  <x:si>
    <x:t xml:space="preserve">Manutention portuaire</x:t>
  </x:si>
  <x:si>
    <x:t xml:space="preserve">Fret international</x:t>
  </x:si>
  <x:si>
    <x:t xml:space="preserve">Assurance transport</x:t>
  </x:si>
  <x:si>
    <x:t xml:space="preserve">Frais bancaires export</x:t>
  </x:si>
  <x:si>
    <x:t xml:space="preserve">CA export</x:t>
  </x:si>
  <x:si>
    <x:t xml:space="preserve">Charges exploitation</x:t>
  </x:si>
  <x:si>
    <x:t xml:space="preserve">Frais export</x:t>
  </x:si>
  <x:si>
    <x:t xml:space="preserve">Masse salariale</x:t>
  </x:si>
  <x:si>
    <x:t xml:space="preserve">Résultat opérationnel</x:t>
  </x:si>
  <x:si>
    <x:t xml:space="preserve">Marge opérationnelle</x:t>
  </x:si>
</x:sst>
</file>

<file path=xl/styles.xml><?xml version="1.0" encoding="utf-8"?>
<x:styleSheet xmlns:x="http://schemas.openxmlformats.org/spreadsheetml/2006/main">
  <x:numFmts count="8">
    <x:numFmt numFmtId="164" formatCode="0.0%"/>
    <x:numFmt numFmtId="165" formatCode="#,##0;[Red]\(#,##0\);\-"/>
    <x:numFmt numFmtId="166" formatCode="#,##0.00;[Red]\(#,##0.00\);\-"/>
    <x:numFmt numFmtId="167" formatCode="0.0%;[Red]\(0.0%\);\-"/>
    <x:numFmt numFmtId="168" formatCode="#,##0.00\ &quot;t&quot;;[Red]\(#,##0.00\);\-"/>
    <x:numFmt numFmtId="200" formatCode="#,##0;[Red](#,##0);-"/>
    <x:numFmt numFmtId="201" formatCode="0.00%;[Red](0.00%);-"/>
    <x:numFmt numFmtId="202" formatCode="#,##0;[Red](#,##0);–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24344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DF3F9"/>
      </x:patternFill>
    </x:fill>
  </x:fills>
  <x:borders count="4">
    <x:border/>
    <x:border>
      <x:top style="medium">
        <x:color rgb="FF17365D"/>
      </x:top>
    </x:border>
    <x:border/>
    <x:border>
      <x:top style="medium">
        <x:color rgb="FF17365D"/>
      </x:top>
    </x:border>
  </x:borders>
  <x:cellStyleXfs count="1">
    <x:xf numFmtId="0" fontId="0" fillId="0" borderId="0"/>
  </x:cellStyleXfs>
  <x:cellXfs count="177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/>
    <x:xf numFmtId="164" fontId="2" fillId="0" borderId="0" xfId="0" applyNumberFormat="1" applyFon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0" fontId="5" fillId="7" borderId="0" xfId="0" applyFont="1" applyFill="1" applyAlignment="1">
      <x:alignment horizontal="center" vertical="center" wrapText="1"/>
    </x:xf>
    <x:xf numFmtId="0" fontId="9" fillId="8" borderId="1" xfId="0" applyFont="1" applyFill="1" applyBorder="1" applyAlignment="1">
      <x:alignment horizontal="left" vertical="center"/>
    </x:xf>
    <x:xf numFmtId="0" fontId="8" fillId="8" borderId="1" xfId="0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8" fillId="8" borderId="0" xfId="0" applyFont="1" applyFill="1" applyAlignment="1">
      <x:alignment horizontal="left" vertical="center"/>
    </x:xf>
    <x:xf numFmtId="0" fontId="10" fillId="8" borderId="0" xfId="0" applyFont="1" applyFill="1" applyAlignment="1">
      <x:alignment horizontal="left" vertical="center"/>
    </x:xf>
    <x:xf numFmtId="0" fontId="9" fillId="9" borderId="1" xfId="0" applyFont="1" applyFill="1" applyBorder="1" applyAlignment="1">
      <x:alignment horizontal="left" vertical="center"/>
    </x:xf>
    <x:xf numFmtId="0" fontId="8" fillId="9" borderId="1" xfId="0" applyFont="1" applyFill="1" applyBorder="1" applyAlignment="1">
      <x:alignment horizontal="left" vertical="center"/>
    </x:xf>
    <x:xf numFmtId="0" fontId="9" fillId="9" borderId="0" xfId="0" applyFont="1" applyFill="1" applyAlignment="1">
      <x:alignment horizontal="left" vertical="center"/>
    </x:xf>
    <x:xf numFmtId="0" fontId="8" fillId="9" borderId="0" xfId="0" applyFont="1" applyFill="1" applyAlignment="1">
      <x:alignment horizontal="left" vertical="center"/>
    </x:xf>
    <x:xf numFmtId="0" fontId="10" fillId="9" borderId="0" xfId="0" applyFont="1" applyFill="1" applyAlignment="1">
      <x:alignment horizontal="left" vertical="center"/>
    </x:xf>
    <x:xf numFmtId="0" fontId="9" fillId="10" borderId="1" xfId="0" applyFont="1" applyFill="1" applyBorder="1" applyAlignment="1">
      <x:alignment horizontal="left" vertical="center"/>
    </x:xf>
    <x:xf numFmtId="0" fontId="8" fillId="10" borderId="1" xfId="0" applyFont="1" applyFill="1" applyBorder="1" applyAlignment="1">
      <x:alignment horizontal="left" vertical="center"/>
    </x:xf>
    <x:xf numFmtId="0" fontId="9" fillId="10" borderId="0" xfId="0" applyFont="1" applyFill="1" applyAlignment="1">
      <x:alignment horizontal="left" vertical="center"/>
    </x:xf>
    <x:xf numFmtId="0" fontId="8" fillId="10" borderId="0" xfId="0" applyFont="1" applyFill="1" applyAlignment="1">
      <x:alignment horizontal="left" vertical="center"/>
    </x:xf>
    <x:xf numFmtId="0" fontId="10" fillId="10" borderId="0" xfId="0" applyFont="1" applyFill="1" applyAlignment="1">
      <x:alignment horizontal="left" vertical="center"/>
    </x:xf>
    <x:xf numFmtId="166" fontId="5" fillId="7" borderId="0" xfId="0" applyNumberFormat="1" applyFont="1" applyFill="1" applyAlignment="1">
      <x:alignment horizontal="right" vertical="center" wrapText="1"/>
    </x:xf>
    <x:xf numFmtId="166" fontId="8" fillId="8" borderId="1" xfId="0" applyNumberFormat="1" applyFont="1" applyFill="1" applyBorder="1" applyAlignment="1">
      <x:alignment horizontal="right" vertical="center"/>
    </x:xf>
    <x:xf numFmtId="166" fontId="8" fillId="8" borderId="0" xfId="0" applyNumberFormat="1" applyFont="1" applyFill="1" applyAlignment="1">
      <x:alignment horizontal="right" vertical="center"/>
    </x:xf>
    <x:xf numFmtId="166" fontId="10" fillId="8" borderId="0" xfId="0" applyNumberFormat="1" applyFont="1" applyFill="1" applyAlignment="1">
      <x:alignment horizontal="right" vertical="center"/>
    </x:xf>
    <x:xf numFmtId="166" fontId="8" fillId="9" borderId="1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Alignment="1">
      <x:alignment horizontal="right" vertical="center"/>
    </x:xf>
    <x:xf numFmtId="166" fontId="10" fillId="9" borderId="0" xfId="0" applyNumberFormat="1" applyFont="1" applyFill="1" applyAlignment="1">
      <x:alignment horizontal="right" vertical="center"/>
    </x:xf>
    <x:xf numFmtId="166" fontId="8" fillId="10" borderId="1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Alignment="1">
      <x:alignment horizontal="right" vertical="center"/>
    </x:xf>
    <x:xf numFmtId="166" fontId="10" fillId="10" borderId="0" xfId="0" applyNumberFormat="1" applyFont="1" applyFill="1" applyAlignment="1">
      <x:alignment horizontal="right" vertical="center"/>
    </x:xf>
    <x:xf numFmtId="0" fontId="1" fillId="2" borderId="0" xfId="0" applyFont="1" applyFill="1" applyAlignment="1">
      <x:alignment horizontal="center" vertical="center" wrapText="1"/>
    </x:xf>
    <x:xf numFmtId="166" fontId="6" fillId="6" borderId="0" xfId="0" applyNumberFormat="1" applyFont="1" applyFill="1" applyAlignment="1">
      <x:alignment horizontal="center" vertical="center"/>
    </x:xf>
    <x:xf numFmtId="0" fontId="7" fillId="3" borderId="0" xfId="0" applyFont="1" applyFill="1" applyAlignment="1">
      <x:alignment horizontal="left"/>
    </x:xf>
    <x:xf numFmtId="166" fontId="7" fillId="3" borderId="0" xfId="0" applyNumberFormat="1" applyFont="1" applyFill="1" applyAlignment="1">
      <x:alignment horizontal="left"/>
    </x:xf>
    <x:xf numFmtId="168" fontId="6" fillId="6" borderId="0" xfId="0" applyNumberFormat="1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165" fontId="6" fillId="6" borderId="0" xfId="0" applyNumberFormat="1" applyFont="1" applyFill="1" applyAlignment="1">
      <x:alignment horizontal="center" vertical="center"/>
    </x:xf>
    <x:xf numFmtId="0" fontId="3" fillId="3" borderId="0" xfId="0" applyFont="1" applyFill="1" applyAlignment="1">
      <x:alignment horizontal="left" vertical="center" wrapText="1"/>
    </x:xf>
    <x:xf numFmtId="0" fontId="4" fillId="4" borderId="0" xfId="0" applyFont="1" applyFill="1" applyAlignment="1">
      <x:alignment horizontal="left"/>
    </x:xf>
    <x:xf numFmtId="166" fontId="4" fillId="4" borderId="0" xfId="0" applyNumberFormat="1" applyFont="1" applyFill="1" applyAlignment="1">
      <x:alignment horizontal="left"/>
    </x:xf>
    <x:xf numFmtId="0" fontId="5" fillId="5" borderId="0" xfId="0" applyFont="1" applyFill="1" applyAlignment="1">
      <x:alignment horizontal="center" vertical="center" wrapText="1"/>
    </x:xf>
    <x:xf numFmtId="166" fontId="5" fillId="5" borderId="0" xfId="0" applyNumberFormat="1" applyFont="1" applyFill="1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164" fontId="2" fillId="0" borderId="2" xfId="0" applyNumberFormat="1" applyFont="1" applyFill="1" applyBorder="1"/>
    <x:xf numFmtId="165" fontId="0" fillId="0" borderId="2" xfId="0" applyNumberFormat="1" applyFont="1" applyFill="1" applyBorder="1"/>
    <x:xf numFmtId="166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left" vertical="center"/>
    </x:xf>
    <x:xf numFmtId="0" fontId="8" fillId="8" borderId="3" xfId="0" applyNumberFormat="1" applyFont="1" applyFill="1" applyBorder="1" applyAlignment="1">
      <x:alignment horizontal="left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10" fillId="8" borderId="2" xfId="0" applyNumberFormat="1" applyFont="1" applyFill="1" applyBorder="1" applyAlignment="1">
      <x:alignment horizontal="left" vertical="center"/>
    </x:xf>
    <x:xf numFmtId="0" fontId="9" fillId="9" borderId="3" xfId="0" applyNumberFormat="1" applyFont="1" applyFill="1" applyBorder="1" applyAlignment="1">
      <x:alignment horizontal="left" vertical="center"/>
    </x:xf>
    <x:xf numFmtId="0" fontId="8" fillId="9" borderId="3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10" fillId="9" borderId="2" xfId="0" applyNumberFormat="1" applyFont="1" applyFill="1" applyBorder="1" applyAlignment="1">
      <x:alignment horizontal="left" vertical="center"/>
    </x:xf>
    <x:xf numFmtId="0" fontId="9" fillId="10" borderId="3" xfId="0" applyNumberFormat="1" applyFont="1" applyFill="1" applyBorder="1" applyAlignment="1">
      <x:alignment horizontal="left" vertical="center"/>
    </x:xf>
    <x:xf numFmtId="0" fontId="8" fillId="10" borderId="3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10" fillId="10" borderId="2" xfId="0" applyNumberFormat="1" applyFont="1" applyFill="1" applyBorder="1" applyAlignment="1">
      <x:alignment horizontal="left" vertical="center"/>
    </x:xf>
    <x:xf numFmtId="166" fontId="5" fillId="7" borderId="2" xfId="0" applyNumberFormat="1" applyFont="1" applyFill="1" applyBorder="1" applyAlignment="1">
      <x:alignment horizontal="right" vertical="center" wrapText="1"/>
    </x:xf>
    <x:xf numFmtId="166" fontId="8" fillId="8" borderId="3" xfId="0" applyNumberFormat="1" applyFont="1" applyFill="1" applyBorder="1" applyAlignment="1">
      <x:alignment horizontal="right" vertical="center"/>
    </x:xf>
    <x:xf numFmtId="166" fontId="8" fillId="8" borderId="2" xfId="0" applyNumberFormat="1" applyFont="1" applyFill="1" applyBorder="1" applyAlignment="1">
      <x:alignment horizontal="right" vertical="center"/>
    </x:xf>
    <x:xf numFmtId="166" fontId="10" fillId="8" borderId="2" xfId="0" applyNumberFormat="1" applyFont="1" applyFill="1" applyBorder="1" applyAlignment="1">
      <x:alignment horizontal="right" vertical="center"/>
    </x:xf>
    <x:xf numFmtId="166" fontId="8" fillId="9" borderId="3" xfId="0" applyNumberFormat="1" applyFont="1" applyFill="1" applyBorder="1" applyAlignment="1">
      <x:alignment horizontal="right" vertical="center"/>
    </x:xf>
    <x:xf numFmtId="166" fontId="8" fillId="9" borderId="2" xfId="0" applyNumberFormat="1" applyFont="1" applyFill="1" applyBorder="1" applyAlignment="1">
      <x:alignment horizontal="right" vertical="center"/>
    </x:xf>
    <x:xf numFmtId="166" fontId="10" fillId="9" borderId="2" xfId="0" applyNumberFormat="1" applyFont="1" applyFill="1" applyBorder="1" applyAlignment="1">
      <x:alignment horizontal="right" vertical="center"/>
    </x:xf>
    <x:xf numFmtId="166" fontId="8" fillId="10" borderId="3" xfId="0" applyNumberFormat="1" applyFont="1" applyFill="1" applyBorder="1" applyAlignment="1">
      <x:alignment horizontal="right" vertical="center"/>
    </x:xf>
    <x:xf numFmtId="166" fontId="8" fillId="10" borderId="2" xfId="0" applyNumberFormat="1" applyFont="1" applyFill="1" applyBorder="1" applyAlignment="1">
      <x:alignment horizontal="right" vertical="center"/>
    </x:xf>
    <x:xf numFmtId="166" fontId="10" fillId="10" borderId="2" xfId="0" applyNumberFormat="1" applyFont="1" applyFill="1" applyBorder="1" applyAlignment="1">
      <x:alignment horizontal="right" vertical="center"/>
    </x:xf>
    <x:xf numFmtId="166" fontId="6" fillId="6" borderId="2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left"/>
    </x:xf>
    <x:xf numFmtId="166" fontId="7" fillId="2" borderId="2" xfId="0" applyNumberFormat="1" applyFont="1" applyFill="1" applyBorder="1" applyAlignment="1">
      <x:alignment horizontal="left"/>
    </x:xf>
    <x:xf numFmtId="168" fontId="6" fillId="6" borderId="2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165" fontId="6" fillId="6" borderId="2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/>
    </x:xf>
    <x:xf numFmtId="166" fontId="4" fillId="4" borderId="2" xfId="0" applyNumberFormat="1" applyFont="1" applyFill="1" applyBorder="1" applyAlignment="1">
      <x:alignment horizontal="left"/>
    </x:xf>
    <x:xf numFmtId="0" fontId="5" fillId="5" borderId="2" xfId="0" applyNumberFormat="1" applyFont="1" applyFill="1" applyBorder="1" applyAlignment="1">
      <x:alignment horizontal="center" vertical="center" wrapText="1"/>
    </x:xf>
    <x:xf numFmtId="166" fontId="5" fillId="5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11" borderId="0" xfId="0" applyNumberFormat="1" applyFont="1" applyFill="1" applyBorder="1"/>
    <x:xf numFmtId="200" fontId="11" fillId="11" borderId="0" xfId="0" applyNumberFormat="1" applyFont="1" applyFill="1" applyBorder="1"/>
    <x:xf numFmtId="200" fontId="0" fillId="11" borderId="2" xfId="0" applyNumberFormat="1" applyFont="1" applyFill="1" applyBorder="1"/>
    <x:xf numFmtId="200" fontId="11" fillId="11" borderId="2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0" fillId="12" borderId="2" xfId="0" applyNumberFormat="1" applyFont="1" applyFill="1" applyBorder="1"/>
    <x:xf numFmtId="0" fontId="12" fillId="12" borderId="2" xfId="0" applyNumberFormat="1" applyFont="1" applyFill="1" applyBorder="1"/>
    <x:xf numFmtId="0" fontId="12" fillId="12" borderId="2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3" borderId="2" xfId="0" applyNumberFormat="1" applyFont="1" applyFill="1" applyBorder="1"/>
    <x:xf numFmtId="0" fontId="1" fillId="13" borderId="2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1" borderId="2" xfId="0" applyNumberFormat="1" applyFont="1" applyFill="1" applyBorder="1"/>
    <x:xf numFmtId="0" fontId="11" fillId="11" borderId="2" xfId="0" applyNumberFormat="1" applyFont="1" applyFill="1" applyBorder="1"/>
    <x:xf numFmtId="0" fontId="11" fillId="12" borderId="0" xfId="0" applyNumberFormat="1" applyFont="1" applyFill="1" applyBorder="1"/>
    <x:xf numFmtId="0" fontId="1" fillId="12" borderId="0" xfId="0" applyNumberFormat="1" applyFont="1" applyFill="1" applyBorder="1"/>
    <x:xf numFmtId="0" fontId="11" fillId="12" borderId="2" xfId="0" applyNumberFormat="1" applyFont="1" applyFill="1" applyBorder="1"/>
    <x:xf numFmtId="0" fontId="1" fillId="12" borderId="2" xfId="0" applyNumberFormat="1" applyFont="1" applyFill="1" applyBorder="1"/>
    <x:xf numFmtId="200" fontId="1" fillId="12" borderId="0" xfId="0" applyNumberFormat="1" applyFont="1" applyFill="1" applyBorder="1"/>
    <x:xf numFmtId="200" fontId="1" fillId="12" borderId="2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164" fontId="2" fillId="0" borderId="0" xfId="0" applyNumberFormat="1" applyFont="1" applyFill="1" applyBorder="1"/>
    <x:xf numFmtId="165" fontId="0" fillId="0" borderId="0" xfId="0" applyNumberFormat="1" applyFont="1" applyFill="1" applyBorder="1"/>
    <x:xf numFmtId="166" fontId="0" fillId="0" borderId="0" xfId="0" applyNumberFormat="1" applyFont="1" applyFill="1" applyBorder="1"/>
    <x:xf numFmtId="167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left" vertical="center"/>
    </x:xf>
    <x:xf numFmtId="0" fontId="8" fillId="8" borderId="1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1" xfId="0" applyNumberFormat="1" applyFont="1" applyFill="1" applyBorder="1" applyAlignment="1">
      <x:alignment horizontal="left" vertical="center"/>
    </x:xf>
    <x:xf numFmtId="0" fontId="8" fillId="9" borderId="1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1" xfId="0" applyNumberFormat="1" applyFont="1" applyFill="1" applyBorder="1" applyAlignment="1">
      <x:alignment horizontal="left" vertical="center"/>
    </x:xf>
    <x:xf numFmtId="0" fontId="8" fillId="10" borderId="1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166" fontId="5" fillId="7" borderId="0" xfId="0" applyNumberFormat="1" applyFont="1" applyFill="1" applyBorder="1" applyAlignment="1">
      <x:alignment horizontal="right" vertical="center" wrapText="1"/>
    </x:xf>
    <x:xf numFmtId="166" fontId="8" fillId="8" borderId="0" xfId="0" applyNumberFormat="1" applyFont="1" applyFill="1" applyBorder="1" applyAlignment="1">
      <x:alignment horizontal="right" vertical="center"/>
    </x:xf>
    <x:xf numFmtId="166" fontId="10" fillId="8" borderId="0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Border="1" applyAlignment="1">
      <x:alignment horizontal="right" vertical="center"/>
    </x:xf>
    <x:xf numFmtId="166" fontId="10" fillId="9" borderId="0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Border="1" applyAlignment="1">
      <x:alignment horizontal="right" vertical="center"/>
    </x:xf>
    <x:xf numFmtId="166" fontId="10" fillId="10" borderId="0" xfId="0" applyNumberFormat="1" applyFont="1" applyFill="1" applyBorder="1" applyAlignment="1">
      <x:alignment horizontal="right" vertical="center"/>
    </x:xf>
    <x:xf numFmtId="166" fontId="6" fillId="6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left"/>
    </x:xf>
    <x:xf numFmtId="166" fontId="7" fillId="2" borderId="0" xfId="0" applyNumberFormat="1" applyFont="1" applyFill="1" applyBorder="1" applyAlignment="1">
      <x:alignment horizontal="left"/>
    </x:xf>
    <x:xf numFmtId="168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165" fontId="6" fillId="6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/>
    </x:xf>
    <x:xf numFmtId="166" fontId="4" fillId="4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center" vertical="center" wrapText="1"/>
    </x:xf>
    <x:xf numFmtId="166" fontId="5" fillId="5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11" fillId="4" borderId="0" xfId="0" applyNumberFormat="1" applyFont="1" applyFill="1" applyBorder="1"/>
    <x:xf numFmtId="0" fontId="0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202" fontId="0" fillId="0" borderId="0" xfId="0" applyNumberFormat="1" applyFont="1" applyFill="1" applyBorder="1"/>
    <x:xf numFmtId="0" fontId="13" fillId="15" borderId="0" xfId="0" applyNumberFormat="1" applyFont="1" applyFill="1" applyBorder="1"/>
    <x:xf numFmtId="202" fontId="0" fillId="1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7c702332e48f5" /><Relationship Type="http://schemas.openxmlformats.org/officeDocument/2006/relationships/theme" Target="/xl/theme/theme1.xml" Id="Re4688aa32c7a4765" /><Relationship Type="http://schemas.openxmlformats.org/officeDocument/2006/relationships/sharedStrings" Target="/xl/sharedStrings.xml" Id="Red48d9b093784581" /><Relationship Type="http://schemas.openxmlformats.org/officeDocument/2006/relationships/worksheet" Target="/xl/worksheets/sheet1.xml" Id="Re84ed24f706e4e2b" /><Relationship Type="http://schemas.openxmlformats.org/officeDocument/2006/relationships/worksheet" Target="/xl/worksheets/sheet2.xml" Id="R5416ef726f88432a" /><Relationship Type="http://schemas.openxmlformats.org/officeDocument/2006/relationships/worksheet" Target="/xl/worksheets/sheet3.xml" Id="R9e80a97b02824292" /><Relationship Type="http://schemas.openxmlformats.org/officeDocument/2006/relationships/worksheet" Target="/xl/worksheets/sheet4.xml" Id="Rf60a244712864c6c" /><Relationship Type="http://schemas.openxmlformats.org/officeDocument/2006/relationships/worksheet" Target="/xl/worksheets/sheet5.xml" Id="R2e59d4391cf146e8" /><Relationship Type="http://schemas.openxmlformats.org/officeDocument/2006/relationships/worksheet" Target="/xl/worksheets/sheet6.xml" Id="R02596314d5314f0a" /><Relationship Type="http://schemas.openxmlformats.org/officeDocument/2006/relationships/worksheet" Target="/xl/worksheets/sheet7.xml" Id="R1fd0bdf7752447a9" /><Relationship Type="http://schemas.openxmlformats.org/officeDocument/2006/relationships/worksheet" Target="/xl/worksheets/sheet8.xml" Id="R5684e3b68a0243fe" /><Relationship Type="http://schemas.openxmlformats.org/officeDocument/2006/relationships/worksheet" Target="/xl/worksheets/sheet9.xml" Id="Rfeaaa2d851744c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2" width="26.1640625" customWidth="1"/>
    <x:col min="3" max="3" width="11.1640625" customWidth="1"/>
    <x:col min="4" max="4" width="40" customWidth="1"/>
  </x:cols>
  <x:sheetData>
    <x:row r="1" ht="15">
      <x:c r="A1" s="33" t="s">
        <x:v>0</x:v>
      </x:c>
      <x:c r="B1" s="33"/>
      <x:c r="C1" s="33"/>
      <x:c r="D1" s="33"/>
    </x:row>
    <x:row r="2" ht="32">
      <x:c r="A2" s="1" t="s">
        <x:v>1</x:v>
      </x:c>
      <x:c r="B2" s="1" t="s">
        <x:v>2</x:v>
      </x:c>
      <x:c r="C2" s="1" t="s">
        <x:v>3</x:v>
      </x:c>
      <x:c r="D2" s="1" t="s">
        <x:v>4</x:v>
      </x:c>
    </x:row>
    <x:row r="3">
      <x:c r="A3" t="s">
        <x:v>5</x:v>
      </x:c>
      <x:c r="B3" s="2" t="n">
        <x:v>2023</x:v>
      </x:c>
      <x:c r="C3" t="s">
        <x:v>6</x:v>
      </x:c>
      <x:c r="D3" t="str">
        <x:v>Exercice</x:v>
      </x:c>
    </x:row>
    <x:row r="4">
      <x:c r="A4" t="s">
        <x:v>7</x:v>
      </x:c>
      <x:c r="B4" s="3">
        <x:v>6.9000000000000006E-2</x:v>
      </x:c>
      <x:c r="C4" t="s">
        <x:v>8</x:v>
      </x:c>
      <x:c r="D4" t="str">
        <x:v>Paramètre annuel</x:v>
      </x:c>
    </x:row>
    <x:row r="5">
      <x:c r="A5" t="s">
        <x:v>9</x:v>
      </x:c>
      <x:c r="B5" s="2">
        <x:v>4670</x:v>
      </x:c>
      <x:c r="C5" t="s">
        <x:v>10</x:v>
      </x:c>
      <x:c r="D5" t="str">
        <x:v>Taux de change</x:v>
      </x:c>
    </x:row>
    <x:row r="6">
      <x:c r="A6" t="s">
        <x:v>11</x:v>
      </x:c>
      <x:c r="B6" s="2">
        <x:v>31.9</x:v>
      </x:c>
      <x:c r="C6" t="s">
        <x:v>12</x:v>
      </x:c>
      <x:c r="D6" t="str">
        <x:v>Taux de change</x:v>
      </x:c>
    </x:row>
    <x:row r="7">
      <x:c r="A7" t="s">
        <x:v>13</x:v>
      </x:c>
      <x:c r="B7" s="3">
        <x:v>0.08</x:v>
      </x:c>
      <x:c r="C7" t="s">
        <x:v>8</x:v>
      </x:c>
      <x:c r="D7" t="str">
        <x:v>Évolution salariale</x:v>
      </x:c>
    </x:row>
    <x:row r="8">
      <x:c r="A8" t="s">
        <x:v>14</x:v>
      </x:c>
      <x:c r="B8" s="3">
        <x:v>0.2</x:v>
      </x:c>
      <x:c r="C8" t="s">
        <x:v>8</x:v>
      </x:c>
      <x:c r="D8" t="s">
        <x:v>15</x:v>
      </x:c>
    </x:row>
    <x:row r="9">
      <x:c r="A9" t="s">
        <x:v>16</x:v>
      </x:c>
      <x:c r="B9" t="s">
        <x:v>17</x:v>
      </x:c>
      <x:c r="D9" t="s">
        <x:v>18</x:v>
      </x:c>
    </x:row>
    <x:row r="10">
      <x:c r="A10" t="s">
        <x:v>19</x:v>
      </x:c>
      <x:c r="B10" t="s">
        <x:v>20</x:v>
      </x:c>
      <x:c r="D10" t="s">
        <x:v>21</x:v>
      </x:c>
    </x:row>
    <x:row r="12" ht="16">
      <x:c r="A12" s="1" t="s">
        <x:v>22</x:v>
      </x:c>
      <x:c r="B12" s="1"/>
      <x:c r="C12" s="1"/>
      <x:c r="D12" s="1"/>
    </x:row>
    <x:row r="13" ht="16">
      <x:c r="A13" s="1" t="s">
        <x:v>23</x:v>
      </x:c>
      <x:c r="B13" s="1" t="s">
        <x:v>24</x:v>
      </x:c>
      <x:c r="C13" s="1" t="s">
        <x:v>25</x:v>
      </x:c>
      <x:c r="D13" s="1" t="s">
        <x:v>26</x:v>
      </x:c>
    </x:row>
    <x:row r="14">
      <x:c r="A14" t="s">
        <x:v>27</x:v>
      </x:c>
      <x:c r="B14" t="s">
        <x:v>28</x:v>
      </x:c>
      <x:c r="C14" t="s">
        <x:v>29</x:v>
      </x:c>
      <x:c r="D14" t="str">
        <x:v>Marché export</x:v>
      </x:c>
    </x:row>
    <x:row r="15">
      <x:c r="A15" t="s">
        <x:v>30</x:v>
      </x:c>
      <x:c r="B15" t="s">
        <x:v>31</x:v>
      </x:c>
      <x:c r="C15" t="s">
        <x:v>32</x:v>
      </x:c>
      <x:c r="D15" t="str">
        <x:v>Marché export</x:v>
      </x:c>
    </x:row>
    <x:row r="16">
      <x:c r="A16" t="s">
        <x:v>33</x:v>
      </x:c>
      <x:c r="B16" t="str">
        <x:v>REPRESENTANT CHINE</x:v>
      </x:c>
      <x:c r="C16" t="s">
        <x:v>32</x:v>
      </x:c>
      <x:c r="D16" t="str">
        <x:v>Marché export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7.83203125" customWidth="1"/>
    <x:col min="2" max="2" width="18" customWidth="1"/>
    <x:col min="3" max="3" width="14.6640625" customWidth="1"/>
    <x:col min="4" max="4" width="11.6640625" customWidth="1"/>
    <x:col min="5" max="5" width="26" customWidth="1"/>
    <x:col min="6" max="6" width="22" customWidth="1"/>
    <x:col min="7" max="7" width="18.6640625" customWidth="1"/>
    <x:col min="8" max="9" width="20.5" customWidth="1"/>
    <x:col min="10" max="10" width="5.1640625" customWidth="1"/>
  </x:cols>
  <x:sheetData>
    <x:row r="1" ht="32">
      <x:c r="A1" s="1" t="s">
        <x:v>34</x:v>
      </x:c>
      <x:c r="B1" s="1" t="str">
        <x:v>Nom</x:v>
      </x:c>
      <x:c r="C1" s="1" t="s">
        <x:v>35</x:v>
      </x:c>
      <x:c r="D1" s="1" t="s">
        <x:v>36</x:v>
      </x:c>
      <x:c r="E1" s="1" t="s">
        <x:v>37</x:v>
      </x:c>
      <x:c r="F1" s="1" t="s">
        <x:v>38</x:v>
      </x:c>
      <x:c r="G1" s="1" t="s">
        <x:v>39</x:v>
      </x:c>
      <x:c r="H1" s="1" t="s">
        <x:v>40</x:v>
      </x:c>
      <x:c r="I1" s="1" t="s">
        <x:v>41</x:v>
      </x:c>
      <x:c r="J1" s="1" t="s">
        <x:v>42</x:v>
      </x:c>
    </x:row>
    <x:row r="2">
      <x:c r="A2" t="str">
        <x:v>EMP-001</x:v>
      </x:c>
      <x:c r="B2" t="str">
        <x:v>RABE Hery</x:v>
      </x:c>
      <x:c r="C2" t="str">
        <x:v>TRANOMARO</x:v>
      </x:c>
      <x:c r="D2" t="str">
        <x:v>Direction</x:v>
      </x:c>
      <x:c r="E2" t="str">
        <x:v>Directeur Général</x:v>
      </x:c>
      <x:c r="F2" s="4" t="n">
        <x:v>13440000</x:v>
      </x:c>
      <x:c r="G2" s="4" t="n">
        <x:v>672000</x:v>
      </x:c>
      <x:c r="H2" s="4" t="n">
        <x:v>2419000</x:v>
      </x:c>
      <x:c r="I2" s="4" t="n">
        <x:f>SUM(F2:H2)</x:f>
        <x:v>16531000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AMPANDRANDAVA</x:v>
      </x:c>
      <x:c r="D3" t="str">
        <x:v>Direction</x:v>
      </x:c>
      <x:c r="E3" t="str">
        <x:v>DAF</x:v>
      </x:c>
      <x:c r="F3" s="4" t="n">
        <x:v>10960000</x:v>
      </x:c>
      <x:c r="G3" s="4" t="n">
        <x:v>1315000</x:v>
      </x:c>
      <x:c r="H3" s="4" t="n">
        <x:v>1973000</x:v>
      </x:c>
      <x:c r="I3" s="4" t="n">
        <x:f>SUM(F3:H3)</x:f>
        <x:v>14248000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AMPANDRANDAVA</x:v>
      </x:c>
      <x:c r="D4" t="str">
        <x:v>Finance</x:v>
      </x:c>
      <x:c r="E4" t="str">
        <x:v>Chef comptable</x:v>
      </x:c>
      <x:c r="F4" s="4" t="n">
        <x:v>6000000</x:v>
      </x:c>
      <x:c r="G4" s="4" t="n">
        <x:v>720000</x:v>
      </x:c>
      <x:c r="H4" s="4" t="n">
        <x:v>1080000</x:v>
      </x:c>
      <x:c r="I4" s="4" t="n">
        <x:f>SUM(F4:H4)</x:f>
        <x:v>7800000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FORT DAUPHIN</x:v>
      </x:c>
      <x:c r="D5" t="str">
        <x:v>Finance</x:v>
      </x:c>
      <x:c r="E5" t="str">
        <x:v>Comptable</x:v>
      </x:c>
      <x:c r="F5" s="4" t="n">
        <x:v>3950000</x:v>
      </x:c>
      <x:c r="G5" s="4" t="n">
        <x:v>316000</x:v>
      </x:c>
      <x:c r="H5" s="4" t="n">
        <x:v>711000</x:v>
      </x:c>
      <x:c r="I5" s="4" t="n">
        <x:f>SUM(F5:H5)</x:f>
        <x:v>4977000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TRANOMARO</x:v>
      </x:c>
      <x:c r="D6" t="str">
        <x:v>Finance</x:v>
      </x:c>
      <x:c r="E6" t="str">
        <x:v>Assistant comptable</x:v>
      </x:c>
      <x:c r="F6" s="4" t="n">
        <x:v>2350000</x:v>
      </x:c>
      <x:c r="G6" s="4" t="n">
        <x:v>235000</x:v>
      </x:c>
      <x:c r="H6" s="4" t="n">
        <x:v>423000</x:v>
      </x:c>
      <x:c r="I6" s="4" t="n">
        <x:f>SUM(F6:H6)</x:f>
        <x:v>3008000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4" t="n">
        <x:v>5000000</x:v>
      </x:c>
      <x:c r="G7" s="4" t="n">
        <x:v>600000</x:v>
      </x:c>
      <x:c r="H7" s="4" t="n">
        <x:v>900000</x:v>
      </x:c>
      <x:c r="I7" s="4" t="n">
        <x:f>SUM(F7:H7)</x:f>
        <x:v>6500000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FORT DAUPHIN</x:v>
      </x:c>
      <x:c r="D8" t="str">
        <x:v>Commercial</x:v>
      </x:c>
      <x:c r="E8" t="str">
        <x:v>Responsable commercial export</x:v>
      </x:c>
      <x:c r="F8" s="4" t="n">
        <x:v>5680000</x:v>
      </x:c>
      <x:c r="G8" s="4" t="n">
        <x:v>568000</x:v>
      </x:c>
      <x:c r="H8" s="4" t="n">
        <x:v>1022000</x:v>
      </x:c>
      <x:c r="I8" s="4" t="n">
        <x:f>SUM(F8:H8)</x:f>
        <x:v>7270000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TRANOMARO</x:v>
      </x:c>
      <x:c r="D9" t="str">
        <x:v>Commercial</x:v>
      </x:c>
      <x:c r="E9" t="str">
        <x:v>Agent export</x:v>
      </x:c>
      <x:c r="F9" s="4" t="n">
        <x:v>3590000</x:v>
      </x:c>
      <x:c r="G9" s="4" t="n">
        <x:v>359000</x:v>
      </x:c>
      <x:c r="H9" s="4" t="n">
        <x:v>646000</x:v>
      </x:c>
      <x:c r="I9" s="4" t="n">
        <x:f>SUM(F9:H9)</x:f>
        <x:v>4595000</x:v>
      </x:c>
      <x:c r="J9" t="str">
        <x:v>Actif</x:v>
      </x:c>
    </x:row>
    <x:row r="10">
      <x:c r="A10" t="str">
        <x:v>EMP-010</x:v>
      </x:c>
      <x:c r="B10" t="str">
        <x:v>RAZAN Mamy</x:v>
      </x:c>
      <x:c r="C10" t="str">
        <x:v>FORT DAUPHIN</x:v>
      </x:c>
      <x:c r="D10" t="str">
        <x:v>Production</x:v>
      </x:c>
      <x:c r="E10" t="str">
        <x:v>Chef d'atelier</x:v>
      </x:c>
      <x:c r="F10" s="4" t="n">
        <x:v>3420000</x:v>
      </x:c>
      <x:c r="G10" s="4" t="n">
        <x:v>342000</x:v>
      </x:c>
      <x:c r="H10" s="4" t="n">
        <x:v>616000</x:v>
      </x:c>
      <x:c r="I10" s="4" t="n">
        <x:f>SUM(F10:H10)</x:f>
        <x:v>4378000</x:v>
      </x:c>
      <x:c r="J10" t="str">
        <x:v>Actif</x:v>
      </x:c>
    </x:row>
    <x:row r="11">
      <x:c r="A11" t="str">
        <x:v>EMP-011</x:v>
      </x:c>
      <x:c r="B11" t="str">
        <x:v>RABARY Lalaina</x:v>
      </x:c>
      <x:c r="C11" t="str">
        <x:v>FORT DAUPHIN</x:v>
      </x:c>
      <x:c r="D11" t="str">
        <x:v>Production</x:v>
      </x:c>
      <x:c r="E11" t="str">
        <x:v>Contrôleur qualité</x:v>
      </x:c>
      <x:c r="F11" s="4" t="n">
        <x:v>2810000</x:v>
      </x:c>
      <x:c r="G11" s="4" t="n">
        <x:v>281000</x:v>
      </x:c>
      <x:c r="H11" s="4" t="n">
        <x:v>506000</x:v>
      </x:c>
      <x:c r="I11" s="4" t="n">
        <x:f>SUM(F11:H11)</x:f>
        <x:v>3597000</x:v>
      </x:c>
      <x:c r="J11" t="str">
        <x:v>Actif</x:v>
      </x:c>
    </x:row>
    <x:row r="12">
      <x:c r="A12" t="str">
        <x:v>EMP-012</x:v>
      </x:c>
      <x:c r="B12" t="str">
        <x:v>RAKOTOMALALA Tahina</x:v>
      </x:c>
      <x:c r="C12" t="str">
        <x:v>FORT DAUPHIN</x:v>
      </x:c>
      <x:c r="D12" t="str">
        <x:v>Production</x:v>
      </x:c>
      <x:c r="E12" t="str">
        <x:v>Opérateur traitement</x:v>
      </x:c>
      <x:c r="F12" s="4" t="n">
        <x:v>2010000</x:v>
      </x:c>
      <x:c r="G12" s="4" t="n">
        <x:v>201000</x:v>
      </x:c>
      <x:c r="H12" s="4" t="n">
        <x:v>362000</x:v>
      </x:c>
      <x:c r="I12" s="4" t="n">
        <x:f>SUM(F12:H12)</x:f>
        <x:v>2573000</x:v>
      </x:c>
      <x:c r="J12" t="str">
        <x:v>Actif</x:v>
      </x:c>
    </x:row>
    <x:row r="13">
      <x:c r="A13" t="str">
        <x:v>EMP-013</x:v>
      </x:c>
      <x:c r="B13" t="str">
        <x:v>ANDRIAMANANA Soa</x:v>
      </x:c>
      <x:c r="C13" t="str">
        <x:v>TRANOMARO</x:v>
      </x:c>
      <x:c r="D13" t="str">
        <x:v>Production</x:v>
      </x:c>
      <x:c r="E13" t="str">
        <x:v>Coupeuse / trieuse</x:v>
      </x:c>
      <x:c r="F13" s="4" t="n">
        <x:v>1390000</x:v>
      </x:c>
      <x:c r="G13" s="4" t="n">
        <x:v>167000</x:v>
      </x:c>
      <x:c r="H13" s="4" t="n">
        <x:v>250000</x:v>
      </x:c>
      <x:c r="I13" s="4" t="n">
        <x:f>SUM(F13:H13)</x:f>
        <x:v>1807000</x:v>
      </x:c>
      <x:c r="J13" t="str">
        <x:v>Actif</x:v>
      </x:c>
    </x:row>
    <x:row r="14">
      <x:c r="A14" t="str">
        <x:v>EMP-014</x:v>
      </x:c>
      <x:c r="B14" t="str">
        <x:v>RAZAFINDRAKOTO Nomena</x:v>
      </x:c>
      <x:c r="C14" t="str">
        <x:v>FORT DAUPHIN</x:v>
      </x:c>
      <x:c r="D14" t="str">
        <x:v>Logistique</x:v>
      </x:c>
      <x:c r="E14" t="str">
        <x:v>Responsable logistique</x:v>
      </x:c>
      <x:c r="F14" s="4" t="n">
        <x:v>4520000</x:v>
      </x:c>
      <x:c r="G14" s="4" t="n">
        <x:v>542000</x:v>
      </x:c>
      <x:c r="H14" s="4" t="n">
        <x:v>814000</x:v>
      </x:c>
      <x:c r="I14" s="4" t="n">
        <x:f>SUM(F14:H14)</x:f>
        <x:v>5876000</x:v>
      </x:c>
      <x:c r="J14" t="str">
        <x:v>Actif</x:v>
      </x:c>
    </x:row>
    <x:row r="15">
      <x:c r="A15" t="str">
        <x:v>EMP-015</x:v>
      </x:c>
      <x:c r="B15" t="str">
        <x:v>RANDRIAMBOLOLONA Finaritra</x:v>
      </x:c>
      <x:c r="C15" t="str">
        <x:v>AMPANDRANDAVA</x:v>
      </x:c>
      <x:c r="D15" t="str">
        <x:v>Logistique</x:v>
      </x:c>
      <x:c r="E15" t="str">
        <x:v>Magasinier</x:v>
      </x:c>
      <x:c r="F15" s="4" t="n">
        <x:v>1900000</x:v>
      </x:c>
      <x:c r="G15" s="4" t="n">
        <x:v>228000</x:v>
      </x:c>
      <x:c r="H15" s="4" t="n">
        <x:v>342000</x:v>
      </x:c>
      <x:c r="I15" s="4" t="n">
        <x:f>SUM(F15:H15)</x:f>
        <x:v>2470000</x:v>
      </x:c>
      <x:c r="J15" t="str">
        <x:v>Actif</x:v>
      </x:c>
    </x:row>
    <x:row r="16">
      <x:c r="A16" t="str">
        <x:v>EMP-016</x:v>
      </x:c>
      <x:c r="B16" t="str">
        <x:v>RASOLO Harena</x:v>
      </x:c>
      <x:c r="C16" t="str">
        <x:v>AMPANDRANDAVA</x:v>
      </x:c>
      <x:c r="D16" t="str">
        <x:v>Maintenance</x:v>
      </x:c>
      <x:c r="E16" t="str">
        <x:v>Technicien maintenance</x:v>
      </x:c>
      <x:c r="F16" s="4" t="n">
        <x:v>2840000</x:v>
      </x:c>
      <x:c r="G16" s="4" t="n">
        <x:v>142000</x:v>
      </x:c>
      <x:c r="H16" s="4" t="n">
        <x:v>511000</x:v>
      </x:c>
      <x:c r="I16" s="4" t="n">
        <x:f>SUM(F16:H16)</x:f>
        <x:v>3493000</x:v>
      </x:c>
      <x:c r="J16" t="str">
        <x:v>Actif</x:v>
      </x:c>
    </x:row>
    <x:row r="17">
      <x:c r="A17" t="str">
        <x:v>EMP-017</x:v>
      </x:c>
      <x:c r="B17" t="str">
        <x:v>RATSIMBAZAFY Faniry</x:v>
      </x:c>
      <x:c r="C17" t="str">
        <x:v>AMBOASARY</x:v>
      </x:c>
      <x:c r="D17" t="str">
        <x:v>Sécurité</x:v>
      </x:c>
      <x:c r="E17" t="str">
        <x:v>Agent de sécurité</x:v>
      </x:c>
      <x:c r="F17" s="4" t="n">
        <x:v>1430000</x:v>
      </x:c>
      <x:c r="G17" s="4" t="n">
        <x:v>72000</x:v>
      </x:c>
      <x:c r="H17" s="4" t="n">
        <x:v>257000</x:v>
      </x:c>
      <x:c r="I17" s="4" t="n">
        <x:f>SUM(F17:H17)</x:f>
        <x:v>1759000</x:v>
      </x:c>
      <x:c r="J17" t="str">
        <x:v>Actif</x:v>
      </x:c>
    </x:row>
    <x:row r="18">
      <x:c r="A18" t="str">
        <x:v>EMP-019</x:v>
      </x:c>
      <x:c r="B18" t="str">
        <x:v>ANDRIANIRINA Mamy</x:v>
      </x:c>
      <x:c r="C18" t="str">
        <x:v>TRANOMARO</x:v>
      </x:c>
      <x:c r="D18" t="str">
        <x:v>Production</x:v>
      </x:c>
      <x:c r="E18" t="str">
        <x:v>Coupeuse / trieuse</x:v>
      </x:c>
      <x:c r="F18" s="4" t="n">
        <x:v>14150000</x:v>
      </x:c>
      <x:c r="G18" s="4" t="n">
        <x:v>1132000</x:v>
      </x:c>
      <x:c r="H18" s="4" t="n">
        <x:v>2547000</x:v>
      </x:c>
      <x:c r="I18" s="4" t="n">
        <x:f>SUM(F18:H18)</x:f>
        <x:v>17829000</x:v>
      </x:c>
      <x:c r="J18" t="str">
        <x:v>Actif</x:v>
      </x:c>
    </x:row>
    <x:row r="19">
      <x:c r="A19" t="str">
        <x:v>EMP-020</x:v>
      </x:c>
      <x:c r="B19" t="str">
        <x:v>RABENJA Felana</x:v>
      </x:c>
      <x:c r="C19" t="str">
        <x:v>TRANOMARO</x:v>
      </x:c>
      <x:c r="D19" t="str">
        <x:v>Production</x:v>
      </x:c>
      <x:c r="E19" t="str">
        <x:v>Coupeuse / trieuse</x:v>
      </x:c>
      <x:c r="F19" s="4" t="n">
        <x:v>9860000</x:v>
      </x:c>
      <x:c r="G19" s="4" t="n">
        <x:v>493000</x:v>
      </x:c>
      <x:c r="H19" s="4" t="n">
        <x:v>1775000</x:v>
      </x:c>
      <x:c r="I19" s="4" t="n">
        <x:f>SUM(F19:H19)</x:f>
        <x:v>12128000</x:v>
      </x:c>
      <x:c r="J19" t="str">
        <x:v>Actif</x:v>
      </x:c>
    </x:row>
    <x:row r="20">
      <x:c r="A20" t="str">
        <x:v>EMP-021</x:v>
      </x:c>
      <x:c r="B20" t="str">
        <x:v>RAJAONARIVELO Faly</x:v>
      </x:c>
      <x:c r="C20" t="str">
        <x:v>TRANOMARO</x:v>
      </x:c>
      <x:c r="D20" t="str">
        <x:v>Production</x:v>
      </x:c>
      <x:c r="E20" t="str">
        <x:v>Coupeuse / trieuse</x:v>
      </x:c>
      <x:c r="F20" s="4" t="n">
        <x:v>5910000</x:v>
      </x:c>
      <x:c r="G20" s="4" t="n">
        <x:v>709000</x:v>
      </x:c>
      <x:c r="H20" s="4" t="n">
        <x:v>1064000</x:v>
      </x:c>
      <x:c r="I20" s="4" t="n">
        <x:f>SUM(F20:H20)</x:f>
        <x:v>7683000</x:v>
      </x:c>
      <x:c r="J20" t="str">
        <x:v>Actif</x:v>
      </x:c>
    </x:row>
    <x:row r="21">
      <x:c r="A21" t="str">
        <x:v>EMP-022</x:v>
      </x:c>
      <x:c r="B21" t="str">
        <x:v>RANORO Haja</x:v>
      </x:c>
      <x:c r="C21" t="str">
        <x:v>ANIVORANO</x:v>
      </x:c>
      <x:c r="D21" t="str">
        <x:v>Production</x:v>
      </x:c>
      <x:c r="E21" t="str">
        <x:v>Coupeuse / trieuse</x:v>
      </x:c>
      <x:c r="F21" s="4" t="n">
        <x:v>4180000</x:v>
      </x:c>
      <x:c r="G21" s="4" t="n">
        <x:v>418000</x:v>
      </x:c>
      <x:c r="H21" s="4" t="n">
        <x:v>752000</x:v>
      </x:c>
      <x:c r="I21" s="4" t="n">
        <x:f>SUM(F21:H21)</x:f>
        <x:v>5350000</x:v>
      </x:c>
      <x:c r="J21" t="str">
        <x:v>Actif</x:v>
      </x:c>
    </x:row>
    <x:row r="22">
      <x:c r="A22" t="str">
        <x:v>EMP-023</x:v>
      </x:c>
      <x:c r="B22" t="str">
        <x:v>RAKOTOARISOA Tsanta</x:v>
      </x:c>
      <x:c r="C22" t="str">
        <x:v>ANIVORANO</x:v>
      </x:c>
      <x:c r="D22" t="str">
        <x:v>Production</x:v>
      </x:c>
      <x:c r="E22" t="str">
        <x:v>Coupeuse / trieuse</x:v>
      </x:c>
      <x:c r="F22" s="4" t="n">
        <x:v>2590000</x:v>
      </x:c>
      <x:c r="G22" s="4" t="n">
        <x:v>259000</x:v>
      </x:c>
      <x:c r="H22" s="4" t="n">
        <x:v>466000</x:v>
      </x:c>
      <x:c r="I22" s="4" t="n">
        <x:f>SUM(F22:H22)</x:f>
        <x:v>3315000</x:v>
      </x:c>
      <x:c r="J22" t="str">
        <x:v>Actif</x:v>
      </x:c>
    </x:row>
    <x:row r="23">
      <x:c r="A23" t="str">
        <x:v>EMP-024</x:v>
      </x:c>
      <x:c r="B23" t="str">
        <x:v>RASOANIRINA Lova</x:v>
      </x:c>
      <x:c r="C23" t="str">
        <x:v>ANIVORANO</x:v>
      </x:c>
      <x:c r="D23" t="str">
        <x:v>Production</x:v>
      </x:c>
      <x:c r="E23" t="str">
        <x:v>Coupeuse / trieuse</x:v>
      </x:c>
      <x:c r="F23" s="4" t="n">
        <x:v>5160000</x:v>
      </x:c>
      <x:c r="G23" s="4" t="n">
        <x:v>619000</x:v>
      </x:c>
      <x:c r="H23" s="4" t="n">
        <x:v>929000</x:v>
      </x:c>
      <x:c r="I23" s="4" t="n">
        <x:f>SUM(F23:H23)</x:f>
        <x:v>6708000</x:v>
      </x:c>
      <x:c r="J23" t="str">
        <x:v>Actif</x:v>
      </x:c>
    </x:row>
    <x:row r="24">
      <x:c r="A24" t="str">
        <x:v>EMP-025</x:v>
      </x:c>
      <x:c r="B24" t="str">
        <x:v>ANDRIAMAHENINA Onja</x:v>
      </x:c>
      <x:c r="C24" t="str">
        <x:v>ANIVORANO</x:v>
      </x:c>
      <x:c r="D24" t="str">
        <x:v>Production</x:v>
      </x:c>
      <x:c r="E24" t="str">
        <x:v>Coupeuse / trieuse</x:v>
      </x:c>
      <x:c r="F24" s="4" t="n">
        <x:v>5860000</x:v>
      </x:c>
      <x:c r="G24" s="4" t="n">
        <x:v>469000</x:v>
      </x:c>
      <x:c r="H24" s="4" t="n">
        <x:v>1055000</x:v>
      </x:c>
      <x:c r="I24" s="4" t="n">
        <x:f>SUM(F24:H24)</x:f>
        <x:v>7384000</x:v>
      </x:c>
      <x:c r="J24" t="str">
        <x:v>Actif</x:v>
      </x:c>
    </x:row>
    <x:row r="25">
      <x:c r="A25" t="str">
        <x:v>EMP-026</x:v>
      </x:c>
      <x:c r="B25" t="str">
        <x:v>RAKOTOMANGA Fitia</x:v>
      </x:c>
      <x:c r="C25" t="str">
        <x:v>ANIVORANO</x:v>
      </x:c>
      <x:c r="D25" t="str">
        <x:v>Production</x:v>
      </x:c>
      <x:c r="E25" t="str">
        <x:v>Coupeuse / trieuse</x:v>
      </x:c>
      <x:c r="F25" s="4" t="n">
        <x:v>3200000</x:v>
      </x:c>
      <x:c r="G25" s="4" t="n">
        <x:v>160000</x:v>
      </x:c>
      <x:c r="H25" s="4" t="n">
        <x:v>576000</x:v>
      </x:c>
      <x:c r="I25" s="4" t="n">
        <x:f>SUM(F25:H25)</x:f>
        <x:v>3936000</x:v>
      </x:c>
      <x:c r="J25" t="str">
        <x:v>Actif</x:v>
      </x:c>
    </x:row>
    <x:row r="26">
      <x:c r="A26" t="str">
        <x:v>EMP-028</x:v>
      </x:c>
      <x:c r="B26" t="str">
        <x:v>RANDRIANASOLO Mendrika</x:v>
      </x:c>
      <x:c r="C26" t="str">
        <x:v>ANIVORANO</x:v>
      </x:c>
      <x:c r="D26" t="str">
        <x:v>Production</x:v>
      </x:c>
      <x:c r="E26" t="str">
        <x:v>Coupeuse / trieuse</x:v>
      </x:c>
      <x:c r="F26" s="4" t="n">
        <x:v>3910000</x:v>
      </x:c>
      <x:c r="G26" s="4" t="n">
        <x:v>391000</x:v>
      </x:c>
      <x:c r="H26" s="4" t="n">
        <x:v>704000</x:v>
      </x:c>
      <x:c r="I26" s="4" t="n">
        <x:f>SUM(F26:H26)</x:f>
        <x:v>5005000</x:v>
      </x:c>
      <x:c r="J26" t="str">
        <x:v>Actif</x:v>
      </x:c>
    </x:row>
    <x:row r="27">
      <x:c r="A27" t="str">
        <x:v>EMP-029</x:v>
      </x:c>
      <x:c r="B27" t="str">
        <x:v>RAVELO Aro</x:v>
      </x:c>
      <x:c r="C27" t="str">
        <x:v>FORT DAUPHIN</x:v>
      </x:c>
      <x:c r="D27" t="str">
        <x:v>Production</x:v>
      </x:c>
      <x:c r="E27" t="str">
        <x:v>Coupeuse / trieuse</x:v>
      </x:c>
      <x:c r="F27" s="4" t="n">
        <x:v>2860000</x:v>
      </x:c>
      <x:c r="G27" s="4" t="n">
        <x:v>343000</x:v>
      </x:c>
      <x:c r="H27" s="4" t="n">
        <x:v>515000</x:v>
      </x:c>
      <x:c r="I27" s="4" t="n">
        <x:f>SUM(F27:H27)</x:f>
        <x:v>3718000</x:v>
      </x:c>
      <x:c r="J27" t="str">
        <x:v>Actif</x:v>
      </x:c>
    </x:row>
    <x:row r="28">
      <x:c r="A28" t="str">
        <x:v>EMP-030</x:v>
      </x:c>
      <x:c r="B28" t="str">
        <x:v>RAZAFIMAHATRATRA Vola</x:v>
      </x:c>
      <x:c r="C28" t="str">
        <x:v>FORT DAUPHIN</x:v>
      </x:c>
      <x:c r="D28" t="str">
        <x:v>Production</x:v>
      </x:c>
      <x:c r="E28" t="str">
        <x:v>Coupeuse / trieuse</x:v>
      </x:c>
      <x:c r="F28" s="4" t="n">
        <x:v>2030000</x:v>
      </x:c>
      <x:c r="G28" s="4" t="n">
        <x:v>244000</x:v>
      </x:c>
      <x:c r="H28" s="4" t="n">
        <x:v>365000</x:v>
      </x:c>
      <x:c r="I28" s="4" t="n">
        <x:f>SUM(F28:H28)</x:f>
        <x:v>2639000</x:v>
      </x:c>
      <x:c r="J28" t="str">
        <x:v>Actif</x:v>
      </x:c>
    </x:row>
    <x:row r="29">
      <x:c r="A29" t="str">
        <x:v>EMP-031</x:v>
      </x:c>
      <x:c r="B29" t="str">
        <x:v>RAKOTOVOLOLONA Rado</x:v>
      </x:c>
      <x:c r="C29" t="str">
        <x:v>FORT DAUPHIN</x:v>
      </x:c>
      <x:c r="D29" t="str">
        <x:v>Production</x:v>
      </x:c>
      <x:c r="E29" t="str">
        <x:v>Coupeuse / trieuse</x:v>
      </x:c>
      <x:c r="F29" s="4" t="n">
        <x:v>1500000</x:v>
      </x:c>
      <x:c r="G29" s="4" t="n">
        <x:v>75000</x:v>
      </x:c>
      <x:c r="H29" s="4" t="n">
        <x:v>270000</x:v>
      </x:c>
      <x:c r="I29" s="4" t="n">
        <x:f>SUM(F29:H29)</x:f>
        <x:v>1845000</x:v>
      </x:c>
      <x:c r="J29" t="str">
        <x:v>Actif</x:v>
      </x:c>
    </x:row>
    <x:row r="30">
      <x:c r="A30" t="str">
        <x:v>EMP-032</x:v>
      </x:c>
      <x:c r="B30" t="str">
        <x:v>RABEMANANJARA Hery</x:v>
      </x:c>
      <x:c r="C30" t="str">
        <x:v>FORT DAUPHIN</x:v>
      </x:c>
      <x:c r="D30" t="str">
        <x:v>Production</x:v>
      </x:c>
      <x:c r="E30" t="str">
        <x:v>Coupeuse / trieuse</x:v>
      </x:c>
      <x:c r="F30" s="4" t="n">
        <x:v>4450000</x:v>
      </x:c>
      <x:c r="G30" s="4" t="n">
        <x:v>222000</x:v>
      </x:c>
      <x:c r="H30" s="4" t="n">
        <x:v>801000</x:v>
      </x:c>
      <x:c r="I30" s="4" t="n">
        <x:f>SUM(F30:H30)</x:f>
        <x:v>5473000</x:v>
      </x:c>
      <x:c r="J30" t="str">
        <x:v>Actif</x:v>
      </x:c>
    </x:row>
    <x:row r="31">
      <x:c r="A31" t="str">
        <x:v>EMP-033</x:v>
      </x:c>
      <x:c r="B31" t="str">
        <x:v>RAKOTOZAFY Mialy</x:v>
      </x:c>
      <x:c r="C31" t="str">
        <x:v>FORT DAUPHIN</x:v>
      </x:c>
      <x:c r="D31" t="str">
        <x:v>Production</x:v>
      </x:c>
      <x:c r="E31" t="str">
        <x:v>Coupeuse / trieuse</x:v>
      </x:c>
      <x:c r="F31" s="4" t="n">
        <x:v>1950000</x:v>
      </x:c>
      <x:c r="G31" s="4" t="n">
        <x:v>195000</x:v>
      </x:c>
      <x:c r="H31" s="4" t="n">
        <x:v>351000</x:v>
      </x:c>
      <x:c r="I31" s="4" t="n">
        <x:f>SUM(F31:H31)</x:f>
        <x:v>2496000</x:v>
      </x:c>
      <x:c r="J31" t="str">
        <x:v>Actif</x:v>
      </x:c>
    </x:row>
    <x:row r="32">
      <x:c r="A32" t="str">
        <x:v>EMP-034</x:v>
      </x:c>
      <x:c r="B32" t="str">
        <x:v>RAZAFINDRAKOTOA Ando</x:v>
      </x:c>
      <x:c r="C32" t="str">
        <x:v>FORT DAUPHIN</x:v>
      </x:c>
      <x:c r="D32" t="str">
        <x:v>Production</x:v>
      </x:c>
      <x:c r="E32" t="str">
        <x:v>Coupeuse / trieuse</x:v>
      </x:c>
      <x:c r="F32" s="4" t="n">
        <x:v>2830000</x:v>
      </x:c>
      <x:c r="G32" s="4" t="n">
        <x:v>340000</x:v>
      </x:c>
      <x:c r="H32" s="4" t="n">
        <x:v>509000</x:v>
      </x:c>
      <x:c r="I32" s="4" t="n">
        <x:f>SUM(F32:H32)</x:f>
        <x:v>3679000</x:v>
      </x:c>
      <x:c r="J32" t="str">
        <x:v>Actif</x:v>
      </x:c>
    </x:row>
    <x:row r="33">
      <x:c r="A33" t="str">
        <x:v>EMP-035</x:v>
      </x:c>
      <x:c r="B33" t="str">
        <x:v>RANAIVO Nantenaina</x:v>
      </x:c>
      <x:c r="C33" t="str">
        <x:v>FORT DAUPHIN</x:v>
      </x:c>
      <x:c r="D33" t="str">
        <x:v>Production</x:v>
      </x:c>
      <x:c r="E33" t="str">
        <x:v>Coupeuse / trieuse</x:v>
      </x:c>
      <x:c r="F33" s="4" t="n">
        <x:v>1370000</x:v>
      </x:c>
      <x:c r="G33" s="4" t="n">
        <x:v>68000</x:v>
      </x:c>
      <x:c r="H33" s="4" t="n">
        <x:v>247000</x:v>
      </x:c>
      <x:c r="I33" s="4" t="n">
        <x:f>SUM(F33:H33)</x:f>
        <x:v>1685000</x:v>
      </x:c>
      <x:c r="J33" t="str">
        <x:v>Actif</x:v>
      </x:c>
    </x:row>
    <x:row r="34">
      <x:c r="A34" t="str">
        <x:v>EMP-036</x:v>
      </x:c>
      <x:c r="B34" t="str">
        <x:v>RABEHARISOA Nirina</x:v>
      </x:c>
      <x:c r="C34" t="str">
        <x:v>AMPANDRANDAVA</x:v>
      </x:c>
      <x:c r="D34" t="str">
        <x:v>Production</x:v>
      </x:c>
      <x:c r="E34" t="str">
        <x:v>Coupeuse / trieuse</x:v>
      </x:c>
      <x:c r="F34" s="4" t="n">
        <x:v>2320000</x:v>
      </x:c>
      <x:c r="G34" s="4" t="n">
        <x:v>232000</x:v>
      </x:c>
      <x:c r="H34" s="4" t="n">
        <x:v>418000</x:v>
      </x:c>
      <x:c r="I34" s="4" t="n">
        <x:f>SUM(F34:H34)</x:f>
        <x:v>2970000</x:v>
      </x:c>
      <x:c r="J34" t="str">
        <x:v>Actif</x:v>
      </x:c>
    </x:row>
    <x:row r="35">
      <x:c r="A35" t="str">
        <x:v>EMP-037</x:v>
      </x:c>
      <x:c r="B35" t="str">
        <x:v>RAKOTOMIARANA Toky</x:v>
      </x:c>
      <x:c r="C35" t="str">
        <x:v>AMPANDRANDAVA</x:v>
      </x:c>
      <x:c r="D35" t="str">
        <x:v>Production</x:v>
      </x:c>
      <x:c r="E35" t="str">
        <x:v>Coupeuse / trieuse</x:v>
      </x:c>
      <x:c r="F35" s="4" t="n">
        <x:v>14880000</x:v>
      </x:c>
      <x:c r="G35" s="4" t="n">
        <x:v>1786000</x:v>
      </x:c>
      <x:c r="H35" s="4" t="n">
        <x:v>2678000</x:v>
      </x:c>
      <x:c r="I35" s="4" t="n">
        <x:f>SUM(F35:H35)</x:f>
        <x:v>19344000</x:v>
      </x:c>
      <x:c r="J35" t="str">
        <x:v>Actif</x:v>
      </x:c>
    </x:row>
    <x:row r="36">
      <x:c r="A36" t="str">
        <x:v>EMP-038</x:v>
      </x:c>
      <x:c r="B36" t="str">
        <x:v>ANDRIATSIMBA Tiana</x:v>
      </x:c>
      <x:c r="C36" t="str">
        <x:v>AMPANDRANDAVA</x:v>
      </x:c>
      <x:c r="D36" t="str">
        <x:v>Production</x:v>
      </x:c>
      <x:c r="E36" t="str">
        <x:v>Coupeuse / trieuse</x:v>
      </x:c>
      <x:c r="F36" s="4" t="n">
        <x:v>10990000</x:v>
      </x:c>
      <x:c r="G36" s="4" t="n">
        <x:v>550000</x:v>
      </x:c>
      <x:c r="H36" s="4" t="n">
        <x:v>1978000</x:v>
      </x:c>
      <x:c r="I36" s="4" t="n">
        <x:f>SUM(F36:H36)</x:f>
        <x:v>13518000</x:v>
      </x:c>
      <x:c r="J36" t="str">
        <x:v>Actif</x:v>
      </x:c>
    </x:row>
    <x:row r="37">
      <x:c r="A37" t="str">
        <x:v>EMP-040</x:v>
      </x:c>
      <x:c r="B37" t="str">
        <x:v>RAZAFINDRABE Aina</x:v>
      </x:c>
      <x:c r="C37" t="str">
        <x:v>AMPANDRANDAVA</x:v>
      </x:c>
      <x:c r="D37" t="str">
        <x:v>Production</x:v>
      </x:c>
      <x:c r="E37" t="str">
        <x:v>Coupeuse / trieuse</x:v>
      </x:c>
      <x:c r="F37" s="4" t="n">
        <x:v>3710000</x:v>
      </x:c>
      <x:c r="G37" s="4" t="n">
        <x:v>186000</x:v>
      </x:c>
      <x:c r="H37" s="4" t="n">
        <x:v>668000</x:v>
      </x:c>
      <x:c r="I37" s="4" t="n">
        <x:f>SUM(F37:H37)</x:f>
        <x:v>4564000</x:v>
      </x:c>
      <x:c r="J37" t="str">
        <x:v>Actif</x:v>
      </x:c>
    </x:row>
    <x:row r="38">
      <x:c r="A38" t="str">
        <x:v>EMP-041</x:v>
      </x:c>
      <x:c r="B38" t="str">
        <x:v>RATSIMANDRESY Fanja</x:v>
      </x:c>
      <x:c r="C38" t="str">
        <x:v>AMPANDRANDAVA</x:v>
      </x:c>
      <x:c r="D38" t="str">
        <x:v>Production</x:v>
      </x:c>
      <x:c r="E38" t="str">
        <x:v>Coupeuse / trieuse</x:v>
      </x:c>
      <x:c r="F38" s="4" t="n">
        <x:v>2620000</x:v>
      </x:c>
      <x:c r="G38" s="4" t="n">
        <x:v>262000</x:v>
      </x:c>
      <x:c r="H38" s="4" t="n">
        <x:v>472000</x:v>
      </x:c>
      <x:c r="I38" s="4" t="n">
        <x:f>SUM(F38:H38)</x:f>
        <x:v>3354000</x:v>
      </x:c>
      <x:c r="J38" t="str">
        <x:v>Actif</x:v>
      </x:c>
    </x:row>
    <x:row r="39">
      <x:c r="A39" t="str">
        <x:v>EMP-042</x:v>
      </x:c>
      <x:c r="B39" t="str">
        <x:v>RAKOTONIRINA Miora</x:v>
      </x:c>
      <x:c r="C39" t="str">
        <x:v>AMPANDRANDAVA</x:v>
      </x:c>
      <x:c r="D39" t="str">
        <x:v>Production</x:v>
      </x:c>
      <x:c r="E39" t="str">
        <x:v>Coupeuse / trieuse</x:v>
      </x:c>
      <x:c r="F39" s="4" t="n">
        <x:v>5150000</x:v>
      </x:c>
      <x:c r="G39" s="4" t="n">
        <x:v>412000</x:v>
      </x:c>
      <x:c r="H39" s="4" t="n">
        <x:v>927000</x:v>
      </x:c>
      <x:c r="I39" s="4" t="n">
        <x:f>SUM(F39:H39)</x:f>
        <x:v>6489000</x:v>
      </x:c>
      <x:c r="J39" t="str">
        <x:v>Actif</x:v>
      </x:c>
    </x:row>
    <x:row r="40">
      <x:c r="A40" t="str">
        <x:v>EMP-043</x:v>
      </x:c>
      <x:c r="B40" t="str">
        <x:v>RANDRIAMIHAMINA Hasina</x:v>
      </x:c>
      <x:c r="C40" t="str">
        <x:v>TRANOMARO</x:v>
      </x:c>
      <x:c r="D40" t="str">
        <x:v>Production</x:v>
      </x:c>
      <x:c r="E40" t="str">
        <x:v>Coupeuse / trieuse</x:v>
      </x:c>
      <x:c r="F40" s="4" t="n">
        <x:v>6110000</x:v>
      </x:c>
      <x:c r="G40" s="4" t="n">
        <x:v>733000</x:v>
      </x:c>
      <x:c r="H40" s="4" t="n">
        <x:v>1100000</x:v>
      </x:c>
      <x:c r="I40" s="4" t="n">
        <x:f>SUM(F40:H40)</x:f>
        <x:v>7943000</x:v>
      </x:c>
      <x:c r="J40" t="str">
        <x:v>Actif</x:v>
      </x:c>
    </x:row>
    <x:row r="41">
      <x:c r="A41" t="str">
        <x:v>EMP-044</x:v>
      </x:c>
      <x:c r="B41" t="str">
        <x:v>RABEZAFY Feno</x:v>
      </x:c>
      <x:c r="C41" t="str">
        <x:v>TRANOMARO</x:v>
      </x:c>
      <x:c r="D41" t="str">
        <x:v>Production</x:v>
      </x:c>
      <x:c r="E41" t="str">
        <x:v>Coupeuse / trieuse</x:v>
      </x:c>
      <x:c r="F41" s="4" t="n">
        <x:v>3550000</x:v>
      </x:c>
      <x:c r="G41" s="4" t="n">
        <x:v>284000</x:v>
      </x:c>
      <x:c r="H41" s="4" t="n">
        <x:v>639000</x:v>
      </x:c>
      <x:c r="I41" s="4" t="n">
        <x:f>SUM(F41:H41)</x:f>
        <x:v>4473000</x:v>
      </x:c>
      <x:c r="J41" t="str">
        <x:v>Actif</x:v>
      </x:c>
    </x:row>
    <x:row r="42">
      <x:c r="A42" t="str">
        <x:v>EMP-045</x:v>
      </x:c>
      <x:c r="B42" t="str">
        <x:v>RANOMENJANAHARY Kanto</x:v>
      </x:c>
      <x:c r="C42" t="str">
        <x:v>TRANOMARO</x:v>
      </x:c>
      <x:c r="D42" t="str">
        <x:v>Production</x:v>
      </x:c>
      <x:c r="E42" t="str">
        <x:v>Coupeuse / trieuse</x:v>
      </x:c>
      <x:c r="F42" s="4" t="n">
        <x:v>5600000</x:v>
      </x:c>
      <x:c r="G42" s="4" t="n">
        <x:v>560000</x:v>
      </x:c>
      <x:c r="H42" s="4" t="n">
        <x:v>1008000</x:v>
      </x:c>
      <x:c r="I42" s="4" t="n">
        <x:f>SUM(F42:H42)</x:f>
        <x:v>7168000</x:v>
      </x:c>
      <x:c r="J42" t="str">
        <x:v>Actif</x:v>
      </x:c>
    </x:row>
    <x:row r="43">
      <x:c r="A43" t="str">
        <x:v>EMP-046</x:v>
      </x:c>
      <x:c r="B43" t="str">
        <x:v>RAKOTONIAINA Mamy</x:v>
      </x:c>
      <x:c r="C43" t="str">
        <x:v>TRANOMARO</x:v>
      </x:c>
      <x:c r="D43" t="str">
        <x:v>Production</x:v>
      </x:c>
      <x:c r="E43" t="str">
        <x:v>Coupeuse / trieuse</x:v>
      </x:c>
      <x:c r="F43" s="4" t="n">
        <x:v>3760000</x:v>
      </x:c>
      <x:c r="G43" s="4" t="n">
        <x:v>301000</x:v>
      </x:c>
      <x:c r="H43" s="4" t="n">
        <x:v>677000</x:v>
      </x:c>
      <x:c r="I43" s="4" t="n">
        <x:f>SUM(F43:H43)</x:f>
        <x:v>4738000</x:v>
      </x:c>
      <x:c r="J43" t="str">
        <x:v>Actif</x:v>
      </x:c>
    </x:row>
    <x:row r="44">
      <x:c r="A44" t="str">
        <x:v>EMP-047</x:v>
      </x:c>
      <x:c r="B44" t="str">
        <x:v>RASOARIMALALA Tafita</x:v>
      </x:c>
      <x:c r="C44" t="str">
        <x:v>TRANOMARO</x:v>
      </x:c>
      <x:c r="D44" t="str">
        <x:v>Production</x:v>
      </x:c>
      <x:c r="E44" t="str">
        <x:v>Coupeuse / trieuse</x:v>
      </x:c>
      <x:c r="F44" s="4" t="n">
        <x:v>3170000</x:v>
      </x:c>
      <x:c r="G44" s="4" t="n">
        <x:v>317000</x:v>
      </x:c>
      <x:c r="H44" s="4" t="n">
        <x:v>571000</x:v>
      </x:c>
      <x:c r="I44" s="4" t="n">
        <x:f>SUM(F44:H44)</x:f>
        <x:v>4058000</x:v>
      </x:c>
      <x:c r="J44" t="str">
        <x:v>Actif</x:v>
      </x:c>
    </x:row>
    <x:row r="45">
      <x:c r="A45" t="str">
        <x:v>EMP-049</x:v>
      </x:c>
      <x:c r="B45" t="str">
        <x:v>RAKOTOMAHERY Vero</x:v>
      </x:c>
      <x:c r="C45" t="str">
        <x:v>TRANOMARO</x:v>
      </x:c>
      <x:c r="D45" t="str">
        <x:v>Production</x:v>
      </x:c>
      <x:c r="E45" t="str">
        <x:v>Coupeuse / trieuse</x:v>
      </x:c>
      <x:c r="F45" s="4" t="n">
        <x:v>1420000</x:v>
      </x:c>
      <x:c r="G45" s="4" t="n">
        <x:v>71000</x:v>
      </x:c>
      <x:c r="H45" s="4" t="n">
        <x:v>256000</x:v>
      </x:c>
      <x:c r="I45" s="4" t="n">
        <x:f>SUM(F45:H45)</x:f>
        <x:v>1747000</x:v>
      </x:c>
      <x:c r="J45" t="str">
        <x:v>Actif</x:v>
      </x:c>
    </x:row>
    <x:row r="46">
      <x:c r="A46" t="str">
        <x:v>EMP-050</x:v>
      </x:c>
      <x:c r="B46" t="str">
        <x:v>RAKOTONDRAJAO Lanto</x:v>
      </x:c>
      <x:c r="C46" t="str">
        <x:v>ANIVORANO</x:v>
      </x:c>
      <x:c r="D46" t="str">
        <x:v>Production</x:v>
      </x:c>
      <x:c r="E46" t="str">
        <x:v>Coupeuse / trieuse</x:v>
      </x:c>
      <x:c r="F46" s="4" t="n">
        <x:v>4500000</x:v>
      </x:c>
      <x:c r="G46" s="4" t="n">
        <x:v>225000</x:v>
      </x:c>
      <x:c r="H46" s="4" t="n">
        <x:v>810000</x:v>
      </x:c>
      <x:c r="I46" s="4" t="n">
        <x:f>SUM(F46:H46)</x:f>
        <x:v>5535000</x:v>
      </x:c>
      <x:c r="J46" t="str">
        <x:v>Actif</x:v>
      </x:c>
    </x:row>
    <x:row r="47">
      <x:c r="A47" t="str">
        <x:v>EMP-051</x:v>
      </x:c>
      <x:c r="B47" t="str">
        <x:v>RANDRIANANTENAINA Rindra</x:v>
      </x:c>
      <x:c r="C47" t="str">
        <x:v>ANIVORANO</x:v>
      </x:c>
      <x:c r="D47" t="str">
        <x:v>Production</x:v>
      </x:c>
      <x:c r="E47" t="str">
        <x:v>Contrôleur qualité</x:v>
      </x:c>
      <x:c r="F47" s="4" t="n">
        <x:v>1840000</x:v>
      </x:c>
      <x:c r="G47" s="4" t="n">
        <x:v>184000</x:v>
      </x:c>
      <x:c r="H47" s="4" t="n">
        <x:v>331000</x:v>
      </x:c>
      <x:c r="I47" s="4" t="n">
        <x:f>SUM(F47:H47)</x:f>
        <x:v>2355000</x:v>
      </x:c>
      <x:c r="J47" t="str">
        <x:v>Actif</x:v>
      </x:c>
    </x:row>
    <x:row r="48">
      <x:c r="A48" t="str">
        <x:v>EMP-052</x:v>
      </x:c>
      <x:c r="B48" t="str">
        <x:v>RAVAOARISOA Miary</x:v>
      </x:c>
      <x:c r="C48" t="str">
        <x:v>ANIVORANO</x:v>
      </x:c>
      <x:c r="D48" t="str">
        <x:v>Production</x:v>
      </x:c>
      <x:c r="E48" t="str">
        <x:v>Contrôleur qualité</x:v>
      </x:c>
      <x:c r="F48" s="4" t="n">
        <x:v>2820000</x:v>
      </x:c>
      <x:c r="G48" s="4" t="n">
        <x:v>141000</x:v>
      </x:c>
      <x:c r="H48" s="4" t="n">
        <x:v>508000</x:v>
      </x:c>
      <x:c r="I48" s="4" t="n">
        <x:f>SUM(F48:H48)</x:f>
        <x:v>3469000</x:v>
      </x:c>
      <x:c r="J48" t="str">
        <x:v>Actif</x:v>
      </x:c>
    </x:row>
    <x:row r="49">
      <x:c r="A49" t="str">
        <x:v>EMP-053</x:v>
      </x:c>
      <x:c r="B49" t="str">
        <x:v>RAZAFIMANANTSOA Solo</x:v>
      </x:c>
      <x:c r="C49" t="str">
        <x:v>ANIVORANO</x:v>
      </x:c>
      <x:c r="D49" t="str">
        <x:v>Production</x:v>
      </x:c>
      <x:c r="E49" t="str">
        <x:v>Contrôleur qualité</x:v>
      </x:c>
      <x:c r="F49" s="4" t="n">
        <x:v>1340000</x:v>
      </x:c>
      <x:c r="G49" s="4" t="n">
        <x:v>134000</x:v>
      </x:c>
      <x:c r="H49" s="4" t="n">
        <x:v>241000</x:v>
      </x:c>
      <x:c r="I49" s="4" t="n">
        <x:f>SUM(F49:H49)</x:f>
        <x:v>1715000</x:v>
      </x:c>
      <x:c r="J49" t="str">
        <x:v>Actif</x:v>
      </x:c>
    </x:row>
    <x:row r="50">
      <x:c r="A50" t="str">
        <x:v>EMP-054</x:v>
      </x:c>
      <x:c r="B50" t="str">
        <x:v>RAKOTONANAHARY Noro</x:v>
      </x:c>
      <x:c r="C50" t="str">
        <x:v>ANIVORANO</x:v>
      </x:c>
      <x:c r="D50" t="str">
        <x:v>Production</x:v>
      </x:c>
      <x:c r="E50" t="str">
        <x:v>Contrôleur qualité</x:v>
      </x:c>
      <x:c r="F50" s="4" t="n">
        <x:v>2320000</x:v>
      </x:c>
      <x:c r="G50" s="4" t="n">
        <x:v>278000</x:v>
      </x:c>
      <x:c r="H50" s="4" t="n">
        <x:v>418000</x:v>
      </x:c>
      <x:c r="I50" s="4" t="n">
        <x:f>SUM(F50:H50)</x:f>
        <x:v>3016000</x:v>
      </x:c>
      <x:c r="J50" t="str">
        <x:v>Actif</x:v>
      </x:c>
    </x:row>
    <x:row r="51">
      <x:c r="A51" t="str">
        <x:v>EMP-055</x:v>
      </x:c>
      <x:c r="B51" t="str">
        <x:v>RABEFENO Rina</x:v>
      </x:c>
      <x:c r="C51" t="str">
        <x:v>ANIVORANO</x:v>
      </x:c>
      <x:c r="D51" t="str">
        <x:v>Production</x:v>
      </x:c>
      <x:c r="E51" t="str">
        <x:v>Contrôleur qualité</x:v>
      </x:c>
      <x:c r="F51" s="4" t="n">
        <x:v>14480000</x:v>
      </x:c>
      <x:c r="G51" s="4" t="n">
        <x:v>1158000</x:v>
      </x:c>
      <x:c r="H51" s="4" t="n">
        <x:v>2606000</x:v>
      </x:c>
      <x:c r="I51" s="4" t="n">
        <x:f>SUM(F51:H51)</x:f>
        <x:v>18244000</x:v>
      </x:c>
      <x:c r="J51" t="str">
        <x:v>Actif</x:v>
      </x:c>
    </x:row>
    <x:row r="52">
      <x:c r="A52" t="str">
        <x:v>EMP-056</x:v>
      </x:c>
      <x:c r="B52" t="str">
        <x:v>RAKOTOMANANA Tina</x:v>
      </x:c>
      <x:c r="C52" t="str">
        <x:v>ANIVORANO</x:v>
      </x:c>
      <x:c r="D52" t="str">
        <x:v>Production</x:v>
      </x:c>
      <x:c r="E52" t="str">
        <x:v>Contrôleur qualité</x:v>
      </x:c>
      <x:c r="F52" s="4" t="n">
        <x:v>10340000</x:v>
      </x:c>
      <x:c r="G52" s="4" t="n">
        <x:v>1241000</x:v>
      </x:c>
      <x:c r="H52" s="4" t="n">
        <x:v>1861000</x:v>
      </x:c>
      <x:c r="I52" s="4" t="n">
        <x:f>SUM(F52:H52)</x:f>
        <x:v>13442000</x:v>
      </x:c>
      <x:c r="J52" t="str">
        <x:v>Actif</x:v>
      </x:c>
    </x:row>
    <x:row r="53">
      <x:c r="A53" t="str">
        <x:v>EMP-058</x:v>
      </x:c>
      <x:c r="B53" t="str">
        <x:v>RANDRIATSARA Rado</x:v>
      </x:c>
      <x:c r="C53" t="str">
        <x:v>FORT DAUPHIN</x:v>
      </x:c>
      <x:c r="D53" t="str">
        <x:v>Production</x:v>
      </x:c>
      <x:c r="E53" t="str">
        <x:v>Contrôleur qualité</x:v>
      </x:c>
      <x:c r="F53" s="4" t="n">
        <x:v>3620000</x:v>
      </x:c>
      <x:c r="G53" s="4" t="n">
        <x:v>434000</x:v>
      </x:c>
      <x:c r="H53" s="4" t="n">
        <x:v>652000</x:v>
      </x:c>
      <x:c r="I53" s="4" t="n">
        <x:f>SUM(F53:H53)</x:f>
        <x:v>4706000</x:v>
      </x:c>
      <x:c r="J53" t="str">
        <x:v>Actif</x:v>
      </x:c>
    </x:row>
    <x:row r="54">
      <x:c r="A54" t="str">
        <x:v>EMP-059</x:v>
      </x:c>
      <x:c r="B54" t="str">
        <x:v>RASOLOFONIAINA Fetra</x:v>
      </x:c>
      <x:c r="C54" t="str">
        <x:v>FORT DAUPHIN</x:v>
      </x:c>
      <x:c r="D54" t="str">
        <x:v>Production</x:v>
      </x:c>
      <x:c r="E54" t="str">
        <x:v>Contrôleur qualité</x:v>
      </x:c>
      <x:c r="F54" s="4" t="n">
        <x:v>2580000</x:v>
      </x:c>
      <x:c r="G54" s="4" t="n">
        <x:v>206000</x:v>
      </x:c>
      <x:c r="H54" s="4" t="n">
        <x:v>464000</x:v>
      </x:c>
      <x:c r="I54" s="4" t="n">
        <x:f>SUM(F54:H54)</x:f>
        <x:v>3250000</x:v>
      </x:c>
      <x:c r="J54" t="str">
        <x:v>Actif</x:v>
      </x:c>
    </x:row>
    <x:row r="55">
      <x:c r="A55" t="str">
        <x:v>EMP-060</x:v>
      </x:c>
      <x:c r="B55" t="str">
        <x:v>RAKOTOVONINA Rova</x:v>
      </x:c>
      <x:c r="C55" t="str">
        <x:v>FORT DAUPHIN</x:v>
      </x:c>
      <x:c r="D55" t="str">
        <x:v>Production</x:v>
      </x:c>
      <x:c r="E55" t="str">
        <x:v>Manutentionnaire</x:v>
      </x:c>
      <x:c r="F55" s="4" t="n">
        <x:v>5070000</x:v>
      </x:c>
      <x:c r="G55" s="4" t="n">
        <x:v>254000</x:v>
      </x:c>
      <x:c r="H55" s="4" t="n">
        <x:v>913000</x:v>
      </x:c>
      <x:c r="I55" s="4" t="n">
        <x:f>SUM(F55:H55)</x:f>
        <x:v>6237000</x:v>
      </x:c>
      <x:c r="J55" t="str">
        <x:v>Actif</x:v>
      </x:c>
    </x:row>
    <x:row r="56">
      <x:c r="A56" t="str">
        <x:v>EMP-061</x:v>
      </x:c>
      <x:c r="B56" t="str">
        <x:v>RAKOTOBE Feno</x:v>
      </x:c>
      <x:c r="C56" t="str">
        <x:v>FORT DAUPHIN</x:v>
      </x:c>
      <x:c r="D56" t="str">
        <x:v>Production</x:v>
      </x:c>
      <x:c r="E56" t="str">
        <x:v>Manutentionnaire</x:v>
      </x:c>
      <x:c r="F56" s="4" t="n">
        <x:v>518000</x:v>
      </x:c>
      <x:c r="G56" s="4" t="n">
        <x:v>41000</x:v>
      </x:c>
      <x:c r="H56" s="4" t="n">
        <x:v>73000</x:v>
      </x:c>
      <x:c r="I56" s="4" t="n">
        <x:f>SUM(F56:H56)</x:f>
        <x:v>632000</x:v>
      </x:c>
      <x:c r="J56" t="str">
        <x:v>Actif</x:v>
      </x:c>
    </x:row>
    <x:row r="57">
      <x:c r="A57" t="str">
        <x:v>EMP-062</x:v>
      </x:c>
      <x:c r="B57" t="str">
        <x:v>RANDRIANARISOA Rindra</x:v>
      </x:c>
      <x:c r="C57" t="str">
        <x:v>FORT DAUPHIN</x:v>
      </x:c>
      <x:c r="D57" t="str">
        <x:v>Production</x:v>
      </x:c>
      <x:c r="E57" t="str">
        <x:v>Manutentionnaire</x:v>
      </x:c>
      <x:c r="F57" s="4" t="n">
        <x:v>518000</x:v>
      </x:c>
      <x:c r="G57" s="4" t="n">
        <x:v>41000</x:v>
      </x:c>
      <x:c r="H57" s="4" t="n">
        <x:v>73000</x:v>
      </x:c>
      <x:c r="I57" s="4" t="n">
        <x:f>SUM(F57:H57)</x:f>
        <x:v>632000</x:v>
      </x:c>
      <x:c r="J57" t="str">
        <x:v>Actif</x:v>
      </x:c>
    </x:row>
    <x:row r="58">
      <x:c r="A58" t="str">
        <x:v>EMP-063</x:v>
      </x:c>
      <x:c r="B58" t="str">
        <x:v>RAZAFITSARA Aina</x:v>
      </x:c>
      <x:c r="C58" t="str">
        <x:v>FORT DAUPHIN</x:v>
      </x:c>
      <x:c r="D58" t="str">
        <x:v>Production</x:v>
      </x:c>
      <x:c r="E58" t="str">
        <x:v>Manutentionnaire</x:v>
      </x:c>
      <x:c r="F58" s="4" t="n">
        <x:v>518000</x:v>
      </x:c>
      <x:c r="G58" s="4" t="n">
        <x:v>41000</x:v>
      </x:c>
      <x:c r="H58" s="4" t="n">
        <x:v>73000</x:v>
      </x:c>
      <x:c r="I58" s="4" t="n">
        <x:f>SUM(F58:H58)</x:f>
        <x:v>632000</x:v>
      </x:c>
      <x:c r="J58" t="str">
        <x:v>Actif</x:v>
      </x:c>
    </x:row>
    <x:row r="59">
      <x:c r="A59" t="str">
        <x:v>EMP-064</x:v>
      </x:c>
      <x:c r="B59" t="str">
        <x:v>RABENARIVO Tiana</x:v>
      </x:c>
      <x:c r="C59" t="str">
        <x:v>AMPANDRANDAVA</x:v>
      </x:c>
      <x:c r="D59" t="str">
        <x:v>Production</x:v>
      </x:c>
      <x:c r="E59" t="str">
        <x:v>Manutentionnaire</x:v>
      </x:c>
      <x:c r="F59" s="4" t="n">
        <x:v>518000</x:v>
      </x:c>
      <x:c r="G59" s="4" t="n">
        <x:v>41000</x:v>
      </x:c>
      <x:c r="H59" s="4" t="n">
        <x:v>73000</x:v>
      </x:c>
      <x:c r="I59" s="4" t="n">
        <x:f>SUM(F59:H59)</x:f>
        <x:v>632000</x:v>
      </x:c>
      <x:c r="J59" t="str">
        <x:v>Actif</x:v>
      </x:c>
    </x:row>
    <x:row r="60">
      <x:c r="A60" t="str">
        <x:v>EMP-065</x:v>
      </x:c>
      <x:c r="B60" t="str">
        <x:v>RAKOTOFENO Lova</x:v>
      </x:c>
      <x:c r="C60" t="str">
        <x:v>AMPANDRANDAVA</x:v>
      </x:c>
      <x:c r="D60" t="str">
        <x:v>Production</x:v>
      </x:c>
      <x:c r="E60" t="str">
        <x:v>Manutentionnaire</x:v>
      </x:c>
      <x:c r="F60" s="4" t="n">
        <x:v>518000</x:v>
      </x:c>
      <x:c r="G60" s="4" t="n">
        <x:v>41000</x:v>
      </x:c>
      <x:c r="H60" s="4" t="n">
        <x:v>73000</x:v>
      </x:c>
      <x:c r="I60" s="4" t="n">
        <x:f>SUM(F60:H60)</x:f>
        <x:v>632000</x:v>
      </x:c>
      <x:c r="J60" t="str">
        <x:v>Actif</x:v>
      </x:c>
    </x:row>
    <x:row r="61">
      <x:c r="A61" t="str">
        <x:v>EMP-067</x:v>
      </x:c>
      <x:c r="B61" t="str">
        <x:v>RATSIMANIRY Miora</x:v>
      </x:c>
      <x:c r="C61" t="str">
        <x:v>AMPANDRANDAVA</x:v>
      </x:c>
      <x:c r="D61" t="str">
        <x:v>Production</x:v>
      </x:c>
      <x:c r="E61" t="str">
        <x:v>Manutentionnaire</x:v>
      </x:c>
      <x:c r="F61" s="4" t="n">
        <x:v>518000</x:v>
      </x:c>
      <x:c r="G61" s="4" t="n">
        <x:v>41000</x:v>
      </x:c>
      <x:c r="H61" s="4" t="n">
        <x:v>73000</x:v>
      </x:c>
      <x:c r="I61" s="4" t="n">
        <x:f>SUM(F61:H61)</x:f>
        <x:v>632000</x:v>
      </x:c>
      <x:c r="J61" t="str">
        <x:v>Actif</x:v>
      </x:c>
    </x:row>
    <x:row r="62">
      <x:c r="A62" t="str">
        <x:v>EMP-068</x:v>
      </x:c>
      <x:c r="B62" t="str">
        <x:v>RAJAOMANANA Fanja</x:v>
      </x:c>
      <x:c r="C62" t="str">
        <x:v>AMPANDRANDAVA</x:v>
      </x:c>
      <x:c r="D62" t="str">
        <x:v>Production</x:v>
      </x:c>
      <x:c r="E62" t="str">
        <x:v>Collecteur de mica</x:v>
      </x:c>
      <x:c r="F62" t="n">
        <x:v>518000</x:v>
      </x:c>
      <x:c r="G62" t="n">
        <x:v>41000</x:v>
      </x:c>
      <x:c r="H62" t="n">
        <x:v>73000</x:v>
      </x:c>
      <x:c r="I62" t="n">
        <x:f>SUM(F62:H62)</x:f>
        <x:v>632000</x:v>
      </x:c>
      <x:c r="J62" t="str">
        <x:v>Actif</x:v>
      </x:c>
    </x:row>
    <x:row r="63">
      <x:c r="A63" t="str">
        <x:v>EMP-069</x:v>
      </x:c>
      <x:c r="B63" t="str">
        <x:v>RAKOTOHARISOA Tovo</x:v>
      </x:c>
      <x:c r="C63" t="str">
        <x:v>AMPANDRANDAVA</x:v>
      </x:c>
      <x:c r="D63" t="str">
        <x:v>Production</x:v>
      </x:c>
      <x:c r="E63" t="str">
        <x:v>Collecteur de mica</x:v>
      </x:c>
      <x:c r="F63" t="n">
        <x:v>518000</x:v>
      </x:c>
      <x:c r="G63" t="n">
        <x:v>41000</x:v>
      </x:c>
      <x:c r="H63" t="n">
        <x:v>73000</x:v>
      </x:c>
      <x:c r="I63" t="n">
        <x:f>SUM(F63:H63)</x:f>
        <x:v>632000</x:v>
      </x:c>
      <x:c r="J63" t="str">
        <x:v>Actif</x:v>
      </x:c>
    </x:row>
    <x:row r="64">
      <x:c r="A64" t="str">
        <x:v>EMP-070</x:v>
      </x:c>
      <x:c r="B64" t="str">
        <x:v>RASOLOMANGA Soa</x:v>
      </x:c>
      <x:c r="C64" t="str">
        <x:v>AMPANDRANDAVA</x:v>
      </x:c>
      <x:c r="D64" t="str">
        <x:v>Production</x:v>
      </x:c>
      <x:c r="E64" t="str">
        <x:v>Collecteur de mica</x:v>
      </x:c>
      <x:c r="F64" t="n">
        <x:v>518000</x:v>
      </x:c>
      <x:c r="G64" t="n">
        <x:v>41000</x:v>
      </x:c>
      <x:c r="H64" t="n">
        <x:v>73000</x:v>
      </x:c>
      <x:c r="I64" t="n">
        <x:f>SUM(F64:H64)</x:f>
        <x:v>632000</x:v>
      </x:c>
      <x:c r="J64" t="str">
        <x:v>Actif</x:v>
      </x:c>
    </x:row>
    <x:row r="65">
      <x:c r="A65" t="str">
        <x:v>EMP-071</x:v>
      </x:c>
      <x:c r="B65" t="str">
        <x:v>RAKOTONIAINA Tahina</x:v>
      </x:c>
      <x:c r="C65" t="str">
        <x:v>TRANOMARO</x:v>
      </x:c>
      <x:c r="D65" t="str">
        <x:v>Production</x:v>
      </x:c>
      <x:c r="E65" t="str">
        <x:v>Collecteur de mica</x:v>
      </x:c>
      <x:c r="F65" t="n">
        <x:v>518000</x:v>
      </x:c>
      <x:c r="G65" t="n">
        <x:v>41000</x:v>
      </x:c>
      <x:c r="H65" t="n">
        <x:v>73000</x:v>
      </x:c>
      <x:c r="I65" t="n">
        <x:f>SUM(F65:H65)</x:f>
        <x:v>632000</x:v>
      </x:c>
      <x:c r="J65" t="str">
        <x:v>Actif</x:v>
      </x:c>
    </x:row>
    <x:row r="66">
      <x:c r="A66" t="str">
        <x:v>EMP-072</x:v>
      </x:c>
      <x:c r="B66" t="str">
        <x:v>RAVOAHANGY Noro</x:v>
      </x:c>
      <x:c r="C66" t="str">
        <x:v>TRANOMARO</x:v>
      </x:c>
      <x:c r="D66" t="str">
        <x:v>Production</x:v>
      </x:c>
      <x:c r="E66" t="str">
        <x:v>Collecteur de mica</x:v>
      </x:c>
      <x:c r="F66" t="n">
        <x:v>518000</x:v>
      </x:c>
      <x:c r="G66" t="n">
        <x:v>41000</x:v>
      </x:c>
      <x:c r="H66" t="n">
        <x:v>73000</x:v>
      </x:c>
      <x:c r="I66" t="n">
        <x:f>SUM(F66:H66)</x:f>
        <x:v>632000</x:v>
      </x:c>
      <x:c r="J66" t="str">
        <x:v>Actif</x:v>
      </x:c>
    </x:row>
    <x:row r="67">
      <x:c r="A67" t="str">
        <x:v>EMP-073</x:v>
      </x:c>
      <x:c r="B67" t="str">
        <x:v>RABESOA Rija</x:v>
      </x:c>
      <x:c r="C67" t="str">
        <x:v>TRANOMARO</x:v>
      </x:c>
      <x:c r="D67" t="str">
        <x:v>Production</x:v>
      </x:c>
      <x:c r="E67" t="str">
        <x:v>Collecteur de mica</x:v>
      </x:c>
      <x:c r="F67" t="n">
        <x:v>518000</x:v>
      </x:c>
      <x:c r="G67" t="n">
        <x:v>41000</x:v>
      </x:c>
      <x:c r="H67" t="n">
        <x:v>73000</x:v>
      </x:c>
      <x:c r="I67" t="n">
        <x:f>SUM(F67:H67)</x:f>
        <x:v>632000</x:v>
      </x:c>
      <x:c r="J67" t="str">
        <x:v>Actif</x:v>
      </x:c>
    </x:row>
    <x:row r="68">
      <x:c r="A68" t="str">
        <x:v>EMP-074</x:v>
      </x:c>
      <x:c r="B68" t="str">
        <x:v>RAKOTOMIRANA Hasina</x:v>
      </x:c>
      <x:c r="C68" t="str">
        <x:v>TRANOMARO</x:v>
      </x:c>
      <x:c r="D68" t="str">
        <x:v>Production</x:v>
      </x:c>
      <x:c r="E68" t="str">
        <x:v>Collecteur de mica</x:v>
      </x:c>
      <x:c r="F68" t="n">
        <x:v>518000</x:v>
      </x:c>
      <x:c r="G68" t="n">
        <x:v>41000</x:v>
      </x:c>
      <x:c r="H68" t="n">
        <x:v>73000</x:v>
      </x:c>
      <x:c r="I68" t="n">
        <x:f>SUM(F68:H68)</x:f>
        <x:v>632000</x:v>
      </x:c>
      <x:c r="J68" t="str">
        <x:v>Actif</x:v>
      </x:c>
    </x:row>
    <x:row r="69">
      <x:c r="A69" t="str">
        <x:v>EMP-076</x:v>
      </x:c>
      <x:c r="B69" t="str">
        <x:v>ANDRIAMALALA Toky</x:v>
      </x:c>
      <x:c r="C69" t="str">
        <x:v>TRANOMARO</x:v>
      </x:c>
      <x:c r="D69" t="str">
        <x:v>Production</x:v>
      </x:c>
      <x:c r="E69" t="str">
        <x:v>Aide collecteur</x:v>
      </x:c>
      <x:c r="F69" t="n">
        <x:v>518000</x:v>
      </x:c>
      <x:c r="G69" t="n">
        <x:v>41000</x:v>
      </x:c>
      <x:c r="H69" t="n">
        <x:v>73000</x:v>
      </x:c>
      <x:c r="I69" t="n">
        <x:f>SUM(F69:H69)</x:f>
        <x:v>632000</x:v>
      </x:c>
      <x:c r="J69" t="str">
        <x:v>Actif</x:v>
      </x:c>
    </x:row>
    <x:row r="70">
      <x:c r="A70" t="str">
        <x:v>EMP-077</x:v>
      </x:c>
      <x:c r="B70" t="str">
        <x:v>RAZAFIMANANA Kanto</x:v>
      </x:c>
      <x:c r="C70" t="str">
        <x:v>TRANOMARO</x:v>
      </x:c>
      <x:c r="D70" t="str">
        <x:v>Production</x:v>
      </x:c>
      <x:c r="E70" t="str">
        <x:v>Aide collecteur</x:v>
      </x:c>
      <x:c r="F70" t="n">
        <x:v>518000</x:v>
      </x:c>
      <x:c r="G70" t="n">
        <x:v>41000</x:v>
      </x:c>
      <x:c r="H70" t="n">
        <x:v>73000</x:v>
      </x:c>
      <x:c r="I70" t="n">
        <x:f>SUM(F70:H70)</x:f>
        <x:v>632000</x:v>
      </x:c>
      <x:c r="J70" t="str">
        <x:v>Actif</x:v>
      </x:c>
    </x:row>
    <x:row r="71">
      <x:c r="A71" t="str">
        <x:v>EMP-078</x:v>
      </x:c>
      <x:c r="B71" t="str">
        <x:v>RAKOTONDRINA Rado</x:v>
      </x:c>
      <x:c r="C71" t="str">
        <x:v>ANIVORANO</x:v>
      </x:c>
      <x:c r="D71" t="str">
        <x:v>Production</x:v>
      </x:c>
      <x:c r="E71" t="str">
        <x:v>Aide collecteur</x:v>
      </x:c>
      <x:c r="F71" t="n">
        <x:v>518000</x:v>
      </x:c>
      <x:c r="G71" t="n">
        <x:v>41000</x:v>
      </x:c>
      <x:c r="H71" t="n">
        <x:v>73000</x:v>
      </x:c>
      <x:c r="I71" t="n">
        <x:f>SUM(F71:H71)</x:f>
        <x:v>632000</x:v>
      </x:c>
      <x:c r="J71" t="str">
        <x:v>Actif</x:v>
      </x:c>
    </x:row>
    <x:row r="72">
      <x:c r="A72" t="str">
        <x:v>EMP-079</x:v>
      </x:c>
      <x:c r="B72" t="str">
        <x:v>RANDRIATSARA Miary</x:v>
      </x:c>
      <x:c r="C72" t="str">
        <x:v>ANIVORANO</x:v>
      </x:c>
      <x:c r="D72" t="str">
        <x:v>Production</x:v>
      </x:c>
      <x:c r="E72" t="str">
        <x:v>Aide collecteur</x:v>
      </x:c>
      <x:c r="F72" t="n">
        <x:v>518000</x:v>
      </x:c>
      <x:c r="G72" t="n">
        <x:v>41000</x:v>
      </x:c>
      <x:c r="H72" t="n">
        <x:v>73000</x:v>
      </x:c>
      <x:c r="I72" t="n">
        <x:f>SUM(F72:H72)</x:f>
        <x:v>632000</x:v>
      </x:c>
      <x:c r="J72" t="str">
        <x:v>Actif</x:v>
      </x:c>
    </x:row>
    <x:row r="73">
      <x:c r="A73" t="str">
        <x:v>EMP-080</x:v>
      </x:c>
      <x:c r="B73" t="str">
        <x:v>RAKOTOMAHERY Mamy</x:v>
      </x:c>
      <x:c r="C73" t="str">
        <x:v>ANIVORANO</x:v>
      </x:c>
      <x:c r="D73" t="str">
        <x:v>Production</x:v>
      </x:c>
      <x:c r="E73" t="str">
        <x:v>Aide collecteur</x:v>
      </x:c>
      <x:c r="F73" t="n">
        <x:v>518000</x:v>
      </x:c>
      <x:c r="G73" t="n">
        <x:v>41000</x:v>
      </x:c>
      <x:c r="H73" t="n">
        <x:v>73000</x:v>
      </x:c>
      <x:c r="I73" t="n">
        <x:f>SUM(F73:H73)</x:f>
        <x:v>632000</x:v>
      </x:c>
      <x:c r="J73" t="str">
        <x:v>Actif</x:v>
      </x:c>
    </x:row>
    <x:row r="74">
      <x:c r="A74" t="str">
        <x:v>EMP-081</x:v>
      </x:c>
      <x:c r="B74" t="str">
        <x:v>RAKOTOFALY Faniry</x:v>
      </x:c>
      <x:c r="C74" t="str">
        <x:v>ANIVORANO</x:v>
      </x:c>
      <x:c r="D74" t="str">
        <x:v>Production</x:v>
      </x:c>
      <x:c r="E74" t="str">
        <x:v>Aide collecteur</x:v>
      </x:c>
      <x:c r="F74" t="n">
        <x:v>518000</x:v>
      </x:c>
      <x:c r="G74" t="n">
        <x:v>41000</x:v>
      </x:c>
      <x:c r="H74" t="n">
        <x:v>73000</x:v>
      </x:c>
      <x:c r="I74" t="n">
        <x:f>SUM(F74:H74)</x:f>
        <x:v>632000</x:v>
      </x:c>
      <x:c r="J74" t="str">
        <x:v>Actif</x:v>
      </x:c>
    </x:row>
    <x:row r="75">
      <x:c r="A75" t="str">
        <x:v>EMP-082</x:v>
      </x:c>
      <x:c r="B75" t="str">
        <x:v>RABENIRINA Onja</x:v>
      </x:c>
      <x:c r="C75" t="str">
        <x:v>ANIVORANO</x:v>
      </x:c>
      <x:c r="D75" t="str">
        <x:v>Production</x:v>
      </x:c>
      <x:c r="E75" t="str">
        <x:v>Aide collecteur</x:v>
      </x:c>
      <x:c r="F75" t="n">
        <x:v>518000</x:v>
      </x:c>
      <x:c r="G75" t="n">
        <x:v>41000</x:v>
      </x:c>
      <x:c r="H75" t="n">
        <x:v>73000</x:v>
      </x:c>
      <x:c r="I75" t="n">
        <x:f>SUM(F75:H75)</x:f>
        <x:v>632000</x:v>
      </x:c>
      <x:c r="J75" t="str">
        <x:v>Actif</x:v>
      </x:c>
    </x:row>
    <x:row r="76">
      <x:c r="A76" t="str">
        <x:v>EMP-083</x:v>
      </x:c>
      <x:c r="B76" t="str">
        <x:v>RATSIMBAZAFY Fetra</x:v>
      </x:c>
      <x:c r="C76" t="str">
        <x:v>ANIVORANO</x:v>
      </x:c>
      <x:c r="D76" t="str">
        <x:v>Exploitation</x:v>
      </x:c>
      <x:c r="E76" t="str">
        <x:v>Agent de sécurité</x:v>
      </x:c>
      <x:c r="F76" t="n">
        <x:v>518000</x:v>
      </x:c>
      <x:c r="G76" t="n">
        <x:v>41000</x:v>
      </x:c>
      <x:c r="H76" t="n">
        <x:v>73000</x:v>
      </x:c>
      <x:c r="I76" t="n">
        <x:f>SUM(F76:H76)</x:f>
        <x:v>632000</x:v>
      </x:c>
      <x:c r="J76" t="str">
        <x:v>Actif</x:v>
      </x:c>
    </x:row>
    <x:row r="77">
      <x:c r="A77" t="str">
        <x:v>EMP-084</x:v>
      </x:c>
      <x:c r="B77" t="str">
        <x:v>RAKOTONANTSOA Rova</x:v>
      </x:c>
      <x:c r="C77" t="str">
        <x:v>ANIVORANO</x:v>
      </x:c>
      <x:c r="D77" t="str">
        <x:v>Exploitation</x:v>
      </x:c>
      <x:c r="E77" t="str">
        <x:v>Agent de sécurité</x:v>
      </x:c>
      <x:c r="F77" t="n">
        <x:v>518000</x:v>
      </x:c>
      <x:c r="G77" t="n">
        <x:v>41000</x:v>
      </x:c>
      <x:c r="H77" t="n">
        <x:v>73000</x:v>
      </x:c>
      <x:c r="I77" t="n">
        <x:f>SUM(F77:H77)</x:f>
        <x:v>632000</x:v>
      </x:c>
      <x:c r="J77" t="str">
        <x:v>Actif</x:v>
      </x:c>
    </x:row>
    <x:row r="78">
      <x:c r="A78" t="str">
        <x:v>EMP-085</x:v>
      </x:c>
      <x:c r="B78" t="str">
        <x:v>RAZAFINDRAVOLA Felana</x:v>
      </x:c>
      <x:c r="C78" t="str">
        <x:v>FORT DAUPHIN</x:v>
      </x:c>
      <x:c r="D78" t="str">
        <x:v>Exploitation</x:v>
      </x:c>
      <x:c r="E78" t="str">
        <x:v>Agent de sécurité</x:v>
      </x:c>
      <x:c r="F78" t="n">
        <x:v>518000</x:v>
      </x:c>
      <x:c r="G78" t="n">
        <x:v>41000</x:v>
      </x:c>
      <x:c r="H78" t="n">
        <x:v>73000</x:v>
      </x:c>
      <x:c r="I78" t="n">
        <x:f>SUM(F78:H78)</x:f>
        <x:v>632000</x:v>
      </x:c>
      <x:c r="J78" t="str">
        <x:v>Actif</x:v>
      </x:c>
    </x:row>
    <x:row r="79">
      <x:c r="A79" t="str">
        <x:v>EMP-086</x:v>
      </x:c>
      <x:c r="B79" t="str">
        <x:v>RABEARISOA Ando</x:v>
      </x:c>
      <x:c r="C79" t="str">
        <x:v>FORT DAUPHIN</x:v>
      </x:c>
      <x:c r="D79" t="str">
        <x:v>Exploitation</x:v>
      </x:c>
      <x:c r="E79" t="str">
        <x:v>Agent de sécurité</x:v>
      </x:c>
      <x:c r="F79" t="n">
        <x:v>518000</x:v>
      </x:c>
      <x:c r="G79" t="n">
        <x:v>41000</x:v>
      </x:c>
      <x:c r="H79" t="n">
        <x:v>73000</x:v>
      </x:c>
      <x:c r="I79" t="n">
        <x:f>SUM(F79:H79)</x:f>
        <x:v>632000</x:v>
      </x:c>
      <x:c r="J79" t="str">
        <x:v>Actif</x:v>
      </x:c>
    </x:row>
    <x:row r="80">
      <x:c r="A80" t="str">
        <x:v>EMP-087</x:v>
      </x:c>
      <x:c r="B80" t="str">
        <x:v>RAKOTOMIALY Tsiory</x:v>
      </x:c>
      <x:c r="C80" t="str">
        <x:v>FORT DAUPHIN</x:v>
      </x:c>
      <x:c r="D80" t="str">
        <x:v>Exploitation</x:v>
      </x:c>
      <x:c r="E80" t="str">
        <x:v>Agent de sécurité</x:v>
      </x:c>
      <x:c r="F80" t="n">
        <x:v>518000</x:v>
      </x:c>
      <x:c r="G80" t="n">
        <x:v>41000</x:v>
      </x:c>
      <x:c r="H80" t="n">
        <x:v>73000</x:v>
      </x:c>
      <x:c r="I80" t="n">
        <x:f>SUM(F80:H80)</x:f>
        <x:v>632000</x:v>
      </x:c>
      <x:c r="J80" t="str">
        <x:v>Actif</x:v>
      </x:c>
    </x:row>
    <x:row r="81">
      <x:c r="A81" t="str">
        <x:v>EMP-088</x:v>
      </x:c>
      <x:c r="B81" t="str">
        <x:v>ANDRIANJAFY Faly</x:v>
      </x:c>
      <x:c r="C81" t="str">
        <x:v>FORT DAUPHIN</x:v>
      </x:c>
      <x:c r="D81" t="str">
        <x:v>Exploitation</x:v>
      </x:c>
      <x:c r="E81" t="str">
        <x:v>Agent d’entretien</x:v>
      </x:c>
      <x:c r="F81" t="n">
        <x:v>518000</x:v>
      </x:c>
      <x:c r="G81" t="n">
        <x:v>41000</x:v>
      </x:c>
      <x:c r="H81" t="n">
        <x:v>73000</x:v>
      </x:c>
      <x:c r="I81" t="n">
        <x:f>SUM(F81:H81)</x:f>
        <x:v>632000</x:v>
      </x:c>
      <x:c r="J81" t="str">
        <x:v>Actif</x:v>
      </x:c>
    </x:row>
    <x:row r="82">
      <x:c r="A82" t="str">
        <x:v>EMP-089</x:v>
      </x:c>
      <x:c r="B82" t="str">
        <x:v>RASOLOFONIAINA Tsanta</x:v>
      </x:c>
      <x:c r="C82" t="str">
        <x:v>FORT DAUPHIN</x:v>
      </x:c>
      <x:c r="D82" t="str">
        <x:v>Exploitation</x:v>
      </x:c>
      <x:c r="E82" t="str">
        <x:v>Agent d’entretien</x:v>
      </x:c>
      <x:c r="F82" t="n">
        <x:v>518000</x:v>
      </x:c>
      <x:c r="G82" t="n">
        <x:v>41000</x:v>
      </x:c>
      <x:c r="H82" t="n">
        <x:v>73000</x:v>
      </x:c>
      <x:c r="I82" t="n">
        <x:f>SUM(F82:H82)</x:f>
        <x:v>632000</x:v>
      </x:c>
      <x:c r="J82" t="str">
        <x:v>Actif</x:v>
      </x:c>
    </x:row>
    <x:row r="83">
      <x:c r="A83" t="str">
        <x:v>EMP-090</x:v>
      </x:c>
      <x:c r="B83" t="str">
        <x:v>RAKOTOMENDRIKA Haja</x:v>
      </x:c>
      <x:c r="C83" t="str">
        <x:v>FORT DAUPHIN</x:v>
      </x:c>
      <x:c r="D83" t="str">
        <x:v>Exploitation</x:v>
      </x:c>
      <x:c r="E83" t="str">
        <x:v>Agent d’entretien</x:v>
      </x:c>
      <x:c r="F83" t="n">
        <x:v>518000</x:v>
      </x:c>
      <x:c r="G83" t="n">
        <x:v>41000</x:v>
      </x:c>
      <x:c r="H83" t="n">
        <x:v>73000</x:v>
      </x:c>
      <x:c r="I83" t="n">
        <x:f>SUM(F83:H83)</x:f>
        <x:v>632000</x:v>
      </x:c>
      <x:c r="J83" t="str">
        <x:v>Actif</x:v>
      </x:c>
    </x:row>
    <x:row r="84">
      <x:c r="A84" t="str">
        <x:v>EMP-091</x:v>
      </x:c>
      <x:c r="B84" t="str">
        <x:v>RAKOTOVAO Nomena</x:v>
      </x:c>
      <x:c r="C84" t="str">
        <x:v>FORT DAUPHIN</x:v>
      </x:c>
      <x:c r="D84" t="str">
        <x:v>Exploitation</x:v>
      </x:c>
      <x:c r="E84" t="str">
        <x:v>Agent d’entretien</x:v>
      </x:c>
      <x:c r="F84" t="n">
        <x:v>749000</x:v>
      </x:c>
      <x:c r="G84" t="n">
        <x:v>60000</x:v>
      </x:c>
      <x:c r="H84" t="n">
        <x:v>105000</x:v>
      </x:c>
      <x:c r="I84" t="n">
        <x:f>SUM(F84:H84)</x:f>
        <x:v>914000</x:v>
      </x:c>
      <x:c r="J84" t="str">
        <x:v>Actif</x:v>
      </x:c>
    </x:row>
    <x:row r="85">
      <x:c r="A85" t="str">
        <x:v>EMP-092</x:v>
      </x:c>
      <x:c r="B85" t="str">
        <x:v>RATSIMAHERY Lalaina</x:v>
      </x:c>
      <x:c r="C85" t="str">
        <x:v>AMPANDRANDAVA</x:v>
      </x:c>
      <x:c r="D85" t="str">
        <x:v>Exploitation</x:v>
      </x:c>
      <x:c r="E85" t="str">
        <x:v>Magasinier</x:v>
      </x:c>
      <x:c r="F85" t="n">
        <x:v>749000</x:v>
      </x:c>
      <x:c r="G85" t="n">
        <x:v>60000</x:v>
      </x:c>
      <x:c r="H85" t="n">
        <x:v>105000</x:v>
      </x:c>
      <x:c r="I85" t="n">
        <x:f>SUM(F85:H85)</x:f>
        <x:v>914000</x:v>
      </x:c>
      <x:c r="J85" t="str">
        <x:v>Actif</x:v>
      </x:c>
    </x:row>
    <x:row r="86">
      <x:c r="A86" t="str">
        <x:v>EMP-094</x:v>
      </x:c>
      <x:c r="B86" t="str">
        <x:v>RABEFANJA Vero</x:v>
      </x:c>
      <x:c r="C86" t="str">
        <x:v>AMPANDRANDAVA</x:v>
      </x:c>
      <x:c r="D86" t="str">
        <x:v>Exploitation</x:v>
      </x:c>
      <x:c r="E86" t="str">
        <x:v>Mécanicien</x:v>
      </x:c>
      <x:c r="F86" t="n">
        <x:v>749000</x:v>
      </x:c>
      <x:c r="G86" t="n">
        <x:v>60000</x:v>
      </x:c>
      <x:c r="H86" t="n">
        <x:v>105000</x:v>
      </x:c>
      <x:c r="I86" t="n">
        <x:f>SUM(F86:H86)</x:f>
        <x:v>914000</x:v>
      </x:c>
      <x:c r="J86" t="str">
        <x:v>Actif</x:v>
      </x:c>
    </x:row>
    <x:row r="87">
      <x:c r="A87" t="str">
        <x:v>EMP-095</x:v>
      </x:c>
      <x:c r="B87" t="str">
        <x:v>RAKOTOMANJAKA Rina</x:v>
      </x:c>
      <x:c r="C87" t="str">
        <x:v>AMPANDRANDAVA</x:v>
      </x:c>
      <x:c r="D87" t="str">
        <x:v>Exploitation</x:v>
      </x:c>
      <x:c r="E87" t="str">
        <x:v>Mécanicien</x:v>
      </x:c>
      <x:c r="F87" t="n">
        <x:v>749000</x:v>
      </x:c>
      <x:c r="G87" t="n">
        <x:v>60000</x:v>
      </x:c>
      <x:c r="H87" t="n">
        <x:v>105000</x:v>
      </x:c>
      <x:c r="I87" t="n">
        <x:f>SUM(F87:H87)</x:f>
        <x:v>914000</x:v>
      </x:c>
      <x:c r="J87" t="str">
        <x:v>Actif</x:v>
      </x:c>
    </x:row>
    <x:row r="88">
      <x:c r="A88" t="str">
        <x:v>EMP-096</x:v>
      </x:c>
      <x:c r="B88" t="str">
        <x:v>RAKOTOTSIORY Mendrika</x:v>
      </x:c>
      <x:c r="C88" t="str">
        <x:v>AMPANDRANDAVA</x:v>
      </x:c>
      <x:c r="D88" t="str">
        <x:v>Exploitation</x:v>
      </x:c>
      <x:c r="E88" t="str">
        <x:v>Aide mécanicien</x:v>
      </x:c>
      <x:c r="F88" t="n">
        <x:v>749000</x:v>
      </x:c>
      <x:c r="G88" t="n">
        <x:v>60000</x:v>
      </x:c>
      <x:c r="H88" t="n">
        <x:v>105000</x:v>
      </x:c>
      <x:c r="I88" t="n">
        <x:f>SUM(F88:H88)</x:f>
        <x:v>914000</x:v>
      </x:c>
      <x:c r="J88" t="str">
        <x:v>Actif</x:v>
      </x:c>
    </x:row>
    <x:row r="89">
      <x:c r="A89" t="str">
        <x:v>EMP-097</x:v>
      </x:c>
      <x:c r="B89" t="str">
        <x:v>RAZAFINIRINA Tina</x:v>
      </x:c>
      <x:c r="C89" t="str">
        <x:v>AMPANDRANDAVA</x:v>
      </x:c>
      <x:c r="D89" t="str">
        <x:v>Exploitation</x:v>
      </x:c>
      <x:c r="E89" t="str">
        <x:v>Aide mécanicien</x:v>
      </x:c>
      <x:c r="F89" t="n">
        <x:v>749000</x:v>
      </x:c>
      <x:c r="G89" t="n">
        <x:v>60000</x:v>
      </x:c>
      <x:c r="H89" t="n">
        <x:v>105000</x:v>
      </x:c>
      <x:c r="I89" t="n">
        <x:f>SUM(F89:H89)</x:f>
        <x:v>914000</x:v>
      </x:c>
      <x:c r="J89" t="str">
        <x:v>Actif</x:v>
      </x:c>
    </x:row>
    <x:row r="90">
      <x:c r="A90" t="str">
        <x:v>EMP-098</x:v>
      </x:c>
      <x:c r="B90" t="str">
        <x:v>RABESITRAKA Vola</x:v>
      </x:c>
      <x:c r="C90" t="str">
        <x:v>AMPANDRANDAVA</x:v>
      </x:c>
      <x:c r="D90" t="str">
        <x:v>Production</x:v>
      </x:c>
      <x:c r="E90" t="str">
        <x:v>Coupeuse / trieuse</x:v>
      </x:c>
      <x:c r="F90" t="n">
        <x:v>749000</x:v>
      </x:c>
      <x:c r="G90" t="n">
        <x:v>60000</x:v>
      </x:c>
      <x:c r="H90" t="n">
        <x:v>105000</x:v>
      </x:c>
      <x:c r="I90" t="n">
        <x:f>SUM(F90:H90)</x:f>
        <x:v>914000</x:v>
      </x:c>
      <x:c r="J90" t="str">
        <x:v>Actif</x:v>
      </x:c>
    </x:row>
    <x:row r="91">
      <x:c r="A91" t="str">
        <x:v>EMP-099</x:v>
      </x:c>
      <x:c r="B91" t="str">
        <x:v>RANDRIAMAMY Harena</x:v>
      </x:c>
      <x:c r="C91" t="str">
        <x:v>TRANOMARO</x:v>
      </x:c>
      <x:c r="D91" t="str">
        <x:v>Production</x:v>
      </x:c>
      <x:c r="E91" t="str">
        <x:v>Coupeuse / trieuse</x:v>
      </x:c>
      <x:c r="F91" t="n">
        <x:v>749000</x:v>
      </x:c>
      <x:c r="G91" t="n">
        <x:v>60000</x:v>
      </x:c>
      <x:c r="H91" t="n">
        <x:v>105000</x:v>
      </x:c>
      <x:c r="I91" t="n">
        <x:f>SUM(F91:H91)</x:f>
        <x:v>914000</x:v>
      </x:c>
      <x:c r="J91" t="str">
        <x:v>Actif</x:v>
      </x:c>
    </x:row>
    <x:row r="92">
      <x:c r="A92" t="str">
        <x:v>EMP-100</x:v>
      </x:c>
      <x:c r="B92" t="str">
        <x:v>RAKOTOVOLA Tafita</x:v>
      </x:c>
      <x:c r="C92" t="str">
        <x:v>TRANOMARO</x:v>
      </x:c>
      <x:c r="D92" t="str">
        <x:v>Production</x:v>
      </x:c>
      <x:c r="E92" t="str">
        <x:v>Coupeuse / trieuse</x:v>
      </x:c>
      <x:c r="F92" t="n">
        <x:v>749000</x:v>
      </x:c>
      <x:c r="G92" t="n">
        <x:v>60000</x:v>
      </x:c>
      <x:c r="H92" t="n">
        <x:v>105000</x:v>
      </x:c>
      <x:c r="I92" t="n">
        <x:f>SUM(F92:H92)</x:f>
        <x:v>914000</x:v>
      </x:c>
      <x:c r="J92" t="str">
        <x:v>Actif</x:v>
      </x:c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4.6640625" customWidth="1"/>
    <x:col min="2" max="2" width="18" customWidth="1"/>
    <x:col min="3" max="3" width="5.6640625" customWidth="1"/>
    <x:col min="4" max="5" width="5.83203125" customWidth="1"/>
    <x:col min="6" max="9" width="4.6640625" customWidth="1"/>
    <x:col min="10" max="10" width="5" customWidth="1"/>
    <x:col min="11" max="11" width="4.6640625" customWidth="1"/>
    <x:col min="12" max="12" width="8.83203125" customWidth="1"/>
    <x:col min="13" max="13" width="6.6640625" customWidth="1"/>
    <x:col min="14" max="14" width="8.5" customWidth="1"/>
    <x:col min="15" max="15" width="8.33203125" customWidth="1"/>
    <x:col min="16" max="16" width="9.83203125" customWidth="1"/>
  </x:cols>
  <x:sheetData>
    <x:row r="1" ht="32">
      <x:c r="A1" s="1" t="s">
        <x:v>35</x:v>
      </x:c>
      <x:c r="B1" s="1" t="s">
        <x:v>43</x:v>
      </x:c>
      <x:c r="C1" s="1" t="s">
        <x:v>44</x:v>
      </x:c>
      <x:c r="D1" s="1" t="s">
        <x:v>45</x:v>
      </x:c>
      <x:c r="E1" s="1" t="s">
        <x:v>46</x:v>
      </x:c>
      <x:c r="F1" s="1" t="s">
        <x:v>47</x:v>
      </x:c>
      <x:c r="G1" s="1" t="s">
        <x:v>48</x:v>
      </x:c>
      <x:c r="H1" s="1" t="s">
        <x:v>49</x:v>
      </x:c>
      <x:c r="I1" s="1" t="s">
        <x:v>50</x:v>
      </x:c>
      <x:c r="J1" s="1" t="s">
        <x:v>51</x:v>
      </x:c>
      <x:c r="K1" s="1" t="s">
        <x:v>52</x:v>
      </x:c>
      <x:c r="L1" s="1" t="s">
        <x:v>53</x:v>
      </x:c>
      <x:c r="M1" s="1" t="s">
        <x:v>54</x:v>
      </x:c>
      <x:c r="N1" s="1" t="s">
        <x:v>55</x:v>
      </x:c>
      <x:c r="O1" s="1" t="s">
        <x:v>56</x:v>
      </x:c>
      <x:c r="P1" s="1" t="s">
        <x:v>57</x:v>
      </x:c>
    </x:row>
    <x:row r="2">
      <x:c r="A2" t="s">
        <x:v>20</x:v>
      </x:c>
      <x:c r="B2" t="s">
        <x:v>58</x:v>
      </x:c>
      <x:c r="C2" t="s">
        <x:v>59</x:v>
      </x:c>
      <x:c r="D2" s="5">
        <x:v>84.6</x:v>
      </x:c>
      <x:c r="E2" s="5">
        <x:v>71.38</x:v>
      </x:c>
      <x:c r="F2" s="5">
        <x:v>83.58</x:v>
      </x:c>
      <x:c r="G2" s="5">
        <x:v>87.48</x:v>
      </x:c>
      <x:c r="H2" s="5">
        <x:v>69.989999999999995</x:v>
      </x:c>
      <x:c r="I2" s="5">
        <x:v>79.349999999999994</x:v>
      </x:c>
      <x:c r="J2" s="5">
        <x:v>85.32</x:v>
      </x:c>
      <x:c r="K2" s="5">
        <x:v>79.05</x:v>
      </x:c>
      <x:c r="L2" s="5">
        <x:v>89.32</x:v>
      </x:c>
      <x:c r="M2" s="5">
        <x:v>70.72</x:v>
      </x:c>
      <x:c r="N2" s="5">
        <x:v>86.7</x:v>
      </x:c>
      <x:c r="O2" s="5">
        <x:v>76.08</x:v>
      </x:c>
      <x:c r="P2" s="5">
        <x:v>963.56999999999994</x:v>
      </x:c>
    </x:row>
    <x:row r="3">
      <x:c r="A3" t="s">
        <x:v>20</x:v>
      </x:c>
      <x:c r="B3" t="s">
        <x:v>60</x:v>
      </x:c>
      <x:c r="C3" t="s">
        <x:v>59</x:v>
      </x:c>
      <x:c r="D3" s="5">
        <x:v>58.75</x:v>
      </x:c>
      <x:c r="E3" s="5">
        <x:v>58.55</x:v>
      </x:c>
      <x:c r="F3" s="5">
        <x:v>52.56</x:v>
      </x:c>
      <x:c r="G3" s="5">
        <x:v>56.6</x:v>
      </x:c>
      <x:c r="H3" s="5">
        <x:v>57.3</x:v>
      </x:c>
      <x:c r="I3" s="5">
        <x:v>55.86</x:v>
      </x:c>
      <x:c r="J3" s="5">
        <x:v>60.04</x:v>
      </x:c>
      <x:c r="K3" s="5">
        <x:v>65.08</x:v>
      </x:c>
      <x:c r="L3" s="5">
        <x:v>58.58</x:v>
      </x:c>
      <x:c r="M3" s="5">
        <x:v>59.51</x:v>
      </x:c>
      <x:c r="N3" s="5">
        <x:v>56.97</x:v>
      </x:c>
      <x:c r="O3" s="5">
        <x:v>59.76</x:v>
      </x:c>
      <x:c r="P3" s="5">
        <x:v>699.56</x:v>
      </x:c>
    </x:row>
    <x:row r="4">
      <x:c r="A4" t="s">
        <x:v>20</x:v>
      </x:c>
      <x:c r="B4" t="s">
        <x:v>61</x:v>
      </x:c>
      <x:c r="C4" t="s">
        <x:v>59</x:v>
      </x:c>
      <x:c r="D4" s="5">
        <x:v>46.52</x:v>
      </x:c>
      <x:c r="E4" s="5">
        <x:v>57.06</x:v>
      </x:c>
      <x:c r="F4" s="5">
        <x:v>57.06</x:v>
      </x:c>
      <x:c r="G4" s="5">
        <x:v>57.36</x:v>
      </x:c>
      <x:c r="H4" s="5">
        <x:v>57.85</x:v>
      </x:c>
      <x:c r="I4" s="5">
        <x:v>48.25</x:v>
      </x:c>
      <x:c r="J4" s="5">
        <x:v>59.5</x:v>
      </x:c>
      <x:c r="K4" s="5">
        <x:v>58.33</x:v>
      </x:c>
      <x:c r="L4" s="5">
        <x:v>54.7</x:v>
      </x:c>
      <x:c r="M4" s="5">
        <x:v>51</x:v>
      </x:c>
      <x:c r="N4" s="5">
        <x:v>56.85</x:v>
      </x:c>
      <x:c r="O4" s="5">
        <x:v>57.88</x:v>
      </x:c>
      <x:c r="P4" s="5">
        <x:v>662.36</x:v>
      </x:c>
    </x:row>
    <x:row r="5">
      <x:c r="A5" t="s">
        <x:v>20</x:v>
      </x:c>
      <x:c r="B5" t="s">
        <x:v>62</x:v>
      </x:c>
      <x:c r="C5" t="s">
        <x:v>59</x:v>
      </x:c>
      <x:c r="D5" s="5">
        <x:v>73.45</x:v>
      </x:c>
      <x:c r="E5" s="5">
        <x:v>79.489999999999995</x:v>
      </x:c>
      <x:c r="F5" s="5">
        <x:v>66.84</x:v>
      </x:c>
      <x:c r="G5" s="5">
        <x:v>62.79</x:v>
      </x:c>
      <x:c r="H5" s="5">
        <x:v>71.2</x:v>
      </x:c>
      <x:c r="I5" s="5">
        <x:v>71.42</x:v>
      </x:c>
      <x:c r="J5" s="5">
        <x:v>70.709999999999994</x:v>
      </x:c>
      <x:c r="K5" s="5">
        <x:v>61.81</x:v>
      </x:c>
      <x:c r="L5" s="5">
        <x:v>74.400000000000006</x:v>
      </x:c>
      <x:c r="M5" s="5">
        <x:v>71.069999999999993</x:v>
      </x:c>
      <x:c r="N5" s="5">
        <x:v>71.33</x:v>
      </x:c>
      <x:c r="O5" s="5">
        <x:v>63.98</x:v>
      </x:c>
      <x:c r="P5" s="5">
        <x:v>838.49</x:v>
      </x:c>
    </x:row>
    <x:row r="6">
      <x:c r="A6" t="s">
        <x:v>20</x:v>
      </x:c>
      <x:c r="B6" t="s">
        <x:v>63</x:v>
      </x:c>
      <x:c r="C6" t="s">
        <x:v>59</x:v>
      </x:c>
      <x:c r="D6" s="5">
        <x:v>43.08</x:v>
      </x:c>
      <x:c r="E6" s="5">
        <x:v>42.72</x:v>
      </x:c>
      <x:c r="F6" s="5">
        <x:v>46.64</x:v>
      </x:c>
      <x:c r="G6" s="5">
        <x:v>40.450000000000003</x:v>
      </x:c>
      <x:c r="H6" s="5">
        <x:v>42.66</x:v>
      </x:c>
      <x:c r="I6" s="5">
        <x:v>52.08</x:v>
      </x:c>
      <x:c r="J6" s="5">
        <x:v>41.4</x:v>
      </x:c>
      <x:c r="K6" s="5">
        <x:v>48.4</x:v>
      </x:c>
      <x:c r="L6" s="5">
        <x:v>49.41</x:v>
      </x:c>
      <x:c r="M6" s="5">
        <x:v>48.91</x:v>
      </x:c>
      <x:c r="N6" s="5">
        <x:v>41.6</x:v>
      </x:c>
      <x:c r="O6" s="5">
        <x:v>47.65</x:v>
      </x:c>
      <x:c r="P6" s="5">
        <x:v>545</x:v>
      </x:c>
    </x:row>
    <x:row r="7">
      <x:c r="A7" t="s">
        <x:v>17</x:v>
      </x:c>
      <x:c r="B7" t="s">
        <x:v>58</x:v>
      </x:c>
      <x:c r="C7" t="s">
        <x:v>59</x:v>
      </x:c>
      <x:c r="D7" s="5">
        <x:v>78.81</x:v>
      </x:c>
      <x:c r="E7" s="5">
        <x:v>73.44</x:v>
      </x:c>
      <x:c r="F7" s="5">
        <x:v>86.54</x:v>
      </x:c>
      <x:c r="G7" s="5">
        <x:v>73.77</x:v>
      </x:c>
      <x:c r="H7" s="5">
        <x:v>74.319999999999993</x:v>
      </x:c>
      <x:c r="I7" s="5">
        <x:v>73.069999999999993</x:v>
      </x:c>
      <x:c r="J7" s="5">
        <x:v>68.44</x:v>
      </x:c>
      <x:c r="K7" s="5">
        <x:v>76.59</x:v>
      </x:c>
      <x:c r="L7" s="5">
        <x:v>87.95</x:v>
      </x:c>
      <x:c r="M7" s="5">
        <x:v>85.12</x:v>
      </x:c>
      <x:c r="N7" s="5">
        <x:v>76.66</x:v>
      </x:c>
      <x:c r="O7" s="5">
        <x:v>67.33</x:v>
      </x:c>
      <x:c r="P7" s="5">
        <x:v>922.04</x:v>
      </x:c>
    </x:row>
    <x:row r="8">
      <x:c r="A8" t="s">
        <x:v>17</x:v>
      </x:c>
      <x:c r="B8" t="s">
        <x:v>60</x:v>
      </x:c>
      <x:c r="C8" t="s">
        <x:v>59</x:v>
      </x:c>
      <x:c r="D8" s="5">
        <x:v>52.88</x:v>
      </x:c>
      <x:c r="E8" s="5">
        <x:v>51.57</x:v>
      </x:c>
      <x:c r="F8" s="5">
        <x:v>53.36</x:v>
      </x:c>
      <x:c r="G8" s="5">
        <x:v>63.4</x:v>
      </x:c>
      <x:c r="H8" s="5">
        <x:v>61.45</x:v>
      </x:c>
      <x:c r="I8" s="5">
        <x:v>67.87</x:v>
      </x:c>
      <x:c r="J8" s="5">
        <x:v>57.41</x:v>
      </x:c>
      <x:c r="K8" s="5">
        <x:v>65.08</x:v>
      </x:c>
      <x:c r="L8" s="5">
        <x:v>62</x:v>
      </x:c>
      <x:c r="M8" s="5">
        <x:v>62.84</x:v>
      </x:c>
      <x:c r="N8" s="5">
        <x:v>62.14</x:v>
      </x:c>
      <x:c r="O8" s="5">
        <x:v>67.66</x:v>
      </x:c>
      <x:c r="P8" s="5">
        <x:v>727.66</x:v>
      </x:c>
    </x:row>
    <x:row r="9">
      <x:c r="A9" t="s">
        <x:v>17</x:v>
      </x:c>
      <x:c r="B9" t="s">
        <x:v>61</x:v>
      </x:c>
      <x:c r="C9" t="s">
        <x:v>59</x:v>
      </x:c>
      <x:c r="D9" s="5">
        <x:v>49.57</x:v>
      </x:c>
      <x:c r="E9" s="5">
        <x:v>48.01</x:v>
      </x:c>
      <x:c r="F9" s="5">
        <x:v>51.85</x:v>
      </x:c>
      <x:c r="G9" s="5">
        <x:v>59.9</x:v>
      </x:c>
      <x:c r="H9" s="5">
        <x:v>58.33</x:v>
      </x:c>
      <x:c r="I9" s="5">
        <x:v>55.34</x:v>
      </x:c>
      <x:c r="J9" s="5">
        <x:v>58.06</x:v>
      </x:c>
      <x:c r="K9" s="5">
        <x:v>55.26</x:v>
      </x:c>
      <x:c r="L9" s="5">
        <x:v>59.04</x:v>
      </x:c>
      <x:c r="M9" s="5">
        <x:v>50.71</x:v>
      </x:c>
      <x:c r="N9" s="5">
        <x:v>59.4</x:v>
      </x:c>
      <x:c r="O9" s="5">
        <x:v>50.2</x:v>
      </x:c>
      <x:c r="P9" s="5">
        <x:v>655.67</x:v>
      </x:c>
    </x:row>
    <x:row r="10">
      <x:c r="A10" t="s">
        <x:v>17</x:v>
      </x:c>
      <x:c r="B10" t="s">
        <x:v>62</x:v>
      </x:c>
      <x:c r="C10" t="s">
        <x:v>59</x:v>
      </x:c>
      <x:c r="D10" s="5">
        <x:v>74.8</x:v>
      </x:c>
      <x:c r="E10" s="5">
        <x:v>68.599999999999994</x:v>
      </x:c>
      <x:c r="F10" s="5">
        <x:v>60.02</x:v>
      </x:c>
      <x:c r="G10" s="5">
        <x:v>73.97</x:v>
      </x:c>
      <x:c r="H10" s="5">
        <x:v>65.540000000000006</x:v>
      </x:c>
      <x:c r="I10" s="5">
        <x:v>79.430000000000007</x:v>
      </x:c>
      <x:c r="J10" s="5">
        <x:v>76.14</x:v>
      </x:c>
      <x:c r="K10" s="5">
        <x:v>62.07</x:v>
      </x:c>
      <x:c r="L10" s="5">
        <x:v>75.48</x:v>
      </x:c>
      <x:c r="M10" s="5">
        <x:v>66.150000000000006</x:v>
      </x:c>
      <x:c r="N10" s="5">
        <x:v>78.28</x:v>
      </x:c>
      <x:c r="O10" s="5">
        <x:v>70.790000000000006</x:v>
      </x:c>
      <x:c r="P10" s="5">
        <x:v>851.27</x:v>
      </x:c>
    </x:row>
    <x:row r="11">
      <x:c r="A11" t="s">
        <x:v>17</x:v>
      </x:c>
      <x:c r="B11" t="s">
        <x:v>63</x:v>
      </x:c>
      <x:c r="C11" t="s">
        <x:v>59</x:v>
      </x:c>
      <x:c r="D11" s="5">
        <x:v>43.73</x:v>
      </x:c>
      <x:c r="E11" s="5">
        <x:v>46.71</x:v>
      </x:c>
      <x:c r="F11" s="5">
        <x:v>48.9</x:v>
      </x:c>
      <x:c r="G11" s="5">
        <x:v>40.6</x:v>
      </x:c>
      <x:c r="H11" s="5">
        <x:v>47.5</x:v>
      </x:c>
      <x:c r="I11" s="5">
        <x:v>40.68</x:v>
      </x:c>
      <x:c r="J11" s="5">
        <x:v>40.78</x:v>
      </x:c>
      <x:c r="K11" s="5">
        <x:v>43.89</x:v>
      </x:c>
      <x:c r="L11" s="5">
        <x:v>47.9</x:v>
      </x:c>
      <x:c r="M11" s="5">
        <x:v>48</x:v>
      </x:c>
      <x:c r="N11" s="5">
        <x:v>39.46</x:v>
      </x:c>
      <x:c r="O11" s="5">
        <x:v>46.95</x:v>
      </x:c>
      <x:c r="P11" s="5">
        <x:v>535.1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3.6640625" customWidth="1"/>
    <x:col min="2" max="2" width="28" customWidth="1"/>
    <x:col min="3" max="3" width="14.6640625" customWidth="1"/>
    <x:col min="4" max="4" width="4.6640625" customWidth="1"/>
    <x:col min="5" max="16" width="9.83203125" customWidth="1"/>
    <x:col min="17" max="17" width="11.1640625" customWidth="1"/>
  </x:cols>
  <x:sheetData>
    <x:row r="1" ht="32">
      <x:c r="A1" s="1" t="str">
        <x:v>Catégorie</x:v>
      </x:c>
      <x:c r="B1" s="1" t="str">
        <x:v>Nature</x:v>
      </x:c>
      <x:c r="C1" s="1" t="str">
        <x:v>Site</x:v>
      </x:c>
      <x:c r="D1" s="1" t="str">
        <x:v>Unité</x:v>
      </x:c>
      <x:c r="E1" s="1" t="str">
        <x:v>Janvier</x:v>
      </x:c>
      <x:c r="F1" s="1" t="str">
        <x:v>Février</x:v>
      </x:c>
      <x:c r="G1" s="1" t="str">
        <x:v>Mars</x:v>
      </x:c>
      <x:c r="H1" s="1" t="str">
        <x:v>Avril</x:v>
      </x:c>
      <x:c r="I1" s="1" t="str">
        <x:v>Mai</x:v>
      </x:c>
      <x:c r="J1" s="1" t="str">
        <x:v>Juin</x:v>
      </x:c>
      <x:c r="K1" s="1" t="str">
        <x:v>Juillet</x:v>
      </x:c>
      <x:c r="L1" s="1" t="str">
        <x:v>Août</x:v>
      </x:c>
      <x:c r="M1" s="1" t="str">
        <x:v>Septembre</x:v>
      </x:c>
      <x:c r="N1" s="1" t="str">
        <x:v>Octobre</x:v>
      </x:c>
      <x:c r="O1" s="1" t="str">
        <x:v>Novembre</x:v>
      </x:c>
      <x:c r="P1" s="1" t="str">
        <x:v>Décembre</x:v>
      </x:c>
      <x:c r="Q1" s="1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4" t="n">
        <x:v>159363000</x:v>
      </x:c>
      <x:c r="F2" s="4" t="n">
        <x:v>160520000</x:v>
      </x:c>
      <x:c r="G2" s="4" t="n">
        <x:v>154566000</x:v>
      </x:c>
      <x:c r="H2" s="4" t="n">
        <x:v>162036000</x:v>
      </x:c>
      <x:c r="I2" s="4" t="n">
        <x:v>153755000</x:v>
      </x:c>
      <x:c r="J2" s="4" t="n">
        <x:v>149875000</x:v>
      </x:c>
      <x:c r="K2" s="4" t="n">
        <x:v>167050000</x:v>
      </x:c>
      <x:c r="L2" s="4" t="n">
        <x:v>171928000</x:v>
      </x:c>
      <x:c r="M2" s="4" t="n">
        <x:v>183156000</x:v>
      </x:c>
      <x:c r="N2" s="4" t="n">
        <x:v>172840000</x:v>
      </x:c>
      <x:c r="O2" s="4" t="n">
        <x:v>161044000</x:v>
      </x:c>
      <x:c r="P2" s="4" t="n">
        <x:v>155211000</x:v>
      </x:c>
      <x:c r="Q2" s="4" t="n">
        <x:v>1951344000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4" t="n">
        <x:v>49920000</x:v>
      </x:c>
      <x:c r="F3" s="4" t="n">
        <x:v>48228000</x:v>
      </x:c>
      <x:c r="G3" s="4" t="n">
        <x:v>51678000</x:v>
      </x:c>
      <x:c r="H3" s="4" t="n">
        <x:v>54427000</x:v>
      </x:c>
      <x:c r="I3" s="4" t="n">
        <x:v>51500000</x:v>
      </x:c>
      <x:c r="J3" s="4" t="n">
        <x:v>52194000</x:v>
      </x:c>
      <x:c r="K3" s="4" t="n">
        <x:v>60761000</x:v>
      </x:c>
      <x:c r="L3" s="4" t="n">
        <x:v>55990000</x:v>
      </x:c>
      <x:c r="M3" s="4" t="n">
        <x:v>59337000</x:v>
      </x:c>
      <x:c r="N3" s="4" t="n">
        <x:v>55436000</x:v>
      </x:c>
      <x:c r="O3" s="4" t="n">
        <x:v>56760000</x:v>
      </x:c>
      <x:c r="P3" s="4" t="n">
        <x:v>60994000</x:v>
      </x:c>
      <x:c r="Q3" s="4" t="n">
        <x:v>657225000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4" t="n">
        <x:v>93798000</x:v>
      </x:c>
      <x:c r="F4" s="4" t="n">
        <x:v>88013000</x:v>
      </x:c>
      <x:c r="G4" s="4" t="n">
        <x:v>96564000</x:v>
      </x:c>
      <x:c r="H4" s="4" t="n">
        <x:v>99390000</x:v>
      </x:c>
      <x:c r="I4" s="4" t="n">
        <x:v>89228000</x:v>
      </x:c>
      <x:c r="J4" s="4" t="n">
        <x:v>97142000</x:v>
      </x:c>
      <x:c r="K4" s="4" t="n">
        <x:v>82111000</x:v>
      </x:c>
      <x:c r="L4" s="4" t="n">
        <x:v>104589000</x:v>
      </x:c>
      <x:c r="M4" s="4" t="n">
        <x:v>92787000</x:v>
      </x:c>
      <x:c r="N4" s="4" t="n">
        <x:v>104404000</x:v>
      </x:c>
      <x:c r="O4" s="4" t="n">
        <x:v>97637000</x:v>
      </x:c>
      <x:c r="P4" s="4" t="n">
        <x:v>101891000</x:v>
      </x:c>
      <x:c r="Q4" s="4" t="n">
        <x:v>1147554000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4" t="n">
        <x:v>40353000</x:v>
      </x:c>
      <x:c r="F5" s="4" t="n">
        <x:v>40161000</x:v>
      </x:c>
      <x:c r="G5" s="4" t="n">
        <x:v>35561000</x:v>
      </x:c>
      <x:c r="H5" s="4" t="n">
        <x:v>40797000</x:v>
      </x:c>
      <x:c r="I5" s="4" t="n">
        <x:v>40569000</x:v>
      </x:c>
      <x:c r="J5" s="4" t="n">
        <x:v>34050000</x:v>
      </x:c>
      <x:c r="K5" s="4" t="n">
        <x:v>39462000</x:v>
      </x:c>
      <x:c r="L5" s="4" t="n">
        <x:v>35058000</x:v>
      </x:c>
      <x:c r="M5" s="4" t="n">
        <x:v>33763000</x:v>
      </x:c>
      <x:c r="N5" s="4" t="n">
        <x:v>35198000</x:v>
      </x:c>
      <x:c r="O5" s="4" t="n">
        <x:v>37720000</x:v>
      </x:c>
      <x:c r="P5" s="4" t="n">
        <x:v>36919000</x:v>
      </x:c>
      <x:c r="Q5" s="4" t="n">
        <x:v>449611000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4" t="n">
        <x:v>27181000</x:v>
      </x:c>
      <x:c r="F6" s="4" t="n">
        <x:v>29322000</x:v>
      </x:c>
      <x:c r="G6" s="4" t="n">
        <x:v>27906000</x:v>
      </x:c>
      <x:c r="H6" s="4" t="n">
        <x:v>25234000</x:v>
      </x:c>
      <x:c r="I6" s="4" t="n">
        <x:v>28229000</x:v>
      </x:c>
      <x:c r="J6" s="4" t="n">
        <x:v>25001000</x:v>
      </x:c>
      <x:c r="K6" s="4" t="n">
        <x:v>30037000</x:v>
      </x:c>
      <x:c r="L6" s="4" t="n">
        <x:v>30423000</x:v>
      </x:c>
      <x:c r="M6" s="4" t="n">
        <x:v>29493000</x:v>
      </x:c>
      <x:c r="N6" s="4" t="n">
        <x:v>29638000</x:v>
      </x:c>
      <x:c r="O6" s="4" t="n">
        <x:v>28735000</x:v>
      </x:c>
      <x:c r="P6" s="4" t="n">
        <x:v>29368000</x:v>
      </x:c>
      <x:c r="Q6" s="4" t="n">
        <x:v>340567000</x:v>
      </x:c>
    </x:row>
    <x:row r="7">
      <x:c r="A7" t="str">
        <x:v>ADMINISTRATION</x:v>
      </x:c>
      <x:c r="B7" t="str">
        <x:v>Télécommunications / Internet</x:v>
      </x:c>
      <x:c r="C7" t="str">
        <x:v>FORT DAUPHIN</x:v>
      </x:c>
      <x:c r="D7" t="str">
        <x:v>MGA</x:v>
      </x:c>
      <x:c r="E7" s="4" t="n">
        <x:v>9518000</x:v>
      </x:c>
      <x:c r="F7" s="4" t="n">
        <x:v>8295000</x:v>
      </x:c>
      <x:c r="G7" s="4" t="n">
        <x:v>9534000</x:v>
      </x:c>
      <x:c r="H7" s="4" t="n">
        <x:v>8585000</x:v>
      </x:c>
      <x:c r="I7" s="4" t="n">
        <x:v>8856000</x:v>
      </x:c>
      <x:c r="J7" s="4" t="n">
        <x:v>7822000</x:v>
      </x:c>
      <x:c r="K7" s="4" t="n">
        <x:v>8568000</x:v>
      </x:c>
      <x:c r="L7" s="4" t="n">
        <x:v>7668000</x:v>
      </x:c>
      <x:c r="M7" s="4" t="n">
        <x:v>9044000</x:v>
      </x:c>
      <x:c r="N7" s="4" t="n">
        <x:v>8195000</x:v>
      </x:c>
      <x:c r="O7" s="4" t="n">
        <x:v>8042000</x:v>
      </x:c>
      <x:c r="P7" s="4" t="n">
        <x:v>7574000</x:v>
      </x:c>
      <x:c r="Q7" s="4" t="n">
        <x:v>101701000</x:v>
      </x:c>
    </x:row>
    <x:row r="8">
      <x:c r="A8" t="str">
        <x:v>ADMINISTRATION</x:v>
      </x:c>
      <x:c r="B8" t="str">
        <x:v>Assurances</x:v>
      </x:c>
      <x:c r="C8" t="str">
        <x:v>FORT DAUPHIN</x:v>
      </x:c>
      <x:c r="D8" t="str">
        <x:v>MGA</x:v>
      </x:c>
      <x:c r="E8" s="4" t="n">
        <x:v>15160000</x:v>
      </x:c>
      <x:c r="F8" s="4" t="n">
        <x:v>15877000</x:v>
      </x:c>
      <x:c r="G8" s="4" t="n">
        <x:v>13573000</x:v>
      </x:c>
      <x:c r="H8" s="4" t="n">
        <x:v>14055000</x:v>
      </x:c>
      <x:c r="I8" s="4" t="n">
        <x:v>14970000</x:v>
      </x:c>
      <x:c r="J8" s="4" t="n">
        <x:v>14292000</x:v>
      </x:c>
      <x:c r="K8" s="4" t="n">
        <x:v>16561000</x:v>
      </x:c>
      <x:c r="L8" s="4" t="n">
        <x:v>13671000</x:v>
      </x:c>
      <x:c r="M8" s="4" t="n">
        <x:v>15729000</x:v>
      </x:c>
      <x:c r="N8" s="4" t="n">
        <x:v>13010000</x:v>
      </x:c>
      <x:c r="O8" s="4" t="n">
        <x:v>15209000</x:v>
      </x:c>
      <x:c r="P8" s="4" t="n">
        <x:v>14745000</x:v>
      </x:c>
      <x:c r="Q8" s="4" t="n">
        <x:v>176852000</x:v>
      </x:c>
    </x:row>
    <x:row r="9">
      <x:c r="A9" t="str">
        <x:v>ADMINISTRATION</x:v>
      </x:c>
      <x:c r="B9" t="str">
        <x:v>Honoraires et conseil</x:v>
      </x:c>
      <x:c r="C9" t="str">
        <x:v>FORT DAUPHIN</x:v>
      </x:c>
      <x:c r="D9" t="str">
        <x:v>MGA</x:v>
      </x:c>
      <x:c r="E9" s="4" t="n">
        <x:v>17887000</x:v>
      </x:c>
      <x:c r="F9" s="4" t="n">
        <x:v>19654000</x:v>
      </x:c>
      <x:c r="G9" s="4" t="n">
        <x:v>20063000</x:v>
      </x:c>
      <x:c r="H9" s="4" t="n">
        <x:v>20412000</x:v>
      </x:c>
      <x:c r="I9" s="4" t="n">
        <x:v>20492000</x:v>
      </x:c>
      <x:c r="J9" s="4" t="n">
        <x:v>16745000</x:v>
      </x:c>
      <x:c r="K9" s="4" t="n">
        <x:v>18312000</x:v>
      </x:c>
      <x:c r="L9" s="4" t="n">
        <x:v>16785000</x:v>
      </x:c>
      <x:c r="M9" s="4" t="n">
        <x:v>18416000</x:v>
      </x:c>
      <x:c r="N9" s="4" t="n">
        <x:v>16714000</x:v>
      </x:c>
      <x:c r="O9" s="4" t="n">
        <x:v>19995000</x:v>
      </x:c>
      <x:c r="P9" s="4" t="n">
        <x:v>18306000</x:v>
      </x:c>
      <x:c r="Q9" s="4" t="n">
        <x:v>223781000</x:v>
      </x:c>
    </x:row>
    <x:row r="10">
      <x:c r="A10" t="str">
        <x:v>LOGISTIQUE</x:v>
      </x:c>
      <x:c r="B10" t="str">
        <x:v>Transport interne</x:v>
      </x:c>
      <x:c r="C10" t="str">
        <x:v>FORT DAUPHIN</x:v>
      </x:c>
      <x:c r="D10" t="str">
        <x:v>MGA</x:v>
      </x:c>
      <x:c r="E10" s="4" t="n">
        <x:v>47436000</x:v>
      </x:c>
      <x:c r="F10" s="4" t="n">
        <x:v>44861000</x:v>
      </x:c>
      <x:c r="G10" s="4" t="n">
        <x:v>37950000</x:v>
      </x:c>
      <x:c r="H10" s="4" t="n">
        <x:v>41964000</x:v>
      </x:c>
      <x:c r="I10" s="4" t="n">
        <x:v>41894000</x:v>
      </x:c>
      <x:c r="J10" s="4" t="n">
        <x:v>40258000</x:v>
      </x:c>
      <x:c r="K10" s="4" t="n">
        <x:v>39590000</x:v>
      </x:c>
      <x:c r="L10" s="4" t="n">
        <x:v>44502000</x:v>
      </x:c>
      <x:c r="M10" s="4" t="n">
        <x:v>39292000</x:v>
      </x:c>
      <x:c r="N10" s="4" t="n">
        <x:v>48542000</x:v>
      </x:c>
      <x:c r="O10" s="4" t="n">
        <x:v>43150000</x:v>
      </x:c>
      <x:c r="P10" s="4" t="n">
        <x:v>47346000</x:v>
      </x:c>
      <x:c r="Q10" s="4" t="n">
        <x:v>516785000</x:v>
      </x:c>
    </x:row>
    <x:row r="11">
      <x:c r="A11" t="str">
        <x:v>LOGISTIQUE</x:v>
      </x:c>
      <x:c r="B11" t="str">
        <x:v>Magasinage / manutention</x:v>
      </x:c>
      <x:c r="C11" t="str">
        <x:v>FORT DAUPHIN</x:v>
      </x:c>
      <x:c r="D11" t="str">
        <x:v>MGA</x:v>
      </x:c>
      <x:c r="E11" s="4" t="n">
        <x:v>26491000</x:v>
      </x:c>
      <x:c r="F11" s="4" t="n">
        <x:v>24337000</x:v>
      </x:c>
      <x:c r="G11" s="4" t="n">
        <x:v>25807000</x:v>
      </x:c>
      <x:c r="H11" s="4" t="n">
        <x:v>25998000</x:v>
      </x:c>
      <x:c r="I11" s="4" t="n">
        <x:v>24128000</x:v>
      </x:c>
      <x:c r="J11" s="4" t="n">
        <x:v>27632000</x:v>
      </x:c>
      <x:c r="K11" s="4" t="n">
        <x:v>22713000</x:v>
      </x:c>
      <x:c r="L11" s="4" t="n">
        <x:v>25196000</x:v>
      </x:c>
      <x:c r="M11" s="4" t="n">
        <x:v>27128000</x:v>
      </x:c>
      <x:c r="N11" s="4" t="n">
        <x:v>26223000</x:v>
      </x:c>
      <x:c r="O11" s="4" t="n">
        <x:v>24803000</x:v>
      </x:c>
      <x:c r="P11" s="4" t="n">
        <x:v>25610000</x:v>
      </x:c>
      <x:c r="Q11" s="4" t="n">
        <x:v>306066000</x:v>
      </x:c>
    </x:row>
    <x:row r="12">
      <x:c r="A12" t="str">
        <x:v>FISCAL</x:v>
      </x:c>
      <x:c r="B12" t="str">
        <x:v>Impôts et taxes</x:v>
      </x:c>
      <x:c r="C12" t="str">
        <x:v>FORT DAUPHIN</x:v>
      </x:c>
      <x:c r="D12" t="str">
        <x:v>MGA</x:v>
      </x:c>
      <x:c r="E12" s="4" t="n">
        <x:v>27581000</x:v>
      </x:c>
      <x:c r="F12" s="4" t="n">
        <x:v>32914000</x:v>
      </x:c>
      <x:c r="G12" s="4" t="n">
        <x:v>27622000</x:v>
      </x:c>
      <x:c r="H12" s="4" t="n">
        <x:v>30737000</x:v>
      </x:c>
      <x:c r="I12" s="4" t="n">
        <x:v>29338000</x:v>
      </x:c>
      <x:c r="J12" s="4" t="n">
        <x:v>32716000</x:v>
      </x:c>
      <x:c r="K12" s="4" t="n">
        <x:v>28680000</x:v>
      </x:c>
      <x:c r="L12" s="4" t="n">
        <x:v>29437000</x:v>
      </x:c>
      <x:c r="M12" s="4" t="n">
        <x:v>30825000</x:v>
      </x:c>
      <x:c r="N12" s="4" t="n">
        <x:v>29489000</x:v>
      </x:c>
      <x:c r="O12" s="4" t="n">
        <x:v>33894000</x:v>
      </x:c>
      <x:c r="P12" s="4" t="n">
        <x:v>32491000</x:v>
      </x:c>
      <x:c r="Q12" s="4" t="n">
        <x:v>365724000</x:v>
      </x:c>
    </x:row>
    <x:row r="13">
      <x:c r="A13" t="str">
        <x:v>FINANCE</x:v>
      </x:c>
      <x:c r="B13" t="str">
        <x:v>Frais bancaires</x:v>
      </x:c>
      <x:c r="C13" t="str">
        <x:v>FORT DAUPHIN</x:v>
      </x:c>
      <x:c r="D13" t="str">
        <x:v>MGA</x:v>
      </x:c>
      <x:c r="E13" s="4" t="n">
        <x:v>13653000</x:v>
      </x:c>
      <x:c r="F13" s="4" t="n">
        <x:v>12237000</x:v>
      </x:c>
      <x:c r="G13" s="4" t="n">
        <x:v>11531000</x:v>
      </x:c>
      <x:c r="H13" s="4" t="n">
        <x:v>13494000</x:v>
      </x:c>
      <x:c r="I13" s="4" t="n">
        <x:v>11666000</x:v>
      </x:c>
      <x:c r="J13" s="4" t="n">
        <x:v>13129000</x:v>
      </x:c>
      <x:c r="K13" s="4" t="n">
        <x:v>12066000</x:v>
      </x:c>
      <x:c r="L13" s="4" t="n">
        <x:v>13435000</x:v>
      </x:c>
      <x:c r="M13" s="4" t="n">
        <x:v>12257000</x:v>
      </x:c>
      <x:c r="N13" s="4" t="n">
        <x:v>13485000</x:v>
      </x:c>
      <x:c r="O13" s="4" t="n">
        <x:v>12170000</x:v>
      </x:c>
      <x:c r="P13" s="4" t="n">
        <x:v>11461000</x:v>
      </x:c>
      <x:c r="Q13" s="4" t="n">
        <x:v>150584000</x:v>
      </x:c>
    </x:row>
    <x:row r="14">
      <x:c r="A14" t="str">
        <x:v>SECURITE</x:v>
      </x:c>
      <x:c r="B14" t="str">
        <x:v>Gardiennage / sécurité</x:v>
      </x:c>
      <x:c r="C14" t="str">
        <x:v>AMPANDRANDAVA</x:v>
      </x:c>
      <x:c r="D14" t="str">
        <x:v>MGA</x:v>
      </x:c>
      <x:c r="E14" s="4" t="n">
        <x:v>18132000</x:v>
      </x:c>
      <x:c r="F14" s="4" t="n">
        <x:v>17766000</x:v>
      </x:c>
      <x:c r="G14" s="4" t="n">
        <x:v>15514000</x:v>
      </x:c>
      <x:c r="H14" s="4" t="n">
        <x:v>16110000</x:v>
      </x:c>
      <x:c r="I14" s="4" t="n">
        <x:v>18526000</x:v>
      </x:c>
      <x:c r="J14" s="4" t="n">
        <x:v>16333000</x:v>
      </x:c>
      <x:c r="K14" s="4" t="n">
        <x:v>18550000</x:v>
      </x:c>
      <x:c r="L14" s="4" t="n">
        <x:v>16862000</x:v>
      </x:c>
      <x:c r="M14" s="4" t="n">
        <x:v>15590000</x:v>
      </x:c>
      <x:c r="N14" s="4" t="n">
        <x:v>17638000</x:v>
      </x:c>
      <x:c r="O14" s="4" t="n">
        <x:v>15968000</x:v>
      </x:c>
      <x:c r="P14" s="4" t="n">
        <x:v>19107000</x:v>
      </x:c>
      <x:c r="Q14" s="4" t="n">
        <x:v>206096000</x:v>
      </x:c>
    </x:row>
    <x:row r="15">
      <x:c r="A15" s="89"/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</x:row>
    <x:row r="26">
      <x:c r="A26" s="92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6" customWidth="1"/>
    <x:col min="3" max="3" width="15" customWidth="1"/>
    <x:col min="4" max="4" width="10" customWidth="1"/>
    <x:col min="5" max="5" width="24" customWidth="1"/>
    <x:col min="6" max="6" width="10" customWidth="1"/>
    <x:col min="7" max="18" width="13" customWidth="1"/>
    <x:col min="19" max="19" width="16" customWidth="1"/>
  </x:cols>
  <x:sheetData>
    <x:row r="1" ht="40" customHeight="1">
      <x:c r="A1" s="40" t="s">
        <x:v>64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</x:row>
    <x:row r="2" ht="29.25" customHeight="1">
      <x:c r="A2" s="41" t="s">
        <x:v>65</x:v>
      </x:c>
      <x:c r="B2" s="41"/>
      <x:c r="C2" s="41"/>
      <x:c r="D2" s="41"/>
      <x:c r="E2" s="41"/>
      <x:c r="F2" s="41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</x:row>
    <x:row r="3"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 ht="34.75" customHeight="1">
      <x:c r="A4" s="43" t="s">
        <x:v>66</x:v>
      </x:c>
      <x:c r="B4" s="43"/>
      <x:c r="C4" s="43"/>
      <x:c r="D4" s="43" t="s">
        <x:v>67</x:v>
      </x:c>
      <x:c r="E4" s="43"/>
      <x:c r="F4" s="43"/>
      <x:c r="G4" s="44" t="s">
        <x:v>68</x:v>
      </x:c>
      <x:c r="H4" s="44"/>
      <x:c r="I4" s="44"/>
      <x:c r="J4" s="44" t="s">
        <x:v>69</x:v>
      </x:c>
      <x:c r="K4" s="44"/>
      <x:c r="L4" s="44"/>
      <x:c r="M4" s="44" t="s">
        <x:v>70</x:v>
      </x:c>
      <x:c r="N4" s="44"/>
      <x:c r="O4" s="44"/>
      <x:c r="P4" s="44" t="s">
        <x:v>71</x:v>
      </x:c>
      <x:c r="Q4" s="44"/>
      <x:c r="R4" s="44"/>
      <x:c r="S4" s="44"/>
    </x:row>
    <x:row r="5" ht="37.25" customHeight="1">
      <x:c r="A5" s="37" t="n">
        <x:f>SUMIF($E$10:$E$54,"Quantité exportée",$S$10:$S$54)</x:f>
        <x:v>3255.5899999999997</x:v>
      </x:c>
      <x:c r="B5" s="38"/>
      <x:c r="C5" s="38"/>
      <x:c r="D5" s="39" t="n">
        <x:f>SUMIF($E$10:$E$54,"Chiffre d'affaires MGA",$S$10:$S$54)</x:f>
        <x:v>20607958124.165005</x:v>
      </x:c>
      <x:c r="E5" s="38"/>
      <x:c r="F5" s="38"/>
      <x:c r="G5" s="39" t="n">
        <x:f>SUMIFS($S$10:$S$54,$A$10:$A$54,"Japon",$E$10:$E$54,"Chiffre d'affaires MGA")</x:f>
        <x:v>6195484541.565</x:v>
      </x:c>
      <x:c r="H5" s="34"/>
      <x:c r="I5" s="34"/>
      <x:c r="J5" s="39" t="n">
        <x:f>SUMIFS($S$10:$S$54,$A$10:$A$54,"Russie",$E$10:$E$54,"Chiffre d'affaires MGA")</x:f>
        <x:v>7339667330.800001</x:v>
      </x:c>
      <x:c r="K5" s="34"/>
      <x:c r="L5" s="34"/>
      <x:c r="M5" s="39" t="n">
        <x:f>SUMIFS($S$10:$S$54,$A$10:$A$54,"Chine",$E$10:$E$54,"Chiffre d'affaires MGA")</x:f>
        <x:v>7072806251.799999</x:v>
      </x:c>
      <x:c r="N5" s="34"/>
      <x:c r="O5" s="34"/>
      <x:c r="P5" s="34" t="s">
        <x:v>72</x:v>
      </x:c>
      <x:c r="Q5" s="34"/>
      <x:c r="R5" s="34"/>
      <x:c r="S5" s="34"/>
    </x:row>
    <x:row r="6"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ht="29.25" customHeight="1">
      <x:c r="A7" s="35" t="s">
        <x:v>73</x:v>
      </x:c>
      <x:c r="B7" s="35"/>
      <x:c r="C7" s="35"/>
      <x:c r="D7" s="35"/>
      <x:c r="E7" s="35"/>
      <x:c r="F7" s="35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</x:row>
    <x:row r="8"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ht="45.25" customHeight="1">
      <x:c r="A9" s="7" t="s">
        <x:v>23</x:v>
      </x:c>
      <x:c r="B9" s="7" t="s">
        <x:v>24</x:v>
      </x:c>
      <x:c r="C9" s="7" t="s">
        <x:v>43</x:v>
      </x:c>
      <x:c r="D9" s="7" t="s">
        <x:v>25</x:v>
      </x:c>
      <x:c r="E9" s="7" t="s">
        <x:v>74</x:v>
      </x:c>
      <x:c r="F9" s="7" t="s">
        <x:v>44</x:v>
      </x:c>
      <x:c r="G9" s="23" t="s">
        <x:v>45</x:v>
      </x:c>
      <x:c r="H9" s="23" t="s">
        <x:v>46</x:v>
      </x:c>
      <x:c r="I9" s="23" t="s">
        <x:v>47</x:v>
      </x:c>
      <x:c r="J9" s="23" t="s">
        <x:v>48</x:v>
      </x:c>
      <x:c r="K9" s="23" t="s">
        <x:v>49</x:v>
      </x:c>
      <x:c r="L9" s="23" t="s">
        <x:v>50</x:v>
      </x:c>
      <x:c r="M9" s="23" t="s">
        <x:v>51</x:v>
      </x:c>
      <x:c r="N9" s="23" t="s">
        <x:v>52</x:v>
      </x:c>
      <x:c r="O9" s="23" t="s">
        <x:v>53</x:v>
      </x:c>
      <x:c r="P9" s="23" t="s">
        <x:v>54</x:v>
      </x:c>
      <x:c r="Q9" s="23" t="s">
        <x:v>55</x:v>
      </x:c>
      <x:c r="R9" s="23" t="s">
        <x:v>56</x:v>
      </x:c>
      <x:c r="S9" s="23" t="s">
        <x:v>57</x:v>
      </x:c>
    </x:row>
    <x:row r="10">
      <x:c r="A10" s="8" t="s">
        <x:v>27</x:v>
      </x:c>
      <x:c r="B10" s="8" t="s">
        <x:v>28</x:v>
      </x:c>
      <x:c r="C10" s="9" t="s">
        <x:v>58</x:v>
      </x:c>
      <x:c r="D10" s="9" t="s">
        <x:v>29</x:v>
      </x:c>
      <x:c r="E10" s="9" t="s">
        <x:v>75</x:v>
      </x:c>
      <x:c r="F10" s="9" t="s">
        <x:v>59</x:v>
      </x:c>
      <x:c r="G10" s="24">
        <x:v>24.38</x:v>
      </x:c>
      <x:c r="H10" s="24">
        <x:v>18.59</x:v>
      </x:c>
      <x:c r="I10" s="24">
        <x:v>20.84</x:v>
      </x:c>
      <x:c r="J10" s="24">
        <x:v>23.01</x:v>
      </x:c>
      <x:c r="K10" s="24">
        <x:v>22.26</x:v>
      </x:c>
      <x:c r="L10" s="24">
        <x:v>17.25</x:v>
      </x:c>
      <x:c r="M10" s="24">
        <x:v>26.42</x:v>
      </x:c>
      <x:c r="N10" s="24">
        <x:v>25.86</x:v>
      </x:c>
      <x:c r="O10" s="24">
        <x:v>21.41</x:v>
      </x:c>
      <x:c r="P10" s="24">
        <x:v>25.93</x:v>
      </x:c>
      <x:c r="Q10" s="24">
        <x:v>29.15</x:v>
      </x:c>
      <x:c r="R10" s="24">
        <x:v>28.96</x:v>
      </x:c>
      <x:c r="S10" s="24">
        <x:v>284.06</x:v>
      </x:c>
    </x:row>
    <x:row r="11">
      <x:c r="A11" s="10" t="s">
        <x:v>27</x:v>
      </x:c>
      <x:c r="B11" s="10" t="s">
        <x:v>28</x:v>
      </x:c>
      <x:c r="C11" s="11" t="s">
        <x:v>58</x:v>
      </x:c>
      <x:c r="D11" s="11" t="s">
        <x:v>29</x:v>
      </x:c>
      <x:c r="E11" s="11" t="s">
        <x:v>76</x:v>
      </x:c>
      <x:c r="F11" s="11" t="s">
        <x:v>29</x:v>
      </x:c>
      <x:c r="G11" s="25">
        <x:v>4738633.9400000004</x:v>
      </x:c>
      <x:c r="H11" s="25">
        <x:v>3613256.97</x:v>
      </x:c>
      <x:c r="I11" s="25">
        <x:v>4050579.62</x:v>
      </x:c>
      <x:c r="J11" s="25">
        <x:v>4472353.03</x:v>
      </x:c>
      <x:c r="K11" s="25">
        <x:v>4326578.8099999996</x:v>
      </x:c>
      <x:c r="L11" s="25">
        <x:v>3352807.03</x:v>
      </x:c>
      <x:c r="M11" s="25">
        <x:v>5135139.8099999996</x:v>
      </x:c>
      <x:c r="N11" s="25">
        <x:v>5026295.0599999996</x:v>
      </x:c>
      <x:c r="O11" s="25">
        <x:v>4161368.03</x:v>
      </x:c>
      <x:c r="P11" s="25">
        <x:v>5039900.66</x:v>
      </x:c>
      <x:c r="Q11" s="25">
        <x:v>5665757.9699999997</x:v>
      </x:c>
      <x:c r="R11" s="25">
        <x:v>5628828.5</x:v>
      </x:c>
      <x:c r="S11" s="25">
        <x:v>55211499.43</x:v>
      </x:c>
    </x:row>
    <x:row r="12">
      <x:c r="A12" s="12" t="s">
        <x:v>27</x:v>
      </x:c>
      <x:c r="B12" s="12" t="s">
        <x:v>28</x:v>
      </x:c>
      <x:c r="C12" s="12" t="s">
        <x:v>58</x:v>
      </x:c>
      <x:c r="D12" s="12" t="s">
        <x:v>29</x:v>
      </x:c>
      <x:c r="E12" s="12" t="s">
        <x:v>77</x:v>
      </x:c>
      <x:c r="F12" s="12" t="s">
        <x:v>78</x:v>
      </x:c>
      <x:c r="G12" s="26" t="n">
        <x:f>IF($D12="USD",G11*'Donnees SOMIDA'!$B$5,IF($D12="JPY",G11*'Donnees SOMIDA'!$B$6,0))</x:f>
        <x:v>151162422.68600002</x:v>
      </x:c>
      <x:c r="H12" s="26" t="n">
        <x:f>IF($D12="USD",H11*'Donnees SOMIDA'!$B$5,IF($D12="JPY",H11*'Donnees SOMIDA'!$B$6,0))</x:f>
        <x:v>115262897.343</x:v>
      </x:c>
      <x:c r="I12" s="26" t="n">
        <x:f>IF($D12="USD",I11*'Donnees SOMIDA'!$B$5,IF($D12="JPY",I11*'Donnees SOMIDA'!$B$6,0))</x:f>
        <x:v>129213489.87799999</x:v>
      </x:c>
      <x:c r="J12" s="26" t="n">
        <x:f>IF($D12="USD",J11*'Donnees SOMIDA'!$B$5,IF($D12="JPY",J11*'Donnees SOMIDA'!$B$6,0))</x:f>
        <x:v>142668061.657</x:v>
      </x:c>
      <x:c r="K12" s="26" t="n">
        <x:f>IF($D12="USD",K11*'Donnees SOMIDA'!$B$5,IF($D12="JPY",K11*'Donnees SOMIDA'!$B$6,0))</x:f>
        <x:v>138017864.03899997</x:v>
      </x:c>
      <x:c r="L12" s="26" t="n">
        <x:f>IF($D12="USD",L11*'Donnees SOMIDA'!$B$5,IF($D12="JPY",L11*'Donnees SOMIDA'!$B$6,0))</x:f>
        <x:v>106954544.25699998</x:v>
      </x:c>
      <x:c r="M12" s="26" t="n">
        <x:f>IF($D12="USD",M11*'Donnees SOMIDA'!$B$5,IF($D12="JPY",M11*'Donnees SOMIDA'!$B$6,0))</x:f>
        <x:v>163810959.93899998</x:v>
      </x:c>
      <x:c r="N12" s="26" t="n">
        <x:f>IF($D12="USD",N11*'Donnees SOMIDA'!$B$5,IF($D12="JPY",N11*'Donnees SOMIDA'!$B$6,0))</x:f>
        <x:v>160338812.41399997</x:v>
      </x:c>
      <x:c r="O12" s="26" t="n">
        <x:f>IF($D12="USD",O11*'Donnees SOMIDA'!$B$5,IF($D12="JPY",O11*'Donnees SOMIDA'!$B$6,0))</x:f>
        <x:v>132747640.15699999</x:v>
      </x:c>
      <x:c r="P12" s="26" t="n">
        <x:f>IF($D12="USD",P11*'Donnees SOMIDA'!$B$5,IF($D12="JPY",P11*'Donnees SOMIDA'!$B$6,0))</x:f>
        <x:v>160772831.054</x:v>
      </x:c>
      <x:c r="Q12" s="26" t="n">
        <x:f>IF($D12="USD",Q11*'Donnees SOMIDA'!$B$5,IF($D12="JPY",Q11*'Donnees SOMIDA'!$B$6,0))</x:f>
        <x:v>180737679.24299997</x:v>
      </x:c>
      <x:c r="R12" s="26" t="n">
        <x:f>IF($D12="USD",R11*'Donnees SOMIDA'!$B$5,IF($D12="JPY",R11*'Donnees SOMIDA'!$B$6,0))</x:f>
        <x:v>179559629.15</x:v>
      </x:c>
      <x:c r="S12" s="26" t="n">
        <x:f>SUM(G12:R12)</x:f>
        <x:v>1761246831.817</x:v>
      </x:c>
    </x:row>
    <x:row r="13">
      <x:c r="A13" s="10" t="s">
        <x:v>27</x:v>
      </x:c>
      <x:c r="B13" s="10" t="s">
        <x:v>28</x:v>
      </x:c>
      <x:c r="C13" s="11" t="s">
        <x:v>60</x:v>
      </x:c>
      <x:c r="D13" s="11" t="s">
        <x:v>29</x:v>
      </x:c>
      <x:c r="E13" s="11" t="s">
        <x:v>75</x:v>
      </x:c>
      <x:c r="F13" s="11" t="s">
        <x:v>59</x:v>
      </x:c>
      <x:c r="G13" s="25">
        <x:v>21.75</x:v>
      </x:c>
      <x:c r="H13" s="25">
        <x:v>22.83</x:v>
      </x:c>
      <x:c r="I13" s="25">
        <x:v>19.920000000000002</x:v>
      </x:c>
      <x:c r="J13" s="25">
        <x:v>18.68</x:v>
      </x:c>
      <x:c r="K13" s="25">
        <x:v>15.25</x:v>
      </x:c>
      <x:c r="L13" s="25">
        <x:v>16.7</x:v>
      </x:c>
      <x:c r="M13" s="25">
        <x:v>16.48</x:v>
      </x:c>
      <x:c r="N13" s="25">
        <x:v>22.52</x:v>
      </x:c>
      <x:c r="O13" s="25">
        <x:v>20.5</x:v>
      </x:c>
      <x:c r="P13" s="25">
        <x:v>13.22</x:v>
      </x:c>
      <x:c r="Q13" s="25">
        <x:v>18.809999999999999</x:v>
      </x:c>
      <x:c r="R13" s="25">
        <x:v>15.68</x:v>
      </x:c>
      <x:c r="S13" s="25">
        <x:v>222.34</x:v>
      </x:c>
    </x:row>
    <x:row r="14">
      <x:c r="A14" s="10" t="s">
        <x:v>27</x:v>
      </x:c>
      <x:c r="B14" s="10" t="s">
        <x:v>28</x:v>
      </x:c>
      <x:c r="C14" s="11" t="s">
        <x:v>60</x:v>
      </x:c>
      <x:c r="D14" s="11" t="s">
        <x:v>29</x:v>
      </x:c>
      <x:c r="E14" s="11" t="s">
        <x:v>76</x:v>
      </x:c>
      <x:c r="F14" s="11" t="s">
        <x:v>29</x:v>
      </x:c>
      <x:c r="G14" s="25">
        <x:v>3907537.03</x:v>
      </x:c>
      <x:c r="H14" s="25">
        <x:v>4101566.46</x:v>
      </x:c>
      <x:c r="I14" s="25">
        <x:v>3578764.95</x:v>
      </x:c>
      <x:c r="J14" s="25">
        <x:v>3355990.42</x:v>
      </x:c>
      <x:c r="K14" s="25">
        <x:v>2739767.34</x:v>
      </x:c>
      <x:c r="L14" s="25">
        <x:v>3000269.81</x:v>
      </x:c>
      <x:c r="M14" s="25">
        <x:v>2960745.3</x:v>
      </x:c>
      <x:c r="N14" s="25">
        <x:v>4045872.82</x:v>
      </x:c>
      <x:c r="O14" s="25">
        <x:v>3682965.94</x:v>
      </x:c>
      <x:c r="P14" s="25">
        <x:v>2375063.89</x:v>
      </x:c>
      <x:c r="Q14" s="25">
        <x:v>3379345.82</x:v>
      </x:c>
      <x:c r="R14" s="25">
        <x:v>2817019.8</x:v>
      </x:c>
      <x:c r="S14" s="25">
        <x:v>39944909.579999998</x:v>
      </x:c>
    </x:row>
    <x:row r="15">
      <x:c r="A15" s="12" t="s">
        <x:v>27</x:v>
      </x:c>
      <x:c r="B15" s="12" t="s">
        <x:v>28</x:v>
      </x:c>
      <x:c r="C15" s="12" t="s">
        <x:v>60</x:v>
      </x:c>
      <x:c r="D15" s="12" t="s">
        <x:v>29</x:v>
      </x:c>
      <x:c r="E15" s="12" t="s">
        <x:v>77</x:v>
      </x:c>
      <x:c r="F15" s="12" t="s">
        <x:v>78</x:v>
      </x:c>
      <x:c r="G15" s="26" t="n">
        <x:f>IF($D15="USD",G14*'Donnees SOMIDA'!$B$5,IF($D15="JPY",G14*'Donnees SOMIDA'!$B$6,0))</x:f>
        <x:v>124650431.25699998</x:v>
      </x:c>
      <x:c r="H15" s="26" t="n">
        <x:f>IF($D15="USD",H14*'Donnees SOMIDA'!$B$5,IF($D15="JPY",H14*'Donnees SOMIDA'!$B$6,0))</x:f>
        <x:v>130839970.07399999</x:v>
      </x:c>
      <x:c r="I15" s="26" t="n">
        <x:f>IF($D15="USD",I14*'Donnees SOMIDA'!$B$5,IF($D15="JPY",I14*'Donnees SOMIDA'!$B$6,0))</x:f>
        <x:v>114162601.905</x:v>
      </x:c>
      <x:c r="J15" s="26" t="n">
        <x:f>IF($D15="USD",J14*'Donnees SOMIDA'!$B$5,IF($D15="JPY",J14*'Donnees SOMIDA'!$B$6,0))</x:f>
        <x:v>107056094.39799999</x:v>
      </x:c>
      <x:c r="K15" s="26" t="n">
        <x:f>IF($D15="USD",K14*'Donnees SOMIDA'!$B$5,IF($D15="JPY",K14*'Donnees SOMIDA'!$B$6,0))</x:f>
        <x:v>87398578.146</x:v>
      </x:c>
      <x:c r="L15" s="26" t="n">
        <x:f>IF($D15="USD",L14*'Donnees SOMIDA'!$B$5,IF($D15="JPY",L14*'Donnees SOMIDA'!$B$6,0))</x:f>
        <x:v>95708606.939</x:v>
      </x:c>
      <x:c r="M15" s="26" t="n">
        <x:f>IF($D15="USD",M14*'Donnees SOMIDA'!$B$5,IF($D15="JPY",M14*'Donnees SOMIDA'!$B$6,0))</x:f>
        <x:v>94447775.07</x:v>
      </x:c>
      <x:c r="N15" s="26" t="n">
        <x:f>IF($D15="USD",N14*'Donnees SOMIDA'!$B$5,IF($D15="JPY",N14*'Donnees SOMIDA'!$B$6,0))</x:f>
        <x:v>129063342.95799999</x:v>
      </x:c>
      <x:c r="O15" s="26" t="n">
        <x:f>IF($D15="USD",O14*'Donnees SOMIDA'!$B$5,IF($D15="JPY",O14*'Donnees SOMIDA'!$B$6,0))</x:f>
        <x:v>117486613.48599999</x:v>
      </x:c>
      <x:c r="P15" s="26" t="n">
        <x:f>IF($D15="USD",P14*'Donnees SOMIDA'!$B$5,IF($D15="JPY",P14*'Donnees SOMIDA'!$B$6,0))</x:f>
        <x:v>75764538.091</x:v>
      </x:c>
      <x:c r="Q15" s="26" t="n">
        <x:f>IF($D15="USD",Q14*'Donnees SOMIDA'!$B$5,IF($D15="JPY",Q14*'Donnees SOMIDA'!$B$6,0))</x:f>
        <x:v>107801131.65799999</x:v>
      </x:c>
      <x:c r="R15" s="26" t="n">
        <x:f>IF($D15="USD",R14*'Donnees SOMIDA'!$B$5,IF($D15="JPY",R14*'Donnees SOMIDA'!$B$6,0))</x:f>
        <x:v>89862931.61999999</x:v>
      </x:c>
      <x:c r="S15" s="26" t="n">
        <x:f>SUM(G15:R15)</x:f>
        <x:v>1274242615.6019998</x:v>
      </x:c>
    </x:row>
    <x:row r="16">
      <x:c r="A16" s="10" t="s">
        <x:v>27</x:v>
      </x:c>
      <x:c r="B16" s="10" t="s">
        <x:v>28</x:v>
      </x:c>
      <x:c r="C16" s="11" t="s">
        <x:v>61</x:v>
      </x:c>
      <x:c r="D16" s="11" t="s">
        <x:v>29</x:v>
      </x:c>
      <x:c r="E16" s="11" t="s">
        <x:v>75</x:v>
      </x:c>
      <x:c r="F16" s="11" t="s">
        <x:v>59</x:v>
      </x:c>
      <x:c r="G16" s="25">
        <x:v>14.57</x:v>
      </x:c>
      <x:c r="H16" s="25">
        <x:v>17.37</x:v>
      </x:c>
      <x:c r="I16" s="25">
        <x:v>15.3</x:v>
      </x:c>
      <x:c r="J16" s="25">
        <x:v>18.57</x:v>
      </x:c>
      <x:c r="K16" s="25">
        <x:v>15.85</x:v>
      </x:c>
      <x:c r="L16" s="25">
        <x:v>19.57</x:v>
      </x:c>
      <x:c r="M16" s="25">
        <x:v>14.62</x:v>
      </x:c>
      <x:c r="N16" s="25">
        <x:v>11.91</x:v>
      </x:c>
      <x:c r="O16" s="25">
        <x:v>13.55</x:v>
      </x:c>
      <x:c r="P16" s="25">
        <x:v>12.66</x:v>
      </x:c>
      <x:c r="Q16" s="25">
        <x:v>19.23</x:v>
      </x:c>
      <x:c r="R16" s="25">
        <x:v>13.99</x:v>
      </x:c>
      <x:c r="S16" s="25">
        <x:v>187.19</x:v>
      </x:c>
    </x:row>
    <x:row r="17">
      <x:c r="A17" s="10" t="s">
        <x:v>27</x:v>
      </x:c>
      <x:c r="B17" s="10" t="s">
        <x:v>28</x:v>
      </x:c>
      <x:c r="C17" s="11" t="s">
        <x:v>61</x:v>
      </x:c>
      <x:c r="D17" s="11" t="s">
        <x:v>29</x:v>
      </x:c>
      <x:c r="E17" s="11" t="s">
        <x:v>76</x:v>
      </x:c>
      <x:c r="F17" s="11" t="s">
        <x:v>29</x:v>
      </x:c>
      <x:c r="G17" s="25">
        <x:v>2525755.0299999998</x:v>
      </x:c>
      <x:c r="H17" s="25">
        <x:v>3011143.78</x:v>
      </x:c>
      <x:c r="I17" s="25">
        <x:v>2652302.81</x:v>
      </x:c>
      <x:c r="J17" s="25">
        <x:v>3219167.53</x:v>
      </x:c>
      <x:c r="K17" s="25">
        <x:v>2747647.03</x:v>
      </x:c>
      <x:c r="L17" s="25">
        <x:v>3392520.66</x:v>
      </x:c>
      <x:c r="M17" s="25">
        <x:v>2534422.69</x:v>
      </x:c>
      <x:c r="N17" s="25">
        <x:v>2064635.72</x:v>
      </x:c>
      <x:c r="O17" s="25">
        <x:v>2348934.84</x:v>
      </x:c>
      <x:c r="P17" s="25">
        <x:v>2194650.56</x:v>
      </x:c>
      <x:c r="Q17" s="25">
        <x:v>3333580.59</x:v>
      </x:c>
      <x:c r="R17" s="25">
        <x:v>2425210.2200000002</x:v>
      </x:c>
      <x:c r="S17" s="25">
        <x:v>32449971.460000001</x:v>
      </x:c>
    </x:row>
    <x:row r="18">
      <x:c r="A18" s="12" t="s">
        <x:v>27</x:v>
      </x:c>
      <x:c r="B18" s="12" t="s">
        <x:v>28</x:v>
      </x:c>
      <x:c r="C18" s="12" t="s">
        <x:v>61</x:v>
      </x:c>
      <x:c r="D18" s="12" t="s">
        <x:v>29</x:v>
      </x:c>
      <x:c r="E18" s="12" t="s">
        <x:v>77</x:v>
      </x:c>
      <x:c r="F18" s="12" t="s">
        <x:v>78</x:v>
      </x:c>
      <x:c r="G18" s="26" t="n">
        <x:f>IF($D18="USD",G17*'Donnees SOMIDA'!$B$5,IF($D18="JPY",G17*'Donnees SOMIDA'!$B$6,0))</x:f>
        <x:v>80571585.45699999</x:v>
      </x:c>
      <x:c r="H18" s="26" t="n">
        <x:f>IF($D18="USD",H17*'Donnees SOMIDA'!$B$5,IF($D18="JPY",H17*'Donnees SOMIDA'!$B$6,0))</x:f>
        <x:v>96055486.58199999</x:v>
      </x:c>
      <x:c r="I18" s="26" t="n">
        <x:f>IF($D18="USD",I17*'Donnees SOMIDA'!$B$5,IF($D18="JPY",I17*'Donnees SOMIDA'!$B$6,0))</x:f>
        <x:v>84608459.639</x:v>
      </x:c>
      <x:c r="J18" s="26" t="n">
        <x:f>IF($D18="USD",J17*'Donnees SOMIDA'!$B$5,IF($D18="JPY",J17*'Donnees SOMIDA'!$B$6,0))</x:f>
        <x:v>102691444.20699999</x:v>
      </x:c>
      <x:c r="K18" s="26" t="n">
        <x:f>IF($D18="USD",K17*'Donnees SOMIDA'!$B$5,IF($D18="JPY",K17*'Donnees SOMIDA'!$B$6,0))</x:f>
        <x:v>87649940.25699998</x:v>
      </x:c>
      <x:c r="L18" s="26" t="n">
        <x:f>IF($D18="USD",L17*'Donnees SOMIDA'!$B$5,IF($D18="JPY",L17*'Donnees SOMIDA'!$B$6,0))</x:f>
        <x:v>108221409.054</x:v>
      </x:c>
      <x:c r="M18" s="26" t="n">
        <x:f>IF($D18="USD",M17*'Donnees SOMIDA'!$B$5,IF($D18="JPY",M17*'Donnees SOMIDA'!$B$6,0))</x:f>
        <x:v>80848083.81099999</x:v>
      </x:c>
      <x:c r="N18" s="26" t="n">
        <x:f>IF($D18="USD",N17*'Donnees SOMIDA'!$B$5,IF($D18="JPY",N17*'Donnees SOMIDA'!$B$6,0))</x:f>
        <x:v>65861879.467999995</x:v>
      </x:c>
      <x:c r="O18" s="26" t="n">
        <x:f>IF($D18="USD",O17*'Donnees SOMIDA'!$B$5,IF($D18="JPY",O17*'Donnees SOMIDA'!$B$6,0))</x:f>
        <x:v>74931021.396</x:v>
      </x:c>
      <x:c r="P18" s="26" t="n">
        <x:f>IF($D18="USD",P17*'Donnees SOMIDA'!$B$5,IF($D18="JPY",P17*'Donnees SOMIDA'!$B$6,0))</x:f>
        <x:v>70009352.864</x:v>
      </x:c>
      <x:c r="Q18" s="26" t="n">
        <x:f>IF($D18="USD",Q17*'Donnees SOMIDA'!$B$5,IF($D18="JPY",Q17*'Donnees SOMIDA'!$B$6,0))</x:f>
        <x:v>106341220.821</x:v>
      </x:c>
      <x:c r="R18" s="26" t="n">
        <x:f>IF($D18="USD",R17*'Donnees SOMIDA'!$B$5,IF($D18="JPY",R17*'Donnees SOMIDA'!$B$6,0))</x:f>
        <x:v>77364206.018</x:v>
      </x:c>
      <x:c r="S18" s="26" t="n">
        <x:f>SUM(G18:R18)</x:f>
        <x:v>1035154089.5739999</x:v>
      </x:c>
    </x:row>
    <x:row r="19">
      <x:c r="A19" s="10" t="s">
        <x:v>27</x:v>
      </x:c>
      <x:c r="B19" s="10" t="s">
        <x:v>28</x:v>
      </x:c>
      <x:c r="C19" s="11" t="s">
        <x:v>62</x:v>
      </x:c>
      <x:c r="D19" s="11" t="s">
        <x:v>29</x:v>
      </x:c>
      <x:c r="E19" s="11" t="s">
        <x:v>75</x:v>
      </x:c>
      <x:c r="F19" s="11" t="s">
        <x:v>59</x:v>
      </x:c>
      <x:c r="G19" s="25">
        <x:v>15.64</x:v>
      </x:c>
      <x:c r="H19" s="25">
        <x:v>17.940000000000001</x:v>
      </x:c>
      <x:c r="I19" s="25">
        <x:v>20.91</x:v>
      </x:c>
      <x:c r="J19" s="25">
        <x:v>18.75</x:v>
      </x:c>
      <x:c r="K19" s="25">
        <x:v>22.99</x:v>
      </x:c>
      <x:c r="L19" s="25">
        <x:v>16.37</x:v>
      </x:c>
      <x:c r="M19" s="25">
        <x:v>23.73</x:v>
      </x:c>
      <x:c r="N19" s="25">
        <x:v>21.89</x:v>
      </x:c>
      <x:c r="O19" s="25">
        <x:v>15.56</x:v>
      </x:c>
      <x:c r="P19" s="25">
        <x:v>16.57</x:v>
      </x:c>
      <x:c r="Q19" s="25">
        <x:v>19.38</x:v>
      </x:c>
      <x:c r="R19" s="25">
        <x:v>18.059999999999999</x:v>
      </x:c>
      <x:c r="S19" s="25">
        <x:v>227.79</x:v>
      </x:c>
    </x:row>
    <x:row r="20">
      <x:c r="A20" s="10" t="s">
        <x:v>27</x:v>
      </x:c>
      <x:c r="B20" s="10" t="s">
        <x:v>28</x:v>
      </x:c>
      <x:c r="C20" s="11" t="s">
        <x:v>62</x:v>
      </x:c>
      <x:c r="D20" s="11" t="s">
        <x:v>29</x:v>
      </x:c>
      <x:c r="E20" s="11" t="s">
        <x:v>76</x:v>
      </x:c>
      <x:c r="F20" s="11" t="s">
        <x:v>29</x:v>
      </x:c>
      <x:c r="G20" s="25">
        <x:v>2924855.95</x:v>
      </x:c>
      <x:c r="H20" s="25">
        <x:v>3354981.83</x:v>
      </x:c>
      <x:c r="I20" s="25">
        <x:v>3910405.24</x:v>
      </x:c>
      <x:c r="J20" s="25">
        <x:v>3506460.94</x:v>
      </x:c>
      <x:c r="K20" s="25">
        <x:v>4299388.6399999997</x:v>
      </x:c>
      <x:c r="L20" s="25">
        <x:v>3061374.16</x:v>
      </x:c>
      <x:c r="M20" s="25">
        <x:v>4437776.96</x:v>
      </x:c>
      <x:c r="N20" s="25">
        <x:v>4093676.26</x:v>
      </x:c>
      <x:c r="O20" s="25">
        <x:v>2909895.05</x:v>
      </x:c>
      <x:c r="P20" s="25">
        <x:v>3098776.41</x:v>
      </x:c>
      <x:c r="Q20" s="25">
        <x:v>3624278.02</x:v>
      </x:c>
      <x:c r="R20" s="25">
        <x:v>3377423.17</x:v>
      </x:c>
      <x:c r="S20" s="25">
        <x:v>42599292.630000003</x:v>
      </x:c>
    </x:row>
    <x:row r="21">
      <x:c r="A21" s="12" t="s">
        <x:v>27</x:v>
      </x:c>
      <x:c r="B21" s="12" t="s">
        <x:v>28</x:v>
      </x:c>
      <x:c r="C21" s="12" t="s">
        <x:v>62</x:v>
      </x:c>
      <x:c r="D21" s="12" t="s">
        <x:v>29</x:v>
      </x:c>
      <x:c r="E21" s="12" t="s">
        <x:v>77</x:v>
      </x:c>
      <x:c r="F21" s="12" t="s">
        <x:v>78</x:v>
      </x:c>
      <x:c r="G21" s="26" t="n">
        <x:f>IF($D21="USD",G20*'Donnees SOMIDA'!$B$5,IF($D21="JPY",G20*'Donnees SOMIDA'!$B$6,0))</x:f>
        <x:v>93302904.805</x:v>
      </x:c>
      <x:c r="H21" s="26" t="n">
        <x:f>IF($D21="USD",H20*'Donnees SOMIDA'!$B$5,IF($D21="JPY",H20*'Donnees SOMIDA'!$B$6,0))</x:f>
        <x:v>107023920.377</x:v>
      </x:c>
      <x:c r="I21" s="26" t="n">
        <x:f>IF($D21="USD",I20*'Donnees SOMIDA'!$B$5,IF($D21="JPY",I20*'Donnees SOMIDA'!$B$6,0))</x:f>
        <x:v>124741927.156</x:v>
      </x:c>
      <x:c r="J21" s="26" t="n">
        <x:f>IF($D21="USD",J20*'Donnees SOMIDA'!$B$5,IF($D21="JPY",J20*'Donnees SOMIDA'!$B$6,0))</x:f>
        <x:v>111856103.98599999</x:v>
      </x:c>
      <x:c r="K21" s="26" t="n">
        <x:f>IF($D21="USD",K20*'Donnees SOMIDA'!$B$5,IF($D21="JPY",K20*'Donnees SOMIDA'!$B$6,0))</x:f>
        <x:v>137150497.616</x:v>
      </x:c>
      <x:c r="L21" s="26" t="n">
        <x:f>IF($D21="USD",L20*'Donnees SOMIDA'!$B$5,IF($D21="JPY",L20*'Donnees SOMIDA'!$B$6,0))</x:f>
        <x:v>97657835.704</x:v>
      </x:c>
      <x:c r="M21" s="26" t="n">
        <x:f>IF($D21="USD",M20*'Donnees SOMIDA'!$B$5,IF($D21="JPY",M20*'Donnees SOMIDA'!$B$6,0))</x:f>
        <x:v>141565085.024</x:v>
      </x:c>
      <x:c r="N21" s="26" t="n">
        <x:f>IF($D21="USD",N20*'Donnees SOMIDA'!$B$5,IF($D21="JPY",N20*'Donnees SOMIDA'!$B$6,0))</x:f>
        <x:v>130588272.69399999</x:v>
      </x:c>
      <x:c r="O21" s="26" t="n">
        <x:f>IF($D21="USD",O20*'Donnees SOMIDA'!$B$5,IF($D21="JPY",O20*'Donnees SOMIDA'!$B$6,0))</x:f>
        <x:v>92825652.09499998</x:v>
      </x:c>
      <x:c r="P21" s="26" t="n">
        <x:f>IF($D21="USD",P20*'Donnees SOMIDA'!$B$5,IF($D21="JPY",P20*'Donnees SOMIDA'!$B$6,0))</x:f>
        <x:v>98850967.479</x:v>
      </x:c>
      <x:c r="Q21" s="26" t="n">
        <x:f>IF($D21="USD",Q20*'Donnees SOMIDA'!$B$5,IF($D21="JPY",Q20*'Donnees SOMIDA'!$B$6,0))</x:f>
        <x:v>115614468.838</x:v>
      </x:c>
      <x:c r="R21" s="26" t="n">
        <x:f>IF($D21="USD",R20*'Donnees SOMIDA'!$B$5,IF($D21="JPY",R20*'Donnees SOMIDA'!$B$6,0))</x:f>
        <x:v>107739799.123</x:v>
      </x:c>
      <x:c r="S21" s="26" t="n">
        <x:f>SUM(G21:R21)</x:f>
        <x:v>1358917434.897</x:v>
      </x:c>
    </x:row>
    <x:row r="22">
      <x:c r="A22" s="10" t="s">
        <x:v>27</x:v>
      </x:c>
      <x:c r="B22" s="10" t="s">
        <x:v>28</x:v>
      </x:c>
      <x:c r="C22" s="11" t="s">
        <x:v>63</x:v>
      </x:c>
      <x:c r="D22" s="11" t="s">
        <x:v>29</x:v>
      </x:c>
      <x:c r="E22" s="11" t="s">
        <x:v>75</x:v>
      </x:c>
      <x:c r="F22" s="11" t="s">
        <x:v>59</x:v>
      </x:c>
      <x:c r="G22" s="25">
        <x:v>12.59</x:v>
      </x:c>
      <x:c r="H22" s="25">
        <x:v>13.62</x:v>
      </x:c>
      <x:c r="I22" s="25">
        <x:v>10.48</x:v>
      </x:c>
      <x:c r="J22" s="25">
        <x:v>11.48</x:v>
      </x:c>
      <x:c r="K22" s="25">
        <x:v>13.34</x:v>
      </x:c>
      <x:c r="L22" s="25">
        <x:v>14.38</x:v>
      </x:c>
      <x:c r="M22" s="25">
        <x:v>14.16</x:v>
      </x:c>
      <x:c r="N22" s="25">
        <x:v>13.28</x:v>
      </x:c>
      <x:c r="O22" s="25">
        <x:v>10.029999999999999</x:v>
      </x:c>
      <x:c r="P22" s="25">
        <x:v>11.21</x:v>
      </x:c>
      <x:c r="Q22" s="25">
        <x:v>12.28</x:v>
      </x:c>
      <x:c r="R22" s="25">
        <x:v>10.59</x:v>
      </x:c>
      <x:c r="S22" s="25">
        <x:v>147.44</x:v>
      </x:c>
    </x:row>
    <x:row r="23">
      <x:c r="A23" s="10" t="s">
        <x:v>27</x:v>
      </x:c>
      <x:c r="B23" s="10" t="s">
        <x:v>28</x:v>
      </x:c>
      <x:c r="C23" s="11" t="s">
        <x:v>63</x:v>
      </x:c>
      <x:c r="D23" s="11" t="s">
        <x:v>29</x:v>
      </x:c>
      <x:c r="E23" s="11" t="s">
        <x:v>76</x:v>
      </x:c>
      <x:c r="F23" s="11" t="s">
        <x:v>29</x:v>
      </x:c>
      <x:c r="G23" s="25">
        <x:v>2050242.16</x:v>
      </x:c>
      <x:c r="H23" s="25">
        <x:v>2217974.44</x:v>
      </x:c>
      <x:c r="I23" s="25">
        <x:v>1706635.25</x:v>
      </x:c>
      <x:c r="J23" s="25">
        <x:v>1869482.12</x:v>
      </x:c>
      <x:c r="K23" s="25">
        <x:v>2172377.31</x:v>
      </x:c>
      <x:c r="L23" s="25">
        <x:v>2341738.06</x:v>
      </x:c>
      <x:c r="M23" s="25">
        <x:v>2305911.75</x:v>
      </x:c>
      <x:c r="N23" s="25">
        <x:v>2162606.5</x:v>
      </x:c>
      <x:c r="O23" s="25">
        <x:v>1633354.16</x:v>
      </x:c>
      <x:c r="P23" s="25">
        <x:v>1825513.47</x:v>
      </x:c>
      <x:c r="Q23" s="25">
        <x:v>1999759.62</x:v>
      </x:c>
      <x:c r="R23" s="25">
        <x:v>1724548.41</x:v>
      </x:c>
      <x:c r="S23" s="25">
        <x:v>24010143.25</x:v>
      </x:c>
    </x:row>
    <x:row r="24">
      <x:c r="A24" s="12" t="s">
        <x:v>27</x:v>
      </x:c>
      <x:c r="B24" s="12" t="s">
        <x:v>28</x:v>
      </x:c>
      <x:c r="C24" s="12" t="s">
        <x:v>63</x:v>
      </x:c>
      <x:c r="D24" s="12" t="s">
        <x:v>29</x:v>
      </x:c>
      <x:c r="E24" s="12" t="s">
        <x:v>77</x:v>
      </x:c>
      <x:c r="F24" s="12" t="s">
        <x:v>78</x:v>
      </x:c>
      <x:c r="G24" s="26" t="n">
        <x:f>IF($D24="USD",G23*'Donnees SOMIDA'!$B$5,IF($D24="JPY",G23*'Donnees SOMIDA'!$B$6,0))</x:f>
        <x:v>65402724.90399999</x:v>
      </x:c>
      <x:c r="H24" s="26" t="n">
        <x:f>IF($D24="USD",H23*'Donnees SOMIDA'!$B$5,IF($D24="JPY",H23*'Donnees SOMIDA'!$B$6,0))</x:f>
        <x:v>70753384.63599999</x:v>
      </x:c>
      <x:c r="I24" s="26" t="n">
        <x:f>IF($D24="USD",I23*'Donnees SOMIDA'!$B$5,IF($D24="JPY",I23*'Donnees SOMIDA'!$B$6,0))</x:f>
        <x:v>54441664.474999994</x:v>
      </x:c>
      <x:c r="J24" s="26" t="n">
        <x:f>IF($D24="USD",J23*'Donnees SOMIDA'!$B$5,IF($D24="JPY",J23*'Donnees SOMIDA'!$B$6,0))</x:f>
        <x:v>59636479.628</x:v>
      </x:c>
      <x:c r="K24" s="26" t="n">
        <x:f>IF($D24="USD",K23*'Donnees SOMIDA'!$B$5,IF($D24="JPY",K23*'Donnees SOMIDA'!$B$6,0))</x:f>
        <x:v>69298836.189</x:v>
      </x:c>
      <x:c r="L24" s="26" t="n">
        <x:f>IF($D24="USD",L23*'Donnees SOMIDA'!$B$5,IF($D24="JPY",L23*'Donnees SOMIDA'!$B$6,0))</x:f>
        <x:v>74701444.114</x:v>
      </x:c>
      <x:c r="M24" s="26" t="n">
        <x:f>IF($D24="USD",M23*'Donnees SOMIDA'!$B$5,IF($D24="JPY",M23*'Donnees SOMIDA'!$B$6,0))</x:f>
        <x:v>73558584.825</x:v>
      </x:c>
      <x:c r="N24" s="26" t="n">
        <x:f>IF($D24="USD",N23*'Donnees SOMIDA'!$B$5,IF($D24="JPY",N23*'Donnees SOMIDA'!$B$6,0))</x:f>
        <x:v>68987147.35</x:v>
      </x:c>
      <x:c r="O24" s="26" t="n">
        <x:f>IF($D24="USD",O23*'Donnees SOMIDA'!$B$5,IF($D24="JPY",O23*'Donnees SOMIDA'!$B$6,0))</x:f>
        <x:v>52103997.703999996</x:v>
      </x:c>
      <x:c r="P24" s="26" t="n">
        <x:f>IF($D24="USD",P23*'Donnees SOMIDA'!$B$5,IF($D24="JPY",P23*'Donnees SOMIDA'!$B$6,0))</x:f>
        <x:v>58233879.692999996</x:v>
      </x:c>
      <x:c r="Q24" s="26" t="n">
        <x:f>IF($D24="USD",Q23*'Donnees SOMIDA'!$B$5,IF($D24="JPY",Q23*'Donnees SOMIDA'!$B$6,0))</x:f>
        <x:v>63792331.878</x:v>
      </x:c>
      <x:c r="R24" s="26" t="n">
        <x:f>IF($D24="USD",R23*'Donnees SOMIDA'!$B$5,IF($D24="JPY",R23*'Donnees SOMIDA'!$B$6,0))</x:f>
        <x:v>55013094.27899999</x:v>
      </x:c>
      <x:c r="S24" s="26" t="n">
        <x:f>SUM(G24:R24)</x:f>
        <x:v>765923569.675</x:v>
      </x:c>
    </x:row>
    <x:row r="25">
      <x:c r="A25" s="13" t="s">
        <x:v>30</x:v>
      </x:c>
      <x:c r="B25" s="13" t="s">
        <x:v>31</x:v>
      </x:c>
      <x:c r="C25" s="14" t="s">
        <x:v>58</x:v>
      </x:c>
      <x:c r="D25" s="14" t="s">
        <x:v>32</x:v>
      </x:c>
      <x:c r="E25" s="14" t="s">
        <x:v>75</x:v>
      </x:c>
      <x:c r="F25" s="14" t="s">
        <x:v>59</x:v>
      </x:c>
      <x:c r="G25" s="27">
        <x:v>26.66</x:v>
      </x:c>
      <x:c r="H25" s="27">
        <x:v>30.01</x:v>
      </x:c>
      <x:c r="I25" s="27">
        <x:v>30.01</x:v>
      </x:c>
      <x:c r="J25" s="27">
        <x:v>28.98</x:v>
      </x:c>
      <x:c r="K25" s="27">
        <x:v>25.65</x:v>
      </x:c>
      <x:c r="L25" s="27">
        <x:v>21.47</x:v>
      </x:c>
      <x:c r="M25" s="27">
        <x:v>21.55</x:v>
      </x:c>
      <x:c r="N25" s="27">
        <x:v>24.97</x:v>
      </x:c>
      <x:c r="O25" s="27">
        <x:v>20.34</x:v>
      </x:c>
      <x:c r="P25" s="27">
        <x:v>28.63</x:v>
      </x:c>
      <x:c r="Q25" s="27">
        <x:v>28.04</x:v>
      </x:c>
      <x:c r="R25" s="27">
        <x:v>17.45</x:v>
      </x:c>
      <x:c r="S25" s="27">
        <x:v>303.76</x:v>
      </x:c>
    </x:row>
    <x:row r="26">
      <x:c r="A26" s="15" t="s">
        <x:v>30</x:v>
      </x:c>
      <x:c r="B26" s="15" t="s">
        <x:v>31</x:v>
      </x:c>
      <x:c r="C26" s="16" t="s">
        <x:v>58</x:v>
      </x:c>
      <x:c r="D26" s="16" t="s">
        <x:v>32</x:v>
      </x:c>
      <x:c r="E26" s="16" t="s">
        <x:v>76</x:v>
      </x:c>
      <x:c r="F26" s="16" t="s">
        <x:v>32</x:v>
      </x:c>
      <x:c r="G26" s="28">
        <x:v>40614.01</x:v>
      </x:c>
      <x:c r="H26" s="28">
        <x:v>45717.42</x:v>
      </x:c>
      <x:c r="I26" s="28">
        <x:v>45717.42</x:v>
      </x:c>
      <x:c r="J26" s="28">
        <x:v>44148.31</x:v>
      </x:c>
      <x:c r="K26" s="28">
        <x:v>39075.370000000003</x:v>
      </x:c>
      <x:c r="L26" s="28">
        <x:v>32707.53</x:v>
      </x:c>
      <x:c r="M26" s="28">
        <x:v>32829.4</x:v>
      </x:c>
      <x:c r="N26" s="28">
        <x:v>38039.449999999997</x:v>
      </x:c>
      <x:c r="O26" s="28">
        <x:v>30986.080000000002</x:v>
      </x:c>
      <x:c r="P26" s="28">
        <x:v>43615.12</x:v>
      </x:c>
      <x:c r="Q26" s="28">
        <x:v>42716.31</x:v>
      </x:c>
      <x:c r="R26" s="28">
        <x:v>26583.439999999999</x:v>
      </x:c>
      <x:c r="S26" s="28">
        <x:v>462749.86</x:v>
      </x:c>
    </x:row>
    <x:row r="27">
      <x:c r="A27" s="17" t="s">
        <x:v>30</x:v>
      </x:c>
      <x:c r="B27" s="17" t="s">
        <x:v>31</x:v>
      </x:c>
      <x:c r="C27" s="17" t="s">
        <x:v>58</x:v>
      </x:c>
      <x:c r="D27" s="17" t="s">
        <x:v>32</x:v>
      </x:c>
      <x:c r="E27" s="17" t="s">
        <x:v>77</x:v>
      </x:c>
      <x:c r="F27" s="17" t="s">
        <x:v>78</x:v>
      </x:c>
      <x:c r="G27" s="29" t="n">
        <x:f>IF($D27="USD",G26*'Donnees SOMIDA'!$B$5,IF($D27="JPY",G26*'Donnees SOMIDA'!$B$6,0))</x:f>
        <x:v>189667426.70000002</x:v>
      </x:c>
      <x:c r="H27" s="29" t="n">
        <x:f>IF($D27="USD",H26*'Donnees SOMIDA'!$B$5,IF($D27="JPY",H26*'Donnees SOMIDA'!$B$6,0))</x:f>
        <x:v>213500351.4</x:v>
      </x:c>
      <x:c r="I27" s="29" t="n">
        <x:f>IF($D27="USD",I26*'Donnees SOMIDA'!$B$5,IF($D27="JPY",I26*'Donnees SOMIDA'!$B$6,0))</x:f>
        <x:v>213500351.4</x:v>
      </x:c>
      <x:c r="J27" s="29" t="n">
        <x:f>IF($D27="USD",J26*'Donnees SOMIDA'!$B$5,IF($D27="JPY",J26*'Donnees SOMIDA'!$B$6,0))</x:f>
        <x:v>206172607.7</x:v>
      </x:c>
      <x:c r="K27" s="29" t="n">
        <x:f>IF($D27="USD",K26*'Donnees SOMIDA'!$B$5,IF($D27="JPY",K26*'Donnees SOMIDA'!$B$6,0))</x:f>
        <x:v>182481977.9</x:v>
      </x:c>
      <x:c r="L27" s="29" t="n">
        <x:f>IF($D27="USD",L26*'Donnees SOMIDA'!$B$5,IF($D27="JPY",L26*'Donnees SOMIDA'!$B$6,0))</x:f>
        <x:v>152744165.1</x:v>
      </x:c>
      <x:c r="M27" s="29" t="n">
        <x:f>IF($D27="USD",M26*'Donnees SOMIDA'!$B$5,IF($D27="JPY",M26*'Donnees SOMIDA'!$B$6,0))</x:f>
        <x:v>153313298</x:v>
      </x:c>
      <x:c r="N27" s="29" t="n">
        <x:f>IF($D27="USD",N26*'Donnees SOMIDA'!$B$5,IF($D27="JPY",N26*'Donnees SOMIDA'!$B$6,0))</x:f>
        <x:v>177644231.5</x:v>
      </x:c>
      <x:c r="O27" s="29" t="n">
        <x:f>IF($D27="USD",O26*'Donnees SOMIDA'!$B$5,IF($D27="JPY",O26*'Donnees SOMIDA'!$B$6,0))</x:f>
        <x:v>144704993.6</x:v>
      </x:c>
      <x:c r="P27" s="29" t="n">
        <x:f>IF($D27="USD",P26*'Donnees SOMIDA'!$B$5,IF($D27="JPY",P26*'Donnees SOMIDA'!$B$6,0))</x:f>
        <x:v>203682610.4</x:v>
      </x:c>
      <x:c r="Q27" s="29" t="n">
        <x:f>IF($D27="USD",Q26*'Donnees SOMIDA'!$B$5,IF($D27="JPY",Q26*'Donnees SOMIDA'!$B$6,0))</x:f>
        <x:v>199485167.7</x:v>
      </x:c>
      <x:c r="R27" s="29" t="n">
        <x:f>IF($D27="USD",R26*'Donnees SOMIDA'!$B$5,IF($D27="JPY",R26*'Donnees SOMIDA'!$B$6,0))</x:f>
        <x:v>124144664.8</x:v>
      </x:c>
      <x:c r="S27" s="29" t="n">
        <x:f>SUM(G27:R27)</x:f>
        <x:v>2161041846.2000003</x:v>
      </x:c>
    </x:row>
    <x:row r="28">
      <x:c r="A28" s="15" t="s">
        <x:v>30</x:v>
      </x:c>
      <x:c r="B28" s="15" t="s">
        <x:v>31</x:v>
      </x:c>
      <x:c r="C28" s="16" t="s">
        <x:v>60</x:v>
      </x:c>
      <x:c r="D28" s="16" t="s">
        <x:v>32</x:v>
      </x:c>
      <x:c r="E28" s="16" t="s">
        <x:v>75</x:v>
      </x:c>
      <x:c r="F28" s="16" t="s">
        <x:v>59</x:v>
      </x:c>
      <x:c r="G28" s="28">
        <x:v>18.11</x:v>
      </x:c>
      <x:c r="H28" s="28">
        <x:v>13.33</x:v>
      </x:c>
      <x:c r="I28" s="28">
        <x:v>21.36</x:v>
      </x:c>
      <x:c r="J28" s="28">
        <x:v>15.7</x:v>
      </x:c>
      <x:c r="K28" s="28">
        <x:v>20.81</x:v>
      </x:c>
      <x:c r="L28" s="28">
        <x:v>15.14</x:v>
      </x:c>
      <x:c r="M28" s="28">
        <x:v>15.9</x:v>
      </x:c>
      <x:c r="N28" s="28">
        <x:v>21.7</x:v>
      </x:c>
      <x:c r="O28" s="28">
        <x:v>17.190000000000001</x:v>
      </x:c>
      <x:c r="P28" s="28">
        <x:v>15.34</x:v>
      </x:c>
      <x:c r="Q28" s="28">
        <x:v>13.66</x:v>
      </x:c>
      <x:c r="R28" s="28">
        <x:v>17.3</x:v>
      </x:c>
      <x:c r="S28" s="28">
        <x:v>205.54</x:v>
      </x:c>
    </x:row>
    <x:row r="29">
      <x:c r="A29" s="15" t="s">
        <x:v>30</x:v>
      </x:c>
      <x:c r="B29" s="15" t="s">
        <x:v>31</x:v>
      </x:c>
      <x:c r="C29" s="16" t="s">
        <x:v>60</x:v>
      </x:c>
      <x:c r="D29" s="16" t="s">
        <x:v>32</x:v>
      </x:c>
      <x:c r="E29" s="16" t="s">
        <x:v>76</x:v>
      </x:c>
      <x:c r="F29" s="16" t="s">
        <x:v>32</x:v>
      </x:c>
      <x:c r="G29" s="28">
        <x:v>25115.4</x:v>
      </x:c>
      <x:c r="H29" s="28">
        <x:v>18486.38</x:v>
      </x:c>
      <x:c r="I29" s="28">
        <x:v>29622.58</x:v>
      </x:c>
      <x:c r="J29" s="28">
        <x:v>21773.15</x:v>
      </x:c>
      <x:c r="K29" s="28">
        <x:v>28859.83</x:v>
      </x:c>
      <x:c r="L29" s="28">
        <x:v>20996.53</x:v>
      </x:c>
      <x:c r="M29" s="28">
        <x:v>22050.52</x:v>
      </x:c>
      <x:c r="N29" s="28">
        <x:v>30094.1</x:v>
      </x:c>
      <x:c r="O29" s="28">
        <x:v>23839.52</x:v>
      </x:c>
      <x:c r="P29" s="28">
        <x:v>21273.9</x:v>
      </x:c>
      <x:c r="Q29" s="28">
        <x:v>18944.03</x:v>
      </x:c>
      <x:c r="R29" s="28">
        <x:v>23992.07</x:v>
      </x:c>
      <x:c r="S29" s="28">
        <x:v>285048.01</x:v>
      </x:c>
    </x:row>
    <x:row r="30">
      <x:c r="A30" s="17" t="s">
        <x:v>30</x:v>
      </x:c>
      <x:c r="B30" s="17" t="s">
        <x:v>31</x:v>
      </x:c>
      <x:c r="C30" s="17" t="s">
        <x:v>60</x:v>
      </x:c>
      <x:c r="D30" s="17" t="s">
        <x:v>32</x:v>
      </x:c>
      <x:c r="E30" s="17" t="s">
        <x:v>77</x:v>
      </x:c>
      <x:c r="F30" s="17" t="s">
        <x:v>78</x:v>
      </x:c>
      <x:c r="G30" s="29" t="n">
        <x:f>IF($D30="USD",G29*'Donnees SOMIDA'!$B$5,IF($D30="JPY",G29*'Donnees SOMIDA'!$B$6,0))</x:f>
        <x:v>117288918</x:v>
      </x:c>
      <x:c r="H30" s="29" t="n">
        <x:f>IF($D30="USD",H29*'Donnees SOMIDA'!$B$5,IF($D30="JPY",H29*'Donnees SOMIDA'!$B$6,0))</x:f>
        <x:v>86331394.60000001</x:v>
      </x:c>
      <x:c r="I30" s="29" t="n">
        <x:f>IF($D30="USD",I29*'Donnees SOMIDA'!$B$5,IF($D30="JPY",I29*'Donnees SOMIDA'!$B$6,0))</x:f>
        <x:v>138337448.6</x:v>
      </x:c>
      <x:c r="J30" s="29" t="n">
        <x:f>IF($D30="USD",J29*'Donnees SOMIDA'!$B$5,IF($D30="JPY",J29*'Donnees SOMIDA'!$B$6,0))</x:f>
        <x:v>101680610.5</x:v>
      </x:c>
      <x:c r="K30" s="29" t="n">
        <x:f>IF($D30="USD",K29*'Donnees SOMIDA'!$B$5,IF($D30="JPY",K29*'Donnees SOMIDA'!$B$6,0))</x:f>
        <x:v>134775406.1</x:v>
      </x:c>
      <x:c r="L30" s="29" t="n">
        <x:f>IF($D30="USD",L29*'Donnees SOMIDA'!$B$5,IF($D30="JPY",L29*'Donnees SOMIDA'!$B$6,0))</x:f>
        <x:v>98053795.1</x:v>
      </x:c>
      <x:c r="M30" s="29" t="n">
        <x:f>IF($D30="USD",M29*'Donnees SOMIDA'!$B$5,IF($D30="JPY",M29*'Donnees SOMIDA'!$B$6,0))</x:f>
        <x:v>102975928.4</x:v>
      </x:c>
      <x:c r="N30" s="29" t="n">
        <x:f>IF($D30="USD",N29*'Donnees SOMIDA'!$B$5,IF($D30="JPY",N29*'Donnees SOMIDA'!$B$6,0))</x:f>
        <x:v>140539447</x:v>
      </x:c>
      <x:c r="O30" s="29" t="n">
        <x:f>IF($D30="USD",O29*'Donnees SOMIDA'!$B$5,IF($D30="JPY",O29*'Donnees SOMIDA'!$B$6,0))</x:f>
        <x:v>111330558.4</x:v>
      </x:c>
      <x:c r="P30" s="29" t="n">
        <x:f>IF($D30="USD",P29*'Donnees SOMIDA'!$B$5,IF($D30="JPY",P29*'Donnees SOMIDA'!$B$6,0))</x:f>
        <x:v>99349113</x:v>
      </x:c>
      <x:c r="Q30" s="29" t="n">
        <x:f>IF($D30="USD",Q29*'Donnees SOMIDA'!$B$5,IF($D30="JPY",Q29*'Donnees SOMIDA'!$B$6,0))</x:f>
        <x:v>88468620.1</x:v>
      </x:c>
      <x:c r="R30" s="29" t="n">
        <x:f>IF($D30="USD",R29*'Donnees SOMIDA'!$B$5,IF($D30="JPY",R29*'Donnees SOMIDA'!$B$6,0))</x:f>
        <x:v>112042966.9</x:v>
      </x:c>
      <x:c r="S30" s="29" t="n">
        <x:f>SUM(G30:R30)</x:f>
        <x:v>1331174206.7</x:v>
      </x:c>
    </x:row>
    <x:row r="31">
      <x:c r="A31" s="15" t="s">
        <x:v>30</x:v>
      </x:c>
      <x:c r="B31" s="15" t="s">
        <x:v>31</x:v>
      </x:c>
      <x:c r="C31" s="16" t="s">
        <x:v>61</x:v>
      </x:c>
      <x:c r="D31" s="16" t="s">
        <x:v>32</x:v>
      </x:c>
      <x:c r="E31" s="16" t="s">
        <x:v>75</x:v>
      </x:c>
      <x:c r="F31" s="16" t="s">
        <x:v>59</x:v>
      </x:c>
      <x:c r="G31" s="28">
        <x:v>12.15</x:v>
      </x:c>
      <x:c r="H31" s="28">
        <x:v>18.07</x:v>
      </x:c>
      <x:c r="I31" s="28">
        <x:v>17.52</x:v>
      </x:c>
      <x:c r="J31" s="28">
        <x:v>17.71</x:v>
      </x:c>
      <x:c r="K31" s="28">
        <x:v>18.46</x:v>
      </x:c>
      <x:c r="L31" s="28">
        <x:v>14.26</x:v>
      </x:c>
      <x:c r="M31" s="28">
        <x:v>15.91</x:v>
      </x:c>
      <x:c r="N31" s="28">
        <x:v>12.39</x:v>
      </x:c>
      <x:c r="O31" s="28">
        <x:v>16.16</x:v>
      </x:c>
      <x:c r="P31" s="28">
        <x:v>16.27</x:v>
      </x:c>
      <x:c r="Q31" s="28">
        <x:v>14.49</x:v>
      </x:c>
      <x:c r="R31" s="28">
        <x:v>14.43</x:v>
      </x:c>
      <x:c r="S31" s="28">
        <x:v>187.82</x:v>
      </x:c>
    </x:row>
    <x:row r="32">
      <x:c r="A32" s="15" t="s">
        <x:v>30</x:v>
      </x:c>
      <x:c r="B32" s="15" t="s">
        <x:v>31</x:v>
      </x:c>
      <x:c r="C32" s="16" t="s">
        <x:v>61</x:v>
      </x:c>
      <x:c r="D32" s="16" t="s">
        <x:v>32</x:v>
      </x:c>
      <x:c r="E32" s="16" t="s">
        <x:v>76</x:v>
      </x:c>
      <x:c r="F32" s="16" t="s">
        <x:v>32</x:v>
      </x:c>
      <x:c r="G32" s="28">
        <x:v>16211.67</x:v>
      </x:c>
      <x:c r="H32" s="28">
        <x:v>24110.69</x:v>
      </x:c>
      <x:c r="I32" s="28">
        <x:v>23376.83</x:v>
      </x:c>
      <x:c r="J32" s="28">
        <x:v>23630.34</x:v>
      </x:c>
      <x:c r="K32" s="28">
        <x:v>24631.06</x:v>
      </x:c>
      <x:c r="L32" s="28">
        <x:v>19027.03</x:v>
      </x:c>
      <x:c r="M32" s="28">
        <x:v>21228.61</x:v>
      </x:c>
      <x:c r="N32" s="28">
        <x:v>16531.900000000001</x:v>
      </x:c>
      <x:c r="O32" s="28">
        <x:v>21562.19</x:v>
      </x:c>
      <x:c r="P32" s="28">
        <x:v>21708.959999999999</x:v>
      </x:c>
      <x:c r="Q32" s="28">
        <x:v>19333.919999999998</x:v>
      </x:c>
      <x:c r="R32" s="28">
        <x:v>19253.86</x:v>
      </x:c>
      <x:c r="S32" s="28">
        <x:v>250607.06</x:v>
      </x:c>
    </x:row>
    <x:row r="33">
      <x:c r="A33" s="17" t="s">
        <x:v>30</x:v>
      </x:c>
      <x:c r="B33" s="17" t="s">
        <x:v>31</x:v>
      </x:c>
      <x:c r="C33" s="17" t="s">
        <x:v>61</x:v>
      </x:c>
      <x:c r="D33" s="17" t="s">
        <x:v>32</x:v>
      </x:c>
      <x:c r="E33" s="17" t="s">
        <x:v>77</x:v>
      </x:c>
      <x:c r="F33" s="17" t="s">
        <x:v>78</x:v>
      </x:c>
      <x:c r="G33" s="29" t="n">
        <x:f>IF($D33="USD",G32*'Donnees SOMIDA'!$B$5,IF($D33="JPY",G32*'Donnees SOMIDA'!$B$6,0))</x:f>
        <x:v>75708498.9</x:v>
      </x:c>
      <x:c r="H33" s="29" t="n">
        <x:f>IF($D33="USD",H32*'Donnees SOMIDA'!$B$5,IF($D33="JPY",H32*'Donnees SOMIDA'!$B$6,0))</x:f>
        <x:v>112596922.3</x:v>
      </x:c>
      <x:c r="I33" s="29" t="n">
        <x:f>IF($D33="USD",I32*'Donnees SOMIDA'!$B$5,IF($D33="JPY",I32*'Donnees SOMIDA'!$B$6,0))</x:f>
        <x:v>109169796.10000001</x:v>
      </x:c>
      <x:c r="J33" s="29" t="n">
        <x:f>IF($D33="USD",J32*'Donnees SOMIDA'!$B$5,IF($D33="JPY",J32*'Donnees SOMIDA'!$B$6,0))</x:f>
        <x:v>110353687.8</x:v>
      </x:c>
      <x:c r="K33" s="29" t="n">
        <x:f>IF($D33="USD",K32*'Donnees SOMIDA'!$B$5,IF($D33="JPY",K32*'Donnees SOMIDA'!$B$6,0))</x:f>
        <x:v>115027050.2</x:v>
      </x:c>
      <x:c r="L33" s="29" t="n">
        <x:f>IF($D33="USD",L32*'Donnees SOMIDA'!$B$5,IF($D33="JPY",L32*'Donnees SOMIDA'!$B$6,0))</x:f>
        <x:v>88856230.1</x:v>
      </x:c>
      <x:c r="M33" s="29" t="n">
        <x:f>IF($D33="USD",M32*'Donnees SOMIDA'!$B$5,IF($D33="JPY",M32*'Donnees SOMIDA'!$B$6,0))</x:f>
        <x:v>99137608.7</x:v>
      </x:c>
      <x:c r="N33" s="29" t="n">
        <x:f>IF($D33="USD",N32*'Donnees SOMIDA'!$B$5,IF($D33="JPY",N32*'Donnees SOMIDA'!$B$6,0))</x:f>
        <x:v>77203973</x:v>
      </x:c>
      <x:c r="O33" s="29" t="n">
        <x:f>IF($D33="USD",O32*'Donnees SOMIDA'!$B$5,IF($D33="JPY",O32*'Donnees SOMIDA'!$B$6,0))</x:f>
        <x:v>100695427.3</x:v>
      </x:c>
      <x:c r="P33" s="29" t="n">
        <x:f>IF($D33="USD",P32*'Donnees SOMIDA'!$B$5,IF($D33="JPY",P32*'Donnees SOMIDA'!$B$6,0))</x:f>
        <x:v>101380843.2</x:v>
      </x:c>
      <x:c r="Q33" s="29" t="n">
        <x:f>IF($D33="USD",Q32*'Donnees SOMIDA'!$B$5,IF($D33="JPY",Q32*'Donnees SOMIDA'!$B$6,0))</x:f>
        <x:v>90289406.39999999</x:v>
      </x:c>
      <x:c r="R33" s="29" t="n">
        <x:f>IF($D33="USD",R32*'Donnees SOMIDA'!$B$5,IF($D33="JPY",R32*'Donnees SOMIDA'!$B$6,0))</x:f>
        <x:v>89915526.2</x:v>
      </x:c>
      <x:c r="S33" s="29" t="n">
        <x:f>SUM(G33:R33)</x:f>
        <x:v>1170334970.2</x:v>
      </x:c>
    </x:row>
    <x:row r="34">
      <x:c r="A34" s="15" t="s">
        <x:v>30</x:v>
      </x:c>
      <x:c r="B34" s="15" t="s">
        <x:v>31</x:v>
      </x:c>
      <x:c r="C34" s="16" t="s">
        <x:v>62</x:v>
      </x:c>
      <x:c r="D34" s="16" t="s">
        <x:v>32</x:v>
      </x:c>
      <x:c r="E34" s="16" t="s">
        <x:v>75</x:v>
      </x:c>
      <x:c r="F34" s="16" t="s">
        <x:v>59</x:v>
      </x:c>
      <x:c r="G34" s="28">
        <x:v>19.5</x:v>
      </x:c>
      <x:c r="H34" s="28">
        <x:v>17.600000000000001</x:v>
      </x:c>
      <x:c r="I34" s="28">
        <x:v>27.29</x:v>
      </x:c>
      <x:c r="J34" s="28">
        <x:v>25.79</x:v>
      </x:c>
      <x:c r="K34" s="28">
        <x:v>17.52</x:v>
      </x:c>
      <x:c r="L34" s="28">
        <x:v>18.510000000000002</x:v>
      </x:c>
      <x:c r="M34" s="28">
        <x:v>26.79</x:v>
      </x:c>
      <x:c r="N34" s="28">
        <x:v>25.88</x:v>
      </x:c>
      <x:c r="O34" s="28">
        <x:v>21.67</x:v>
      </x:c>
      <x:c r="P34" s="28">
        <x:v>20.02</x:v>
      </x:c>
      <x:c r="Q34" s="28">
        <x:v>16.7</x:v>
      </x:c>
      <x:c r="R34" s="28">
        <x:v>22.74</x:v>
      </x:c>
      <x:c r="S34" s="28">
        <x:v>260.01</x:v>
      </x:c>
    </x:row>
    <x:row r="35">
      <x:c r="A35" s="15" t="s">
        <x:v>30</x:v>
      </x:c>
      <x:c r="B35" s="15" t="s">
        <x:v>31</x:v>
      </x:c>
      <x:c r="C35" s="16" t="s">
        <x:v>62</x:v>
      </x:c>
      <x:c r="D35" s="16" t="s">
        <x:v>32</x:v>
      </x:c>
      <x:c r="E35" s="16" t="s">
        <x:v>76</x:v>
      </x:c>
      <x:c r="F35" s="16" t="s">
        <x:v>32</x:v>
      </x:c>
      <x:c r="G35" s="28">
        <x:v>28477.19</x:v>
      </x:c>
      <x:c r="H35" s="28">
        <x:v>25702.49</x:v>
      </x:c>
      <x:c r="I35" s="28">
        <x:v>39853.46</x:v>
      </x:c>
      <x:c r="J35" s="28">
        <x:v>37662.910000000003</x:v>
      </x:c>
      <x:c r="K35" s="28">
        <x:v>25585.66</x:v>
      </x:c>
      <x:c r="L35" s="28">
        <x:v>27031.43</x:v>
      </x:c>
      <x:c r="M35" s="28">
        <x:v>39123.279999999999</x:v>
      </x:c>
      <x:c r="N35" s="28">
        <x:v>37794.339999999997</x:v>
      </x:c>
      <x:c r="O35" s="28">
        <x:v>31646.19</x:v>
      </x:c>
      <x:c r="P35" s="28">
        <x:v>29236.58</x:v>
      </x:c>
      <x:c r="Q35" s="28">
        <x:v>24388.16</x:v>
      </x:c>
      <x:c r="R35" s="28">
        <x:v>33208.79</x:v>
      </x:c>
      <x:c r="S35" s="28">
        <x:v>379710.48</x:v>
      </x:c>
    </x:row>
    <x:row r="36">
      <x:c r="A36" s="17" t="s">
        <x:v>30</x:v>
      </x:c>
      <x:c r="B36" s="17" t="s">
        <x:v>31</x:v>
      </x:c>
      <x:c r="C36" s="17" t="s">
        <x:v>62</x:v>
      </x:c>
      <x:c r="D36" s="17" t="s">
        <x:v>32</x:v>
      </x:c>
      <x:c r="E36" s="17" t="s">
        <x:v>77</x:v>
      </x:c>
      <x:c r="F36" s="17" t="s">
        <x:v>78</x:v>
      </x:c>
      <x:c r="G36" s="29" t="n">
        <x:f>IF($D36="USD",G35*'Donnees SOMIDA'!$B$5,IF($D36="JPY",G35*'Donnees SOMIDA'!$B$6,0))</x:f>
        <x:v>132988477.3</x:v>
      </x:c>
      <x:c r="H36" s="29" t="n">
        <x:f>IF($D36="USD",H35*'Donnees SOMIDA'!$B$5,IF($D36="JPY",H35*'Donnees SOMIDA'!$B$6,0))</x:f>
        <x:v>120030628.30000001</x:v>
      </x:c>
      <x:c r="I36" s="29" t="n">
        <x:f>IF($D36="USD",I35*'Donnees SOMIDA'!$B$5,IF($D36="JPY",I35*'Donnees SOMIDA'!$B$6,0))</x:f>
        <x:v>186115658.2</x:v>
      </x:c>
      <x:c r="J36" s="29" t="n">
        <x:f>IF($D36="USD",J35*'Donnees SOMIDA'!$B$5,IF($D36="JPY",J35*'Donnees SOMIDA'!$B$6,0))</x:f>
        <x:v>175885789.70000002</x:v>
      </x:c>
      <x:c r="K36" s="29" t="n">
        <x:f>IF($D36="USD",K35*'Donnees SOMIDA'!$B$5,IF($D36="JPY",K35*'Donnees SOMIDA'!$B$6,0))</x:f>
        <x:v>119485032.2</x:v>
      </x:c>
      <x:c r="L36" s="29" t="n">
        <x:f>IF($D36="USD",L35*'Donnees SOMIDA'!$B$5,IF($D36="JPY",L35*'Donnees SOMIDA'!$B$6,0))</x:f>
        <x:v>126236778.1</x:v>
      </x:c>
      <x:c r="M36" s="29" t="n">
        <x:f>IF($D36="USD",M35*'Donnees SOMIDA'!$B$5,IF($D36="JPY",M35*'Donnees SOMIDA'!$B$6,0))</x:f>
        <x:v>182705717.6</x:v>
      </x:c>
      <x:c r="N36" s="29" t="n">
        <x:f>IF($D36="USD",N35*'Donnees SOMIDA'!$B$5,IF($D36="JPY",N35*'Donnees SOMIDA'!$B$6,0))</x:f>
        <x:v>176499567.79999998</x:v>
      </x:c>
      <x:c r="O36" s="29" t="n">
        <x:f>IF($D36="USD",O35*'Donnees SOMIDA'!$B$5,IF($D36="JPY",O35*'Donnees SOMIDA'!$B$6,0))</x:f>
        <x:v>147787707.29999998</x:v>
      </x:c>
      <x:c r="P36" s="29" t="n">
        <x:f>IF($D36="USD",P35*'Donnees SOMIDA'!$B$5,IF($D36="JPY",P35*'Donnees SOMIDA'!$B$6,0))</x:f>
        <x:v>136534828.6</x:v>
      </x:c>
      <x:c r="Q36" s="29" t="n">
        <x:f>IF($D36="USD",Q35*'Donnees SOMIDA'!$B$5,IF($D36="JPY",Q35*'Donnees SOMIDA'!$B$6,0))</x:f>
        <x:v>113892707.2</x:v>
      </x:c>
      <x:c r="R36" s="29" t="n">
        <x:f>IF($D36="USD",R35*'Donnees SOMIDA'!$B$5,IF($D36="JPY",R35*'Donnees SOMIDA'!$B$6,0))</x:f>
        <x:v>155085049.3</x:v>
      </x:c>
      <x:c r="S36" s="29" t="n">
        <x:f>SUM(G36:R36)</x:f>
        <x:v>1773247941.6</x:v>
      </x:c>
    </x:row>
    <x:row r="37">
      <x:c r="A37" s="15" t="s">
        <x:v>30</x:v>
      </x:c>
      <x:c r="B37" s="15" t="s">
        <x:v>31</x:v>
      </x:c>
      <x:c r="C37" s="16" t="s">
        <x:v>63</x:v>
      </x:c>
      <x:c r="D37" s="16" t="s">
        <x:v>32</x:v>
      </x:c>
      <x:c r="E37" s="16" t="s">
        <x:v>75</x:v>
      </x:c>
      <x:c r="F37" s="16" t="s">
        <x:v>59</x:v>
      </x:c>
      <x:c r="G37" s="28">
        <x:v>10.8</x:v>
      </x:c>
      <x:c r="H37" s="28">
        <x:v>12.59</x:v>
      </x:c>
      <x:c r="I37" s="28">
        <x:v>10.76</x:v>
      </x:c>
      <x:c r="J37" s="28">
        <x:v>12.91</x:v>
      </x:c>
      <x:c r="K37" s="28">
        <x:v>13.05</x:v>
      </x:c>
      <x:c r="L37" s="28">
        <x:v>12.95</x:v>
      </x:c>
      <x:c r="M37" s="28">
        <x:v>14.95</x:v>
      </x:c>
      <x:c r="N37" s="28">
        <x:v>11.2</x:v>
      </x:c>
      <x:c r="O37" s="28">
        <x:v>15.55</x:v>
      </x:c>
      <x:c r="P37" s="28">
        <x:v>12.77</x:v>
      </x:c>
      <x:c r="Q37" s="28">
        <x:v>13.28</x:v>
      </x:c>
      <x:c r="R37" s="28">
        <x:v>15.31</x:v>
      </x:c>
      <x:c r="S37" s="28">
        <x:v>156.12</x:v>
      </x:c>
    </x:row>
    <x:row r="38">
      <x:c r="A38" s="15" t="s">
        <x:v>30</x:v>
      </x:c>
      <x:c r="B38" s="15" t="s">
        <x:v>31</x:v>
      </x:c>
      <x:c r="C38" s="16" t="s">
        <x:v>63</x:v>
      </x:c>
      <x:c r="D38" s="16" t="s">
        <x:v>32</x:v>
      </x:c>
      <x:c r="E38" s="16" t="s">
        <x:v>76</x:v>
      </x:c>
      <x:c r="F38" s="16" t="s">
        <x:v>32</x:v>
      </x:c>
      <x:c r="G38" s="28">
        <x:v>13389.17</x:v>
      </x:c>
      <x:c r="H38" s="28">
        <x:v>15608.3</x:v>
      </x:c>
      <x:c r="I38" s="28">
        <x:v>13339.58</x:v>
      </x:c>
      <x:c r="J38" s="28">
        <x:v>16005.01</x:v>
      </x:c>
      <x:c r="K38" s="28">
        <x:v>16178.57</x:v>
      </x:c>
      <x:c r="L38" s="28">
        <x:v>16054.6</x:v>
      </x:c>
      <x:c r="M38" s="28">
        <x:v>18534.080000000002</x:v>
      </x:c>
      <x:c r="N38" s="28">
        <x:v>13885.06</x:v>
      </x:c>
      <x:c r="O38" s="28">
        <x:v>19277.919999999998</x:v>
      </x:c>
      <x:c r="P38" s="28">
        <x:v>15831.45</x:v>
      </x:c>
      <x:c r="Q38" s="28">
        <x:v>16463.71</x:v>
      </x:c>
      <x:c r="R38" s="28">
        <x:v>18980.38</x:v>
      </x:c>
      <x:c r="S38" s="28">
        <x:v>193547.83</x:v>
      </x:c>
    </x:row>
    <x:row r="39">
      <x:c r="A39" s="17" t="s">
        <x:v>30</x:v>
      </x:c>
      <x:c r="B39" s="17" t="s">
        <x:v>31</x:v>
      </x:c>
      <x:c r="C39" s="17" t="s">
        <x:v>63</x:v>
      </x:c>
      <x:c r="D39" s="17" t="s">
        <x:v>32</x:v>
      </x:c>
      <x:c r="E39" s="17" t="s">
        <x:v>77</x:v>
      </x:c>
      <x:c r="F39" s="17" t="s">
        <x:v>78</x:v>
      </x:c>
      <x:c r="G39" s="29" t="n">
        <x:f>IF($D39="USD",G38*'Donnees SOMIDA'!$B$5,IF($D39="JPY",G38*'Donnees SOMIDA'!$B$6,0))</x:f>
        <x:v>62527423.9</x:v>
      </x:c>
      <x:c r="H39" s="29" t="n">
        <x:f>IF($D39="USD",H38*'Donnees SOMIDA'!$B$5,IF($D39="JPY",H38*'Donnees SOMIDA'!$B$6,0))</x:f>
        <x:v>72890761</x:v>
      </x:c>
      <x:c r="I39" s="29" t="n">
        <x:f>IF($D39="USD",I38*'Donnees SOMIDA'!$B$5,IF($D39="JPY",I38*'Donnees SOMIDA'!$B$6,0))</x:f>
        <x:v>62295838.6</x:v>
      </x:c>
      <x:c r="J39" s="29" t="n">
        <x:f>IF($D39="USD",J38*'Donnees SOMIDA'!$B$5,IF($D39="JPY",J38*'Donnees SOMIDA'!$B$6,0))</x:f>
        <x:v>74743396.7</x:v>
      </x:c>
      <x:c r="K39" s="29" t="n">
        <x:f>IF($D39="USD",K38*'Donnees SOMIDA'!$B$5,IF($D39="JPY",K38*'Donnees SOMIDA'!$B$6,0))</x:f>
        <x:v>75553921.9</x:v>
      </x:c>
      <x:c r="L39" s="29" t="n">
        <x:f>IF($D39="USD",L38*'Donnees SOMIDA'!$B$5,IF($D39="JPY",L38*'Donnees SOMIDA'!$B$6,0))</x:f>
        <x:v>74974982</x:v>
      </x:c>
      <x:c r="M39" s="29" t="n">
        <x:f>IF($D39="USD",M38*'Donnees SOMIDA'!$B$5,IF($D39="JPY",M38*'Donnees SOMIDA'!$B$6,0))</x:f>
        <x:v>86554153.60000001</x:v>
      </x:c>
      <x:c r="N39" s="29" t="n">
        <x:f>IF($D39="USD",N38*'Donnees SOMIDA'!$B$5,IF($D39="JPY",N38*'Donnees SOMIDA'!$B$6,0))</x:f>
        <x:v>64843230.199999996</x:v>
      </x:c>
      <x:c r="O39" s="29" t="n">
        <x:f>IF($D39="USD",O38*'Donnees SOMIDA'!$B$5,IF($D39="JPY",O38*'Donnees SOMIDA'!$B$6,0))</x:f>
        <x:v>90027886.39999999</x:v>
      </x:c>
      <x:c r="P39" s="29" t="n">
        <x:f>IF($D39="USD",P38*'Donnees SOMIDA'!$B$5,IF($D39="JPY",P38*'Donnees SOMIDA'!$B$6,0))</x:f>
        <x:v>73932871.5</x:v>
      </x:c>
      <x:c r="Q39" s="29" t="n">
        <x:f>IF($D39="USD",Q38*'Donnees SOMIDA'!$B$5,IF($D39="JPY",Q38*'Donnees SOMIDA'!$B$6,0))</x:f>
        <x:v>76885525.7</x:v>
      </x:c>
      <x:c r="R39" s="29" t="n">
        <x:f>IF($D39="USD",R38*'Donnees SOMIDA'!$B$5,IF($D39="JPY",R38*'Donnees SOMIDA'!$B$6,0))</x:f>
        <x:v>88638374.60000001</x:v>
      </x:c>
      <x:c r="S39" s="29" t="n">
        <x:f>SUM(G39:R39)</x:f>
        <x:v>903868366.1000001</x:v>
      </x:c>
    </x:row>
    <x:row r="40">
      <x:c r="A40" s="18" t="s">
        <x:v>33</x:v>
      </x:c>
      <x:c r="B40" s="18" t="s">
        <x:v>79</x:v>
      </x:c>
      <x:c r="C40" s="19" t="s">
        <x:v>58</x:v>
      </x:c>
      <x:c r="D40" s="19" t="s">
        <x:v>32</x:v>
      </x:c>
      <x:c r="E40" s="19" t="s">
        <x:v>75</x:v>
      </x:c>
      <x:c r="F40" s="19" t="s">
        <x:v>59</x:v>
      </x:c>
      <x:c r="G40" s="30">
        <x:v>21.27</x:v>
      </x:c>
      <x:c r="H40" s="30">
        <x:v>30.13</x:v>
      </x:c>
      <x:c r="I40" s="30">
        <x:v>22.14</x:v>
      </x:c>
      <x:c r="J40" s="30">
        <x:v>25.09</x:v>
      </x:c>
      <x:c r="K40" s="30">
        <x:v>24.08</x:v>
      </x:c>
      <x:c r="L40" s="30">
        <x:v>18.97</x:v>
      </x:c>
      <x:c r="M40" s="30">
        <x:v>24.24</x:v>
      </x:c>
      <x:c r="N40" s="30">
        <x:v>29.9</x:v>
      </x:c>
      <x:c r="O40" s="30">
        <x:v>26.59</x:v>
      </x:c>
      <x:c r="P40" s="30">
        <x:v>18.7</x:v>
      </x:c>
      <x:c r="Q40" s="30">
        <x:v>27.74</x:v>
      </x:c>
      <x:c r="R40" s="30">
        <x:v>25.64</x:v>
      </x:c>
      <x:c r="S40" s="30">
        <x:v>294.49</x:v>
      </x:c>
    </x:row>
    <x:row r="41">
      <x:c r="A41" s="20" t="s">
        <x:v>33</x:v>
      </x:c>
      <x:c r="B41" s="20" t="s">
        <x:v>79</x:v>
      </x:c>
      <x:c r="C41" s="21" t="s">
        <x:v>58</x:v>
      </x:c>
      <x:c r="D41" s="21" t="s">
        <x:v>32</x:v>
      </x:c>
      <x:c r="E41" s="21" t="s">
        <x:v>76</x:v>
      </x:c>
      <x:c r="F41" s="21" t="s">
        <x:v>32</x:v>
      </x:c>
      <x:c r="G41" s="31">
        <x:v>32402.85</x:v>
      </x:c>
      <x:c r="H41" s="31">
        <x:v>45900.23</x:v>
      </x:c>
      <x:c r="I41" s="31">
        <x:v>33728.21</x:v>
      </x:c>
      <x:c r="J41" s="31">
        <x:v>38222.26</x:v>
      </x:c>
      <x:c r="K41" s="31">
        <x:v>36683.620000000003</x:v>
      </x:c>
      <x:c r="L41" s="31">
        <x:v>28899.02</x:v>
      </x:c>
      <x:c r="M41" s="31">
        <x:v>36927.370000000003</x:v>
      </x:c>
      <x:c r="N41" s="31">
        <x:v>45549.85</x:v>
      </x:c>
      <x:c r="O41" s="31">
        <x:v>40507.370000000003</x:v>
      </x:c>
      <x:c r="P41" s="31">
        <x:v>28487.7</x:v>
      </x:c>
      <x:c r="Q41" s="31">
        <x:v>42259.29</x:v>
      </x:c>
      <x:c r="R41" s="31">
        <x:v>39060.14</x:v>
      </x:c>
      <x:c r="S41" s="31">
        <x:v>448627.91000000003</x:v>
      </x:c>
    </x:row>
    <x:row r="42">
      <x:c r="A42" s="22" t="s">
        <x:v>33</x:v>
      </x:c>
      <x:c r="B42" s="22" t="s">
        <x:v>79</x:v>
      </x:c>
      <x:c r="C42" s="22" t="s">
        <x:v>58</x:v>
      </x:c>
      <x:c r="D42" s="22" t="s">
        <x:v>32</x:v>
      </x:c>
      <x:c r="E42" s="22" t="s">
        <x:v>77</x:v>
      </x:c>
      <x:c r="F42" s="22" t="s">
        <x:v>78</x:v>
      </x:c>
      <x:c r="G42" s="32" t="n">
        <x:f>IF($D42="USD",G41*'Donnees SOMIDA'!$B$5,IF($D42="JPY",G41*'Donnees SOMIDA'!$B$6,0))</x:f>
        <x:v>151321309.5</x:v>
      </x:c>
      <x:c r="H42" s="32" t="n">
        <x:f>IF($D42="USD",H41*'Donnees SOMIDA'!$B$5,IF($D42="JPY",H41*'Donnees SOMIDA'!$B$6,0))</x:f>
        <x:v>214354074.10000002</x:v>
      </x:c>
      <x:c r="I42" s="32" t="n">
        <x:f>IF($D42="USD",I41*'Donnees SOMIDA'!$B$5,IF($D42="JPY",I41*'Donnees SOMIDA'!$B$6,0))</x:f>
        <x:v>157510740.7</x:v>
      </x:c>
      <x:c r="J42" s="32" t="n">
        <x:f>IF($D42="USD",J41*'Donnees SOMIDA'!$B$5,IF($D42="JPY",J41*'Donnees SOMIDA'!$B$6,0))</x:f>
        <x:v>178497954.20000002</x:v>
      </x:c>
      <x:c r="K42" s="32" t="n">
        <x:f>IF($D42="USD",K41*'Donnees SOMIDA'!$B$5,IF($D42="JPY",K41*'Donnees SOMIDA'!$B$6,0))</x:f>
        <x:v>171312505.4</x:v>
      </x:c>
      <x:c r="L42" s="32" t="n">
        <x:f>IF($D42="USD",L41*'Donnees SOMIDA'!$B$5,IF($D42="JPY",L41*'Donnees SOMIDA'!$B$6,0))</x:f>
        <x:v>134958423.4</x:v>
      </x:c>
      <x:c r="M42" s="32" t="n">
        <x:f>IF($D42="USD",M41*'Donnees SOMIDA'!$B$5,IF($D42="JPY",M41*'Donnees SOMIDA'!$B$6,0))</x:f>
        <x:v>172450817.9</x:v>
      </x:c>
      <x:c r="N42" s="32" t="n">
        <x:f>IF($D42="USD",N41*'Donnees SOMIDA'!$B$5,IF($D42="JPY",N41*'Donnees SOMIDA'!$B$6,0))</x:f>
        <x:v>212717799.5</x:v>
      </x:c>
      <x:c r="O42" s="32" t="n">
        <x:f>IF($D42="USD",O41*'Donnees SOMIDA'!$B$5,IF($D42="JPY",O41*'Donnees SOMIDA'!$B$6,0))</x:f>
        <x:v>189169417.9</x:v>
      </x:c>
      <x:c r="P42" s="32" t="n">
        <x:f>IF($D42="USD",P41*'Donnees SOMIDA'!$B$5,IF($D42="JPY",P41*'Donnees SOMIDA'!$B$6,0))</x:f>
        <x:v>133037559</x:v>
      </x:c>
      <x:c r="Q42" s="32" t="n">
        <x:f>IF($D42="USD",Q41*'Donnees SOMIDA'!$B$5,IF($D42="JPY",Q41*'Donnees SOMIDA'!$B$6,0))</x:f>
        <x:v>197350884.3</x:v>
      </x:c>
      <x:c r="R42" s="32" t="n">
        <x:f>IF($D42="USD",R41*'Donnees SOMIDA'!$B$5,IF($D42="JPY",R41*'Donnees SOMIDA'!$B$6,0))</x:f>
        <x:v>182410853.8</x:v>
      </x:c>
      <x:c r="S42" s="32" t="n">
        <x:f>SUM(G42:R42)</x:f>
        <x:v>2095092339.7</x:v>
      </x:c>
    </x:row>
    <x:row r="43">
      <x:c r="A43" s="20" t="s">
        <x:v>33</x:v>
      </x:c>
      <x:c r="B43" s="20" t="s">
        <x:v>79</x:v>
      </x:c>
      <x:c r="C43" s="21" t="s">
        <x:v>60</x:v>
      </x:c>
      <x:c r="D43" s="21" t="s">
        <x:v>32</x:v>
      </x:c>
      <x:c r="E43" s="21" t="s">
        <x:v>75</x:v>
      </x:c>
      <x:c r="F43" s="21" t="s">
        <x:v>59</x:v>
      </x:c>
      <x:c r="G43" s="31">
        <x:v>13.73</x:v>
      </x:c>
      <x:c r="H43" s="31">
        <x:v>19.91</x:v>
      </x:c>
      <x:c r="I43" s="31">
        <x:v>13.46</x:v>
      </x:c>
      <x:c r="J43" s="31">
        <x:v>21.16</x:v>
      </x:c>
      <x:c r="K43" s="31">
        <x:v>22.71</x:v>
      </x:c>
      <x:c r="L43" s="31">
        <x:v>14.94</x:v>
      </x:c>
      <x:c r="M43" s="31">
        <x:v>15.84</x:v>
      </x:c>
      <x:c r="N43" s="31">
        <x:v>18.62</x:v>
      </x:c>
      <x:c r="O43" s="31">
        <x:v>16.75</x:v>
      </x:c>
      <x:c r="P43" s="31">
        <x:v>17.78</x:v>
      </x:c>
      <x:c r="Q43" s="31">
        <x:v>15.01</x:v>
      </x:c>
      <x:c r="R43" s="31">
        <x:v>13.66</x:v>
      </x:c>
      <x:c r="S43" s="31">
        <x:v>203.57</x:v>
      </x:c>
    </x:row>
    <x:row r="44">
      <x:c r="A44" s="20" t="s">
        <x:v>33</x:v>
      </x:c>
      <x:c r="B44" s="20" t="s">
        <x:v>79</x:v>
      </x:c>
      <x:c r="C44" s="21" t="s">
        <x:v>60</x:v>
      </x:c>
      <x:c r="D44" s="21" t="s">
        <x:v>32</x:v>
      </x:c>
      <x:c r="E44" s="21" t="s">
        <x:v>76</x:v>
      </x:c>
      <x:c r="F44" s="21" t="s">
        <x:v>32</x:v>
      </x:c>
      <x:c r="G44" s="31">
        <x:v>19041.11</x:v>
      </x:c>
      <x:c r="H44" s="31">
        <x:v>27611.69</x:v>
      </x:c>
      <x:c r="I44" s="31">
        <x:v>18666.66</x:v>
      </x:c>
      <x:c r="J44" s="31">
        <x:v>29345.22</x:v>
      </x:c>
      <x:c r="K44" s="31">
        <x:v>31494.799999999999</x:v>
      </x:c>
      <x:c r="L44" s="31">
        <x:v>20719.169999999998</x:v>
      </x:c>
      <x:c r="M44" s="31">
        <x:v>21967.31</x:v>
      </x:c>
      <x:c r="N44" s="31">
        <x:v>25822.68</x:v>
      </x:c>
      <x:c r="O44" s="31">
        <x:v>23229.32</x:v>
      </x:c>
      <x:c r="P44" s="31">
        <x:v>24657.75</x:v>
      </x:c>
      <x:c r="Q44" s="31">
        <x:v>20816.240000000002</x:v>
      </x:c>
      <x:c r="R44" s="31">
        <x:v>18944.03</x:v>
      </x:c>
      <x:c r="S44" s="31">
        <x:v>282315.98</x:v>
      </x:c>
    </x:row>
    <x:row r="45">
      <x:c r="A45" s="22" t="s">
        <x:v>33</x:v>
      </x:c>
      <x:c r="B45" s="22" t="s">
        <x:v>79</x:v>
      </x:c>
      <x:c r="C45" s="22" t="s">
        <x:v>60</x:v>
      </x:c>
      <x:c r="D45" s="22" t="s">
        <x:v>32</x:v>
      </x:c>
      <x:c r="E45" s="22" t="s">
        <x:v>77</x:v>
      </x:c>
      <x:c r="F45" s="22" t="s">
        <x:v>78</x:v>
      </x:c>
      <x:c r="G45" s="32" t="n">
        <x:f>IF($D45="USD",G44*'Donnees SOMIDA'!$B$5,IF($D45="JPY",G44*'Donnees SOMIDA'!$B$6,0))</x:f>
        <x:v>88921983.7</x:v>
      </x:c>
      <x:c r="H45" s="32" t="n">
        <x:f>IF($D45="USD",H44*'Donnees SOMIDA'!$B$5,IF($D45="JPY",H44*'Donnees SOMIDA'!$B$6,0))</x:f>
        <x:v>128946592.3</x:v>
      </x:c>
      <x:c r="I45" s="32" t="n">
        <x:f>IF($D45="USD",I44*'Donnees SOMIDA'!$B$5,IF($D45="JPY",I44*'Donnees SOMIDA'!$B$6,0))</x:f>
        <x:v>87173302.2</x:v>
      </x:c>
      <x:c r="J45" s="32" t="n">
        <x:f>IF($D45="USD",J44*'Donnees SOMIDA'!$B$5,IF($D45="JPY",J44*'Donnees SOMIDA'!$B$6,0))</x:f>
        <x:v>137042177.4</x:v>
      </x:c>
      <x:c r="K45" s="32" t="n">
        <x:f>IF($D45="USD",K44*'Donnees SOMIDA'!$B$5,IF($D45="JPY",K44*'Donnees SOMIDA'!$B$6,0))</x:f>
        <x:v>147080716</x:v>
      </x:c>
      <x:c r="L45" s="32" t="n">
        <x:f>IF($D45="USD",L44*'Donnees SOMIDA'!$B$5,IF($D45="JPY",L44*'Donnees SOMIDA'!$B$6,0))</x:f>
        <x:v>96758523.89999999</x:v>
      </x:c>
      <x:c r="M45" s="32" t="n">
        <x:f>IF($D45="USD",M44*'Donnees SOMIDA'!$B$5,IF($D45="JPY",M44*'Donnees SOMIDA'!$B$6,0))</x:f>
        <x:v>102587337.7</x:v>
      </x:c>
      <x:c r="N45" s="32" t="n">
        <x:f>IF($D45="USD",N44*'Donnees SOMIDA'!$B$5,IF($D45="JPY",N44*'Donnees SOMIDA'!$B$6,0))</x:f>
        <x:v>120591915.6</x:v>
      </x:c>
      <x:c r="O45" s="32" t="n">
        <x:f>IF($D45="USD",O44*'Donnees SOMIDA'!$B$5,IF($D45="JPY",O44*'Donnees SOMIDA'!$B$6,0))</x:f>
        <x:v>108480924.4</x:v>
      </x:c>
      <x:c r="P45" s="32" t="n">
        <x:f>IF($D45="USD",P44*'Donnees SOMIDA'!$B$5,IF($D45="JPY",P44*'Donnees SOMIDA'!$B$6,0))</x:f>
        <x:v>115151692.5</x:v>
      </x:c>
      <x:c r="Q45" s="32" t="n">
        <x:f>IF($D45="USD",Q44*'Donnees SOMIDA'!$B$5,IF($D45="JPY",Q44*'Donnees SOMIDA'!$B$6,0))</x:f>
        <x:v>97211840.80000001</x:v>
      </x:c>
      <x:c r="R45" s="32" t="n">
        <x:f>IF($D45="USD",R44*'Donnees SOMIDA'!$B$5,IF($D45="JPY",R44*'Donnees SOMIDA'!$B$6,0))</x:f>
        <x:v>88468620.1</x:v>
      </x:c>
      <x:c r="S45" s="32" t="n">
        <x:f>SUM(G45:R45)</x:f>
        <x:v>1318415626.6</x:v>
      </x:c>
    </x:row>
    <x:row r="46">
      <x:c r="A46" s="20" t="s">
        <x:v>33</x:v>
      </x:c>
      <x:c r="B46" s="20" t="s">
        <x:v>79</x:v>
      </x:c>
      <x:c r="C46" s="21" t="s">
        <x:v>61</x:v>
      </x:c>
      <x:c r="D46" s="21" t="s">
        <x:v>32</x:v>
      </x:c>
      <x:c r="E46" s="21" t="s">
        <x:v>75</x:v>
      </x:c>
      <x:c r="F46" s="21" t="s">
        <x:v>59</x:v>
      </x:c>
      <x:c r="G46" s="31">
        <x:v>13.24</x:v>
      </x:c>
      <x:c r="H46" s="31">
        <x:v>12.95</x:v>
      </x:c>
      <x:c r="I46" s="31">
        <x:v>17.34</x:v>
      </x:c>
      <x:c r="J46" s="31">
        <x:v>15.98</x:v>
      </x:c>
      <x:c r="K46" s="31">
        <x:v>16.48</x:v>
      </x:c>
      <x:c r="L46" s="31">
        <x:v>11.83</x:v>
      </x:c>
      <x:c r="M46" s="31">
        <x:v>13.56</x:v>
      </x:c>
      <x:c r="N46" s="31">
        <x:v>14.85</x:v>
      </x:c>
      <x:c r="O46" s="31">
        <x:v>16.45</x:v>
      </x:c>
      <x:c r="P46" s="31">
        <x:v>15.76</x:v>
      </x:c>
      <x:c r="Q46" s="31">
        <x:v>18.29</x:v>
      </x:c>
      <x:c r="R46" s="31">
        <x:v>12.96</x:v>
      </x:c>
      <x:c r="S46" s="31">
        <x:v>179.69</x:v>
      </x:c>
    </x:row>
    <x:row r="47">
      <x:c r="A47" s="20" t="s">
        <x:v>33</x:v>
      </x:c>
      <x:c r="B47" s="20" t="s">
        <x:v>79</x:v>
      </x:c>
      <x:c r="C47" s="21" t="s">
        <x:v>61</x:v>
      </x:c>
      <x:c r="D47" s="21" t="s">
        <x:v>32</x:v>
      </x:c>
      <x:c r="E47" s="21" t="s">
        <x:v>76</x:v>
      </x:c>
      <x:c r="F47" s="21" t="s">
        <x:v>32</x:v>
      </x:c>
      <x:c r="G47" s="31">
        <x:v>17666.05</x:v>
      </x:c>
      <x:c r="H47" s="31">
        <x:v>17279.099999999999</x:v>
      </x:c>
      <x:c r="I47" s="31">
        <x:v>23136.65</x:v>
      </x:c>
      <x:c r="J47" s="31">
        <x:v>21322.01</x:v>
      </x:c>
      <x:c r="K47" s="31">
        <x:v>21989.16</x:v>
      </x:c>
      <x:c r="L47" s="31">
        <x:v>15784.7</x:v>
      </x:c>
      <x:c r="M47" s="31">
        <x:v>18093.02</x:v>
      </x:c>
      <x:c r="N47" s="31">
        <x:v>19814.259999999998</x:v>
      </x:c>
      <x:c r="O47" s="31">
        <x:v>21949.13</x:v>
      </x:c>
      <x:c r="P47" s="31">
        <x:v>21028.47</x:v>
      </x:c>
      <x:c r="Q47" s="31">
        <x:v>24404.23</x:v>
      </x:c>
      <x:c r="R47" s="31">
        <x:v>17292.45</x:v>
      </x:c>
      <x:c r="S47" s="31">
        <x:v>239759.23</x:v>
      </x:c>
    </x:row>
    <x:row r="48">
      <x:c r="A48" s="22" t="s">
        <x:v>33</x:v>
      </x:c>
      <x:c r="B48" s="22" t="s">
        <x:v>79</x:v>
      </x:c>
      <x:c r="C48" s="22" t="s">
        <x:v>61</x:v>
      </x:c>
      <x:c r="D48" s="22" t="s">
        <x:v>32</x:v>
      </x:c>
      <x:c r="E48" s="22" t="s">
        <x:v>77</x:v>
      </x:c>
      <x:c r="F48" s="22" t="s">
        <x:v>78</x:v>
      </x:c>
      <x:c r="G48" s="32" t="n">
        <x:f>IF($D48="USD",G47*'Donnees SOMIDA'!$B$5,IF($D48="JPY",G47*'Donnees SOMIDA'!$B$6,0))</x:f>
        <x:v>82500453.5</x:v>
      </x:c>
      <x:c r="H48" s="32" t="n">
        <x:f>IF($D48="USD",H47*'Donnees SOMIDA'!$B$5,IF($D48="JPY",H47*'Donnees SOMIDA'!$B$6,0))</x:f>
        <x:v>80693397</x:v>
      </x:c>
      <x:c r="I48" s="32" t="n">
        <x:f>IF($D48="USD",I47*'Donnees SOMIDA'!$B$5,IF($D48="JPY",I47*'Donnees SOMIDA'!$B$6,0))</x:f>
        <x:v>108048155.5</x:v>
      </x:c>
      <x:c r="J48" s="32" t="n">
        <x:f>IF($D48="USD",J47*'Donnees SOMIDA'!$B$5,IF($D48="JPY",J47*'Donnees SOMIDA'!$B$6,0))</x:f>
        <x:v>99573786.69999999</x:v>
      </x:c>
      <x:c r="K48" s="32" t="n">
        <x:f>IF($D48="USD",K47*'Donnees SOMIDA'!$B$5,IF($D48="JPY",K47*'Donnees SOMIDA'!$B$6,0))</x:f>
        <x:v>102689377.2</x:v>
      </x:c>
      <x:c r="L48" s="32" t="n">
        <x:f>IF($D48="USD",L47*'Donnees SOMIDA'!$B$5,IF($D48="JPY",L47*'Donnees SOMIDA'!$B$6,0))</x:f>
        <x:v>73714549</x:v>
      </x:c>
      <x:c r="M48" s="32" t="n">
        <x:f>IF($D48="USD",M47*'Donnees SOMIDA'!$B$5,IF($D48="JPY",M47*'Donnees SOMIDA'!$B$6,0))</x:f>
        <x:v>84494403.4</x:v>
      </x:c>
      <x:c r="N48" s="32" t="n">
        <x:f>IF($D48="USD",N47*'Donnees SOMIDA'!$B$5,IF($D48="JPY",N47*'Donnees SOMIDA'!$B$6,0))</x:f>
        <x:v>92532594.19999999</x:v>
      </x:c>
      <x:c r="O48" s="32" t="n">
        <x:f>IF($D48="USD",O47*'Donnees SOMIDA'!$B$5,IF($D48="JPY",O47*'Donnees SOMIDA'!$B$6,0))</x:f>
        <x:v>102502437.10000001</x:v>
      </x:c>
      <x:c r="P48" s="32" t="n">
        <x:f>IF($D48="USD",P47*'Donnees SOMIDA'!$B$5,IF($D48="JPY",P47*'Donnees SOMIDA'!$B$6,0))</x:f>
        <x:v>98202954.9</x:v>
      </x:c>
      <x:c r="Q48" s="32" t="n">
        <x:f>IF($D48="USD",Q47*'Donnees SOMIDA'!$B$5,IF($D48="JPY",Q47*'Donnees SOMIDA'!$B$6,0))</x:f>
        <x:v>113967754.1</x:v>
      </x:c>
      <x:c r="R48" s="32" t="n">
        <x:f>IF($D48="USD",R47*'Donnees SOMIDA'!$B$5,IF($D48="JPY",R47*'Donnees SOMIDA'!$B$6,0))</x:f>
        <x:v>80755741.5</x:v>
      </x:c>
      <x:c r="S48" s="32" t="n">
        <x:f>SUM(G48:R48)</x:f>
        <x:v>1119675604.1</x:v>
      </x:c>
    </x:row>
    <x:row r="49">
      <x:c r="A49" s="20" t="s">
        <x:v>33</x:v>
      </x:c>
      <x:c r="B49" s="20" t="s">
        <x:v>79</x:v>
      </x:c>
      <x:c r="C49" s="21" t="s">
        <x:v>62</x:v>
      </x:c>
      <x:c r="D49" s="21" t="s">
        <x:v>32</x:v>
      </x:c>
      <x:c r="E49" s="21" t="s">
        <x:v>75</x:v>
      </x:c>
      <x:c r="F49" s="21" t="s">
        <x:v>59</x:v>
      </x:c>
      <x:c r="G49" s="31">
        <x:v>19.32</x:v>
      </x:c>
      <x:c r="H49" s="31">
        <x:v>24</x:v>
      </x:c>
      <x:c r="I49" s="31">
        <x:v>15.91</x:v>
      </x:c>
      <x:c r="J49" s="31">
        <x:v>15.52</x:v>
      </x:c>
      <x:c r="K49" s="31">
        <x:v>16.559999999999999</x:v>
      </x:c>
      <x:c r="L49" s="31">
        <x:v>22.46</x:v>
      </x:c>
      <x:c r="M49" s="31">
        <x:v>23.88</x:v>
      </x:c>
      <x:c r="N49" s="31">
        <x:v>25.19</x:v>
      </x:c>
      <x:c r="O49" s="31">
        <x:v>18.510000000000002</x:v>
      </x:c>
      <x:c r="P49" s="31">
        <x:v>24.51</x:v>
      </x:c>
      <x:c r="Q49" s="31">
        <x:v>17.39</x:v>
      </x:c>
      <x:c r="R49" s="31">
        <x:v>17.72</x:v>
      </x:c>
      <x:c r="S49" s="31">
        <x:v>240.97</x:v>
      </x:c>
    </x:row>
    <x:row r="50">
      <x:c r="A50" s="20" t="s">
        <x:v>33</x:v>
      </x:c>
      <x:c r="B50" s="20" t="s">
        <x:v>79</x:v>
      </x:c>
      <x:c r="C50" s="21" t="s">
        <x:v>62</x:v>
      </x:c>
      <x:c r="D50" s="21" t="s">
        <x:v>32</x:v>
      </x:c>
      <x:c r="E50" s="21" t="s">
        <x:v>76</x:v>
      </x:c>
      <x:c r="F50" s="21" t="s">
        <x:v>32</x:v>
      </x:c>
      <x:c r="G50" s="31">
        <x:v>28214.32</x:v>
      </x:c>
      <x:c r="H50" s="31">
        <x:v>35048.85</x:v>
      </x:c>
      <x:c r="I50" s="31">
        <x:v>23234.47</x:v>
      </x:c>
      <x:c r="J50" s="31">
        <x:v>22664.92</x:v>
      </x:c>
      <x:c r="K50" s="31">
        <x:v>24183.71</x:v>
      </x:c>
      <x:c r="L50" s="31">
        <x:v>32799.879999999997</x:v>
      </x:c>
      <x:c r="M50" s="31">
        <x:v>34873.61</x:v>
      </x:c>
      <x:c r="N50" s="31">
        <x:v>36786.69</x:v>
      </x:c>
      <x:c r="O50" s="31">
        <x:v>27031.43</x:v>
      </x:c>
      <x:c r="P50" s="31">
        <x:v>35793.64</x:v>
      </x:c>
      <x:c r="Q50" s="31">
        <x:v>25395.81</x:v>
      </x:c>
      <x:c r="R50" s="31">
        <x:v>25877.73</x:v>
      </x:c>
      <x:c r="S50" s="31">
        <x:v>351905.06</x:v>
      </x:c>
    </x:row>
    <x:row r="51">
      <x:c r="A51" s="22" t="s">
        <x:v>33</x:v>
      </x:c>
      <x:c r="B51" s="22" t="s">
        <x:v>79</x:v>
      </x:c>
      <x:c r="C51" s="22" t="s">
        <x:v>62</x:v>
      </x:c>
      <x:c r="D51" s="22" t="s">
        <x:v>32</x:v>
      </x:c>
      <x:c r="E51" s="22" t="s">
        <x:v>77</x:v>
      </x:c>
      <x:c r="F51" s="22" t="s">
        <x:v>78</x:v>
      </x:c>
      <x:c r="G51" s="32" t="n">
        <x:f>IF($D51="USD",G50*'Donnees SOMIDA'!$B$5,IF($D51="JPY",G50*'Donnees SOMIDA'!$B$6,0))</x:f>
        <x:v>131760874.4</x:v>
      </x:c>
      <x:c r="H51" s="32" t="n">
        <x:f>IF($D51="USD",H50*'Donnees SOMIDA'!$B$5,IF($D51="JPY",H50*'Donnees SOMIDA'!$B$6,0))</x:f>
        <x:v>163678129.5</x:v>
      </x:c>
      <x:c r="I51" s="32" t="n">
        <x:f>IF($D51="USD",I50*'Donnees SOMIDA'!$B$5,IF($D51="JPY",I50*'Donnees SOMIDA'!$B$6,0))</x:f>
        <x:v>108504974.9</x:v>
      </x:c>
      <x:c r="J51" s="32" t="n">
        <x:f>IF($D51="USD",J50*'Donnees SOMIDA'!$B$5,IF($D51="JPY",J50*'Donnees SOMIDA'!$B$6,0))</x:f>
        <x:v>105845176.39999999</x:v>
      </x:c>
      <x:c r="K51" s="32" t="n">
        <x:f>IF($D51="USD",K50*'Donnees SOMIDA'!$B$5,IF($D51="JPY",K50*'Donnees SOMIDA'!$B$6,0))</x:f>
        <x:v>112937925.7</x:v>
      </x:c>
      <x:c r="L51" s="32" t="n">
        <x:f>IF($D51="USD",L50*'Donnees SOMIDA'!$B$5,IF($D51="JPY",L50*'Donnees SOMIDA'!$B$6,0))</x:f>
        <x:v>153175439.6</x:v>
      </x:c>
      <x:c r="M51" s="32" t="n">
        <x:f>IF($D51="USD",M50*'Donnees SOMIDA'!$B$5,IF($D51="JPY",M50*'Donnees SOMIDA'!$B$6,0))</x:f>
        <x:v>162859758.7</x:v>
      </x:c>
      <x:c r="N51" s="32" t="n">
        <x:f>IF($D51="USD",N50*'Donnees SOMIDA'!$B$5,IF($D51="JPY",N50*'Donnees SOMIDA'!$B$6,0))</x:f>
        <x:v>171793842.3</x:v>
      </x:c>
      <x:c r="O51" s="32" t="n">
        <x:f>IF($D51="USD",O50*'Donnees SOMIDA'!$B$5,IF($D51="JPY",O50*'Donnees SOMIDA'!$B$6,0))</x:f>
        <x:v>126236778.1</x:v>
      </x:c>
      <x:c r="P51" s="32" t="n">
        <x:f>IF($D51="USD",P50*'Donnees SOMIDA'!$B$5,IF($D51="JPY",P50*'Donnees SOMIDA'!$B$6,0))</x:f>
        <x:v>167156298.8</x:v>
      </x:c>
      <x:c r="Q51" s="32" t="n">
        <x:f>IF($D51="USD",Q50*'Donnees SOMIDA'!$B$5,IF($D51="JPY",Q50*'Donnees SOMIDA'!$B$6,0))</x:f>
        <x:v>118598432.7</x:v>
      </x:c>
      <x:c r="R51" s="32" t="n">
        <x:f>IF($D51="USD",R50*'Donnees SOMIDA'!$B$5,IF($D51="JPY",R50*'Donnees SOMIDA'!$B$6,0))</x:f>
        <x:v>120848999.1</x:v>
      </x:c>
      <x:c r="S51" s="32" t="n">
        <x:f>SUM(G51:R51)</x:f>
        <x:v>1643396630.1999998</x:v>
      </x:c>
    </x:row>
    <x:row r="52">
      <x:c r="A52" s="20" t="s">
        <x:v>33</x:v>
      </x:c>
      <x:c r="B52" s="20" t="s">
        <x:v>79</x:v>
      </x:c>
      <x:c r="C52" s="21" t="s">
        <x:v>63</x:v>
      </x:c>
      <x:c r="D52" s="21" t="s">
        <x:v>32</x:v>
      </x:c>
      <x:c r="E52" s="21" t="s">
        <x:v>75</x:v>
      </x:c>
      <x:c r="F52" s="21" t="s">
        <x:v>59</x:v>
      </x:c>
      <x:c r="G52" s="31">
        <x:v>15.13</x:v>
      </x:c>
      <x:c r="H52" s="31">
        <x:v>12.3</x:v>
      </x:c>
      <x:c r="I52" s="31">
        <x:v>12.37</x:v>
      </x:c>
      <x:c r="J52" s="31">
        <x:v>15.25</x:v>
      </x:c>
      <x:c r="K52" s="31">
        <x:v>10.48</x:v>
      </x:c>
      <x:c r="L52" s="31">
        <x:v>10.87</x:v>
      </x:c>
      <x:c r="M52" s="31">
        <x:v>16.22</x:v>
      </x:c>
      <x:c r="N52" s="31">
        <x:v>10.79</x:v>
      </x:c>
      <x:c r="O52" s="31">
        <x:v>10.4</x:v>
      </x:c>
      <x:c r="P52" s="31">
        <x:v>16.399999999999999</x:v>
      </x:c>
      <x:c r="Q52" s="31">
        <x:v>12.29</x:v>
      </x:c>
      <x:c r="R52" s="31">
        <x:v>12.3</x:v>
      </x:c>
      <x:c r="S52" s="31">
        <x:v>154.80000000000001</x:v>
      </x:c>
    </x:row>
    <x:row r="53">
      <x:c r="A53" s="20" t="s">
        <x:v>33</x:v>
      </x:c>
      <x:c r="B53" s="20" t="s">
        <x:v>79</x:v>
      </x:c>
      <x:c r="C53" s="21" t="s">
        <x:v>63</x:v>
      </x:c>
      <x:c r="D53" s="21" t="s">
        <x:v>32</x:v>
      </x:c>
      <x:c r="E53" s="21" t="s">
        <x:v>76</x:v>
      </x:c>
      <x:c r="F53" s="21" t="s">
        <x:v>32</x:v>
      </x:c>
      <x:c r="G53" s="31">
        <x:v>18757.23</x:v>
      </x:c>
      <x:c r="H53" s="31">
        <x:v>15248.77</x:v>
      </x:c>
      <x:c r="I53" s="31">
        <x:v>15335.55</x:v>
      </x:c>
      <x:c r="J53" s="31">
        <x:v>18906</x:v>
      </x:c>
      <x:c r="K53" s="31">
        <x:v>12992.45</x:v>
      </x:c>
      <x:c r="L53" s="31">
        <x:v>13475.95</x:v>
      </x:c>
      <x:c r="M53" s="31">
        <x:v>20108.54</x:v>
      </x:c>
      <x:c r="N53" s="31">
        <x:v>13376.77</x:v>
      </x:c>
      <x:c r="O53" s="31">
        <x:v>12893.27</x:v>
      </x:c>
      <x:c r="P53" s="31">
        <x:v>20331.689999999999</x:v>
      </x:c>
      <x:c r="Q53" s="31">
        <x:v>15236.37</x:v>
      </x:c>
      <x:c r="R53" s="31">
        <x:v>15248.77</x:v>
      </x:c>
      <x:c r="S53" s="31">
        <x:v>191911.36000000002</x:v>
      </x:c>
    </x:row>
    <x:row r="54">
      <x:c r="A54" s="22" t="s">
        <x:v>33</x:v>
      </x:c>
      <x:c r="B54" s="22" t="s">
        <x:v>79</x:v>
      </x:c>
      <x:c r="C54" s="22" t="s">
        <x:v>63</x:v>
      </x:c>
      <x:c r="D54" s="22" t="s">
        <x:v>32</x:v>
      </x:c>
      <x:c r="E54" s="22" t="s">
        <x:v>77</x:v>
      </x:c>
      <x:c r="F54" s="22" t="s">
        <x:v>78</x:v>
      </x:c>
      <x:c r="G54" s="32" t="n">
        <x:f>IF($D54="USD",G53*'Donnees SOMIDA'!$B$5,IF($D54="JPY",G53*'Donnees SOMIDA'!$B$6,0))</x:f>
        <x:v>87596264.1</x:v>
      </x:c>
      <x:c r="H54" s="32" t="n">
        <x:f>IF($D54="USD",H53*'Donnees SOMIDA'!$B$5,IF($D54="JPY",H53*'Donnees SOMIDA'!$B$6,0))</x:f>
        <x:v>71211755.9</x:v>
      </x:c>
      <x:c r="I54" s="32" t="n">
        <x:f>IF($D54="USD",I53*'Donnees SOMIDA'!$B$5,IF($D54="JPY",I53*'Donnees SOMIDA'!$B$6,0))</x:f>
        <x:v>71617018.5</x:v>
      </x:c>
      <x:c r="J54" s="32" t="n">
        <x:f>IF($D54="USD",J53*'Donnees SOMIDA'!$B$5,IF($D54="JPY",J53*'Donnees SOMIDA'!$B$6,0))</x:f>
        <x:v>88291020</x:v>
      </x:c>
      <x:c r="K54" s="32" t="n">
        <x:f>IF($D54="USD",K53*'Donnees SOMIDA'!$B$5,IF($D54="JPY",K53*'Donnees SOMIDA'!$B$6,0))</x:f>
        <x:v>60674741.5</x:v>
      </x:c>
      <x:c r="L54" s="32" t="n">
        <x:f>IF($D54="USD",L53*'Donnees SOMIDA'!$B$5,IF($D54="JPY",L53*'Donnees SOMIDA'!$B$6,0))</x:f>
        <x:v>62932686.5</x:v>
      </x:c>
      <x:c r="M54" s="32" t="n">
        <x:f>IF($D54="USD",M53*'Donnees SOMIDA'!$B$5,IF($D54="JPY",M53*'Donnees SOMIDA'!$B$6,0))</x:f>
        <x:v>93906881.8</x:v>
      </x:c>
      <x:c r="N54" s="32" t="n">
        <x:f>IF($D54="USD",N53*'Donnees SOMIDA'!$B$5,IF($D54="JPY",N53*'Donnees SOMIDA'!$B$6,0))</x:f>
        <x:v>62469515.9</x:v>
      </x:c>
      <x:c r="O54" s="32" t="n">
        <x:f>IF($D54="USD",O53*'Donnees SOMIDA'!$B$5,IF($D54="JPY",O53*'Donnees SOMIDA'!$B$6,0))</x:f>
        <x:v>60211570.9</x:v>
      </x:c>
      <x:c r="P54" s="32" t="n">
        <x:f>IF($D54="USD",P53*'Donnees SOMIDA'!$B$5,IF($D54="JPY",P53*'Donnees SOMIDA'!$B$6,0))</x:f>
        <x:v>94948992.3</x:v>
      </x:c>
      <x:c r="Q54" s="32" t="n">
        <x:f>IF($D54="USD",Q53*'Donnees SOMIDA'!$B$5,IF($D54="JPY",Q53*'Donnees SOMIDA'!$B$6,0))</x:f>
        <x:v>71153847.9</x:v>
      </x:c>
      <x:c r="R54" s="32" t="n">
        <x:f>IF($D54="USD",R53*'Donnees SOMIDA'!$B$5,IF($D54="JPY",R53*'Donnees SOMIDA'!$B$6,0))</x:f>
        <x:v>71211755.9</x:v>
      </x:c>
      <x:c r="S54" s="32" t="n">
        <x:f>SUM(G54:R54)</x:f>
        <x:v>896226051.1999999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P5:S5"/>
    <x:mergeCell ref="A7:S7"/>
    <x:mergeCell ref="A5:C5"/>
    <x:mergeCell ref="D5:F5"/>
    <x:mergeCell ref="G5:I5"/>
    <x:mergeCell ref="J5:L5"/>
    <x:mergeCell ref="M5:O5"/>
  </x:mergeCells>
  <x:conditionalFormatting sqref="S10:S54">
    <x:cfRule type="dataBar" priority="1">
      <x:dataBar>
        <x:cfvo type="min"/>
        <x:cfvo type="max"/>
        <x:color rgb="FFA02B93"/>
      </x:dataBar>
    </x:cfRule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5A74A3F-6AFA-3C89-6848-3917534EA35A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5.1640625" customWidth="1"/>
    <x:col min="2" max="2" width="30" customWidth="1"/>
    <x:col min="3" max="3" width="24" customWidth="1"/>
    <x:col min="4" max="4" width="4.6640625" customWidth="1"/>
    <x:col min="5" max="16" width="8.83203125" customWidth="1"/>
    <x:col min="17" max="17" width="9.83203125" customWidth="1"/>
  </x:cols>
  <x:sheetData>
    <x:row r="1" ht="32">
      <x:c r="A1" s="1" t="s">
        <x:v>23</x:v>
      </x:c>
      <x:c r="B1" s="1" t="s">
        <x:v>24</x:v>
      </x:c>
      <x:c r="C1" s="1" t="s">
        <x:v>80</x:v>
      </x:c>
      <x:c r="D1" s="1" t="s">
        <x:v>44</x:v>
      </x:c>
      <x:c r="E1" s="1" t="s">
        <x:v>45</x:v>
      </x:c>
      <x:c r="F1" s="1" t="s">
        <x:v>46</x:v>
      </x:c>
      <x:c r="G1" s="1" t="s">
        <x:v>47</x:v>
      </x:c>
      <x:c r="H1" s="1" t="s">
        <x:v>48</x:v>
      </x:c>
      <x:c r="I1" s="1" t="s">
        <x:v>49</x:v>
      </x:c>
      <x:c r="J1" s="1" t="s">
        <x:v>50</x:v>
      </x:c>
      <x:c r="K1" s="1" t="s">
        <x:v>51</x:v>
      </x:c>
      <x:c r="L1" s="1" t="s">
        <x:v>52</x:v>
      </x:c>
      <x:c r="M1" s="1" t="s">
        <x:v>53</x:v>
      </x:c>
      <x:c r="N1" s="1" t="s">
        <x:v>54</x:v>
      </x:c>
      <x:c r="O1" s="1" t="s">
        <x:v>55</x:v>
      </x:c>
      <x:c r="P1" s="1" t="s">
        <x:v>56</x:v>
      </x:c>
      <x:c r="Q1" s="1" t="s">
        <x:v>57</x:v>
      </x:c>
    </x:row>
    <x:row r="2">
      <x:c r="A2" t="s">
        <x:v>27</x:v>
      </x:c>
      <x:c r="B2" t="s">
        <x:v>28</x:v>
      </x:c>
      <x:c r="C2" t="s">
        <x:v>81</x:v>
      </x:c>
      <x:c r="D2" t="s">
        <x:v>78</x:v>
      </x:c>
      <x:c r="E2" s="4">
        <x:v>17610000</x:v>
      </x:c>
      <x:c r="F2" s="4">
        <x:v>16889000</x:v>
      </x:c>
      <x:c r="G2" s="4">
        <x:v>18146000</x:v>
      </x:c>
      <x:c r="H2" s="4">
        <x:v>16528000</x:v>
      </x:c>
      <x:c r="I2" s="4">
        <x:v>15626000</x:v>
      </x:c>
      <x:c r="J2" s="4">
        <x:v>18048000</x:v>
      </x:c>
      <x:c r="K2" s="4">
        <x:v>16419000</x:v>
      </x:c>
      <x:c r="L2" s="4">
        <x:v>13962000</x:v>
      </x:c>
      <x:c r="M2" s="4">
        <x:v>17805000</x:v>
      </x:c>
      <x:c r="N2" s="4">
        <x:v>17051000</x:v>
      </x:c>
      <x:c r="O2" s="4">
        <x:v>14077000</x:v>
      </x:c>
      <x:c r="P2" s="4">
        <x:v>13900000</x:v>
      </x:c>
      <x:c r="Q2" s="4">
        <x:v>196061000</x:v>
      </x:c>
    </x:row>
    <x:row r="3">
      <x:c r="A3" t="s">
        <x:v>27</x:v>
      </x:c>
      <x:c r="B3" t="s">
        <x:v>28</x:v>
      </x:c>
      <x:c r="C3" t="s">
        <x:v>82</x:v>
      </x:c>
      <x:c r="D3" t="s">
        <x:v>78</x:v>
      </x:c>
      <x:c r="E3" s="4">
        <x:v>7762000</x:v>
      </x:c>
      <x:c r="F3" s="4">
        <x:v>7559000</x:v>
      </x:c>
      <x:c r="G3" s="4">
        <x:v>6544000</x:v>
      </x:c>
      <x:c r="H3" s="4">
        <x:v>6575000</x:v>
      </x:c>
      <x:c r="I3" s="4">
        <x:v>7601000</x:v>
      </x:c>
      <x:c r="J3" s="4">
        <x:v>6612000</x:v>
      </x:c>
      <x:c r="K3" s="4">
        <x:v>8272000</x:v>
      </x:c>
      <x:c r="L3" s="4">
        <x:v>8349000</x:v>
      </x:c>
      <x:c r="M3" s="4">
        <x:v>6265000</x:v>
      </x:c>
      <x:c r="N3" s="4">
        <x:v>8323000</x:v>
      </x:c>
      <x:c r="O3" s="4">
        <x:v>7616000</x:v>
      </x:c>
      <x:c r="P3" s="4">
        <x:v>8197000</x:v>
      </x:c>
      <x:c r="Q3" s="4">
        <x:v>89675000</x:v>
      </x:c>
    </x:row>
    <x:row r="4">
      <x:c r="A4" t="s">
        <x:v>27</x:v>
      </x:c>
      <x:c r="B4" t="s">
        <x:v>28</x:v>
      </x:c>
      <x:c r="C4" t="s">
        <x:v>83</x:v>
      </x:c>
      <x:c r="D4" t="s">
        <x:v>78</x:v>
      </x:c>
      <x:c r="E4" s="4">
        <x:v>10807000</x:v>
      </x:c>
      <x:c r="F4" s="4">
        <x:v>9309000</x:v>
      </x:c>
      <x:c r="G4" s="4">
        <x:v>9542000</x:v>
      </x:c>
      <x:c r="H4" s="4">
        <x:v>8481000</x:v>
      </x:c>
      <x:c r="I4" s="4">
        <x:v>10007000</x:v>
      </x:c>
      <x:c r="J4" s="4">
        <x:v>11098000</x:v>
      </x:c>
      <x:c r="K4" s="4">
        <x:v>10960000</x:v>
      </x:c>
      <x:c r="L4" s="4">
        <x:v>9909000</x:v>
      </x:c>
      <x:c r="M4" s="4">
        <x:v>8864000</x:v>
      </x:c>
      <x:c r="N4" s="4">
        <x:v>10819000</x:v>
      </x:c>
      <x:c r="O4" s="4">
        <x:v>10122000</x:v>
      </x:c>
      <x:c r="P4" s="4">
        <x:v>11345000</x:v>
      </x:c>
      <x:c r="Q4" s="4">
        <x:v>121263000</x:v>
      </x:c>
    </x:row>
    <x:row r="5">
      <x:c r="A5" t="s">
        <x:v>27</x:v>
      </x:c>
      <x:c r="B5" t="s">
        <x:v>28</x:v>
      </x:c>
      <x:c r="C5" t="s">
        <x:v>84</x:v>
      </x:c>
      <x:c r="D5" t="s">
        <x:v>78</x:v>
      </x:c>
      <x:c r="E5" s="4">
        <x:v>54951000</x:v>
      </x:c>
      <x:c r="F5" s="4">
        <x:v>57499000</x:v>
      </x:c>
      <x:c r="G5" s="4">
        <x:v>57240000</x:v>
      </x:c>
      <x:c r="H5" s="4">
        <x:v>62881000</x:v>
      </x:c>
      <x:c r="I5" s="4">
        <x:v>58526000</x:v>
      </x:c>
      <x:c r="J5" s="4">
        <x:v>52783000</x:v>
      </x:c>
      <x:c r="K5" s="4">
        <x:v>51590000</x:v>
      </x:c>
      <x:c r="L5" s="4">
        <x:v>58727000</x:v>
      </x:c>
      <x:c r="M5" s="4">
        <x:v>55034000</x:v>
      </x:c>
      <x:c r="N5" s="4">
        <x:v>53112000</x:v>
      </x:c>
      <x:c r="O5" s="4">
        <x:v>61131000</x:v>
      </x:c>
      <x:c r="P5" s="4">
        <x:v>56110000</x:v>
      </x:c>
      <x:c r="Q5" s="4">
        <x:v>679584000</x:v>
      </x:c>
    </x:row>
    <x:row r="6">
      <x:c r="A6" t="s">
        <x:v>27</x:v>
      </x:c>
      <x:c r="B6" t="s">
        <x:v>28</x:v>
      </x:c>
      <x:c r="C6" t="s">
        <x:v>85</x:v>
      </x:c>
      <x:c r="D6" t="s">
        <x:v>78</x:v>
      </x:c>
      <x:c r="E6" s="4">
        <x:v>5352000</x:v>
      </x:c>
      <x:c r="F6" s="4">
        <x:v>4664000</x:v>
      </x:c>
      <x:c r="G6" s="4">
        <x:v>4947000</x:v>
      </x:c>
      <x:c r="H6" s="4">
        <x:v>4567000</x:v>
      </x:c>
      <x:c r="I6" s="4">
        <x:v>5447000</x:v>
      </x:c>
      <x:c r="J6" s="4">
        <x:v>4620000</x:v>
      </x:c>
      <x:c r="K6" s="4">
        <x:v>5976000</x:v>
      </x:c>
      <x:c r="L6" s="4">
        <x:v>5406000</x:v>
      </x:c>
      <x:c r="M6" s="4">
        <x:v>5122000</x:v>
      </x:c>
      <x:c r="N6" s="4">
        <x:v>5535000</x:v>
      </x:c>
      <x:c r="O6" s="4">
        <x:v>5423000</x:v>
      </x:c>
      <x:c r="P6" s="4">
        <x:v>5235000</x:v>
      </x:c>
      <x:c r="Q6" s="4">
        <x:v>62294000</x:v>
      </x:c>
    </x:row>
    <x:row r="7">
      <x:c r="A7" t="s">
        <x:v>27</x:v>
      </x:c>
      <x:c r="B7" t="s">
        <x:v>28</x:v>
      </x:c>
      <x:c r="C7" t="s">
        <x:v>86</x:v>
      </x:c>
      <x:c r="D7" t="s">
        <x:v>78</x:v>
      </x:c>
      <x:c r="E7" s="4">
        <x:v>3689000</x:v>
      </x:c>
      <x:c r="F7" s="4">
        <x:v>3180000</x:v>
      </x:c>
      <x:c r="G7" s="4">
        <x:v>4156000</x:v>
      </x:c>
      <x:c r="H7" s="4">
        <x:v>3305000</x:v>
      </x:c>
      <x:c r="I7" s="4">
        <x:v>3273000</x:v>
      </x:c>
      <x:c r="J7" s="4">
        <x:v>3258000</x:v>
      </x:c>
      <x:c r="K7" s="4">
        <x:v>3751000</x:v>
      </x:c>
      <x:c r="L7" s="4">
        <x:v>3439000</x:v>
      </x:c>
      <x:c r="M7" s="4">
        <x:v>4238000</x:v>
      </x:c>
      <x:c r="N7" s="4">
        <x:v>3990000</x:v>
      </x:c>
      <x:c r="O7" s="4">
        <x:v>3235000</x:v>
      </x:c>
      <x:c r="P7" s="4">
        <x:v>3826000</x:v>
      </x:c>
      <x:c r="Q7" s="4">
        <x:v>43340000</x:v>
      </x:c>
    </x:row>
    <x:row r="8">
      <x:c r="A8" t="s">
        <x:v>30</x:v>
      </x:c>
      <x:c r="B8" t="s">
        <x:v>31</x:v>
      </x:c>
      <x:c r="C8" t="s">
        <x:v>81</x:v>
      </x:c>
      <x:c r="D8" t="s">
        <x:v>78</x:v>
      </x:c>
      <x:c r="E8" s="4">
        <x:v>15289000</x:v>
      </x:c>
      <x:c r="F8" s="4">
        <x:v>19660000</x:v>
      </x:c>
      <x:c r="G8" s="4">
        <x:v>19356000</x:v>
      </x:c>
      <x:c r="H8" s="4">
        <x:v>18383000</x:v>
      </x:c>
      <x:c r="I8" s="4">
        <x:v>16259000</x:v>
      </x:c>
      <x:c r="J8" s="4">
        <x:v>17107000</x:v>
      </x:c>
      <x:c r="K8" s="4">
        <x:v>16338000</x:v>
      </x:c>
      <x:c r="L8" s="4">
        <x:v>19312000</x:v>
      </x:c>
      <x:c r="M8" s="4">
        <x:v>18245000</x:v>
      </x:c>
      <x:c r="N8" s="4">
        <x:v>16741000</x:v>
      </x:c>
      <x:c r="O8" s="4">
        <x:v>17331000</x:v>
      </x:c>
      <x:c r="P8" s="4">
        <x:v>19063000</x:v>
      </x:c>
      <x:c r="Q8" s="4">
        <x:v>213084000</x:v>
      </x:c>
    </x:row>
    <x:row r="9">
      <x:c r="A9" t="s">
        <x:v>30</x:v>
      </x:c>
      <x:c r="B9" t="s">
        <x:v>31</x:v>
      </x:c>
      <x:c r="C9" t="s">
        <x:v>82</x:v>
      </x:c>
      <x:c r="D9" t="s">
        <x:v>78</x:v>
      </x:c>
      <x:c r="E9" s="4">
        <x:v>7718000</x:v>
      </x:c>
      <x:c r="F9" s="4">
        <x:v>7884000</x:v>
      </x:c>
      <x:c r="G9" s="4">
        <x:v>8137000</x:v>
      </x:c>
      <x:c r="H9" s="4">
        <x:v>7764000</x:v>
      </x:c>
      <x:c r="I9" s="4">
        <x:v>8548000</x:v>
      </x:c>
      <x:c r="J9" s="4">
        <x:v>8120000</x:v>
      </x:c>
      <x:c r="K9" s="4">
        <x:v>8125000</x:v>
      </x:c>
      <x:c r="L9" s="4">
        <x:v>7869000</x:v>
      </x:c>
      <x:c r="M9" s="4">
        <x:v>6762000</x:v>
      </x:c>
      <x:c r="N9" s="4">
        <x:v>8967000</x:v>
      </x:c>
      <x:c r="O9" s="4">
        <x:v>7637000</x:v>
      </x:c>
      <x:c r="P9" s="4">
        <x:v>6804000</x:v>
      </x:c>
      <x:c r="Q9" s="4">
        <x:v>94335000</x:v>
      </x:c>
    </x:row>
    <x:row r="10">
      <x:c r="A10" t="s">
        <x:v>30</x:v>
      </x:c>
      <x:c r="B10" t="s">
        <x:v>31</x:v>
      </x:c>
      <x:c r="C10" t="s">
        <x:v>83</x:v>
      </x:c>
      <x:c r="D10" t="s">
        <x:v>78</x:v>
      </x:c>
      <x:c r="E10" s="4">
        <x:v>10675000</x:v>
      </x:c>
      <x:c r="F10" s="4">
        <x:v>9623000</x:v>
      </x:c>
      <x:c r="G10" s="4">
        <x:v>9949000</x:v>
      </x:c>
      <x:c r="H10" s="4">
        <x:v>10856000</x:v>
      </x:c>
      <x:c r="I10" s="4">
        <x:v>10034000</x:v>
      </x:c>
      <x:c r="J10" s="4">
        <x:v>10566000</x:v>
      </x:c>
      <x:c r="K10" s="4">
        <x:v>11548000</x:v>
      </x:c>
      <x:c r="L10" s="4">
        <x:v>9254000</x:v>
      </x:c>
      <x:c r="M10" s="4">
        <x:v>11117000</x:v>
      </x:c>
      <x:c r="N10" s="4">
        <x:v>10851000</x:v>
      </x:c>
      <x:c r="O10" s="4">
        <x:v>12253000</x:v>
      </x:c>
      <x:c r="P10" s="4">
        <x:v>9564000</x:v>
      </x:c>
      <x:c r="Q10" s="4">
        <x:v>126290000</x:v>
      </x:c>
    </x:row>
    <x:row r="11">
      <x:c r="A11" t="s">
        <x:v>30</x:v>
      </x:c>
      <x:c r="B11" t="s">
        <x:v>31</x:v>
      </x:c>
      <x:c r="C11" t="s">
        <x:v>84</x:v>
      </x:c>
      <x:c r="D11" t="s">
        <x:v>78</x:v>
      </x:c>
      <x:c r="E11" s="4">
        <x:v>58022000</x:v>
      </x:c>
      <x:c r="F11" s="4">
        <x:v>55273000</x:v>
      </x:c>
      <x:c r="G11" s="4">
        <x:v>52721000</x:v>
      </x:c>
      <x:c r="H11" s="4">
        <x:v>54426000</x:v>
      </x:c>
      <x:c r="I11" s="4">
        <x:v>58690000</x:v>
      </x:c>
      <x:c r="J11" s="4">
        <x:v>53357000</x:v>
      </x:c>
      <x:c r="K11" s="4">
        <x:v>53259000</x:v>
      </x:c>
      <x:c r="L11" s="4">
        <x:v>69283000</x:v>
      </x:c>
      <x:c r="M11" s="4">
        <x:v>58609000</x:v>
      </x:c>
      <x:c r="N11" s="4">
        <x:v>51449000</x:v>
      </x:c>
      <x:c r="O11" s="4">
        <x:v>54907000</x:v>
      </x:c>
      <x:c r="P11" s="4">
        <x:v>56104000</x:v>
      </x:c>
      <x:c r="Q11" s="4">
        <x:v>676100000</x:v>
      </x:c>
    </x:row>
    <x:row r="12">
      <x:c r="A12" t="s">
        <x:v>30</x:v>
      </x:c>
      <x:c r="B12" t="s">
        <x:v>31</x:v>
      </x:c>
      <x:c r="C12" t="s">
        <x:v>85</x:v>
      </x:c>
      <x:c r="D12" t="s">
        <x:v>78</x:v>
      </x:c>
      <x:c r="E12" s="4">
        <x:v>6271000</x:v>
      </x:c>
      <x:c r="F12" s="4">
        <x:v>5795000</x:v>
      </x:c>
      <x:c r="G12" s="4">
        <x:v>6464000</x:v>
      </x:c>
      <x:c r="H12" s="4">
        <x:v>5036000</x:v>
      </x:c>
      <x:c r="I12" s="4">
        <x:v>5179000</x:v>
      </x:c>
      <x:c r="J12" s="4">
        <x:v>6463000</x:v>
      </x:c>
      <x:c r="K12" s="4">
        <x:v>5267000</x:v>
      </x:c>
      <x:c r="L12" s="4">
        <x:v>6343000</x:v>
      </x:c>
      <x:c r="M12" s="4">
        <x:v>6276000</x:v>
      </x:c>
      <x:c r="N12" s="4">
        <x:v>5860000</x:v>
      </x:c>
      <x:c r="O12" s="4">
        <x:v>6442000</x:v>
      </x:c>
      <x:c r="P12" s="4">
        <x:v>5839000</x:v>
      </x:c>
      <x:c r="Q12" s="4">
        <x:v>71235000</x:v>
      </x:c>
    </x:row>
    <x:row r="13">
      <x:c r="A13" t="s">
        <x:v>30</x:v>
      </x:c>
      <x:c r="B13" t="s">
        <x:v>31</x:v>
      </x:c>
      <x:c r="C13" t="s">
        <x:v>86</x:v>
      </x:c>
      <x:c r="D13" t="s">
        <x:v>78</x:v>
      </x:c>
      <x:c r="E13" s="4">
        <x:v>3466000</x:v>
      </x:c>
      <x:c r="F13" s="4">
        <x:v>4583000</x:v>
      </x:c>
      <x:c r="G13" s="4">
        <x:v>4605000</x:v>
      </x:c>
      <x:c r="H13" s="4">
        <x:v>4261000</x:v>
      </x:c>
      <x:c r="I13" s="4">
        <x:v>4439000</x:v>
      </x:c>
      <x:c r="J13" s="4">
        <x:v>4046000</x:v>
      </x:c>
      <x:c r="K13" s="4">
        <x:v>4551000</x:v>
      </x:c>
      <x:c r="L13" s="4">
        <x:v>4579000</x:v>
      </x:c>
      <x:c r="M13" s="4">
        <x:v>4513000</x:v>
      </x:c>
      <x:c r="N13" s="4">
        <x:v>4592000</x:v>
      </x:c>
      <x:c r="O13" s="4">
        <x:v>4209000</x:v>
      </x:c>
      <x:c r="P13" s="4">
        <x:v>4596000</x:v>
      </x:c>
      <x:c r="Q13" s="4">
        <x:v>52440000</x:v>
      </x:c>
    </x:row>
    <x:row r="14">
      <x:c r="A14" t="s">
        <x:v>33</x:v>
      </x:c>
      <x:c r="B14" t="str">
        <x:v>REPRESENTANT CHINE</x:v>
      </x:c>
      <x:c r="C14" t="s">
        <x:v>81</x:v>
      </x:c>
      <x:c r="D14" t="s">
        <x:v>78</x:v>
      </x:c>
      <x:c r="E14" s="4">
        <x:v>12233000</x:v>
      </x:c>
      <x:c r="F14" s="4">
        <x:v>12421000</x:v>
      </x:c>
      <x:c r="G14" s="4">
        <x:v>14802000</x:v>
      </x:c>
      <x:c r="H14" s="4">
        <x:v>13219000</x:v>
      </x:c>
      <x:c r="I14" s="4">
        <x:v>12065000</x:v>
      </x:c>
      <x:c r="J14" s="4">
        <x:v>14657000</x:v>
      </x:c>
      <x:c r="K14" s="4">
        <x:v>12219000</x:v>
      </x:c>
      <x:c r="L14" s="4">
        <x:v>15962000</x:v>
      </x:c>
      <x:c r="M14" s="4">
        <x:v>12337000</x:v>
      </x:c>
      <x:c r="N14" s="4">
        <x:v>15010000</x:v>
      </x:c>
      <x:c r="O14" s="4">
        <x:v>14355000</x:v>
      </x:c>
      <x:c r="P14" s="4">
        <x:v>14359000</x:v>
      </x:c>
      <x:c r="Q14" s="4">
        <x:v>163639000</x:v>
      </x:c>
    </x:row>
    <x:row r="15">
      <x:c r="A15" t="s">
        <x:v>33</x:v>
      </x:c>
      <x:c r="B15" t="str">
        <x:v>REPRESENTANT CHINE</x:v>
      </x:c>
      <x:c r="C15" t="s">
        <x:v>82</x:v>
      </x:c>
      <x:c r="D15" t="s">
        <x:v>78</x:v>
      </x:c>
      <x:c r="E15" s="4">
        <x:v>6521000</x:v>
      </x:c>
      <x:c r="F15" s="4">
        <x:v>6567000</x:v>
      </x:c>
      <x:c r="G15" s="4">
        <x:v>6480000</x:v>
      </x:c>
      <x:c r="H15" s="4">
        <x:v>5619000</x:v>
      </x:c>
      <x:c r="I15" s="4">
        <x:v>6201000</x:v>
      </x:c>
      <x:c r="J15" s="4">
        <x:v>6560000</x:v>
      </x:c>
      <x:c r="K15" s="4">
        <x:v>6419000</x:v>
      </x:c>
      <x:c r="L15" s="4">
        <x:v>5987000</x:v>
      </x:c>
      <x:c r="M15" s="4">
        <x:v>5545000</x:v>
      </x:c>
      <x:c r="N15" s="4">
        <x:v>6267000</x:v>
      </x:c>
      <x:c r="O15" s="4">
        <x:v>5689000</x:v>
      </x:c>
      <x:c r="P15" s="4">
        <x:v>6829000</x:v>
      </x:c>
      <x:c r="Q15" s="4">
        <x:v>74684000</x:v>
      </x:c>
    </x:row>
    <x:row r="16">
      <x:c r="A16" t="s">
        <x:v>33</x:v>
      </x:c>
      <x:c r="B16" t="str">
        <x:v>REPRESENTANT CHINE</x:v>
      </x:c>
      <x:c r="C16" t="s">
        <x:v>83</x:v>
      </x:c>
      <x:c r="D16" t="s">
        <x:v>78</x:v>
      </x:c>
      <x:c r="E16" s="4">
        <x:v>7995000</x:v>
      </x:c>
      <x:c r="F16" s="4">
        <x:v>8150000</x:v>
      </x:c>
      <x:c r="G16" s="4">
        <x:v>9005000</x:v>
      </x:c>
      <x:c r="H16" s="4">
        <x:v>8861000</x:v>
      </x:c>
      <x:c r="I16" s="4">
        <x:v>8416000</x:v>
      </x:c>
      <x:c r="J16" s="4">
        <x:v>8262000</x:v>
      </x:c>
      <x:c r="K16" s="4">
        <x:v>9236000</x:v>
      </x:c>
      <x:c r="L16" s="4">
        <x:v>7969000</x:v>
      </x:c>
      <x:c r="M16" s="4">
        <x:v>7766000</x:v>
      </x:c>
      <x:c r="N16" s="4">
        <x:v>8435000</x:v>
      </x:c>
      <x:c r="O16" s="4">
        <x:v>9506000</x:v>
      </x:c>
      <x:c r="P16" s="4">
        <x:v>7867000</x:v>
      </x:c>
      <x:c r="Q16" s="4">
        <x:v>101468000</x:v>
      </x:c>
    </x:row>
    <x:row r="17">
      <x:c r="A17" t="s">
        <x:v>33</x:v>
      </x:c>
      <x:c r="B17" t="str">
        <x:v>REPRESENTANT CHINE</x:v>
      </x:c>
      <x:c r="C17" t="s">
        <x:v>84</x:v>
      </x:c>
      <x:c r="D17" t="s">
        <x:v>78</x:v>
      </x:c>
      <x:c r="E17" s="4">
        <x:v>56096000</x:v>
      </x:c>
      <x:c r="F17" s="4">
        <x:v>54942000</x:v>
      </x:c>
      <x:c r="G17" s="4">
        <x:v>53698000</x:v>
      </x:c>
      <x:c r="H17" s="4">
        <x:v>54349000</x:v>
      </x:c>
      <x:c r="I17" s="4">
        <x:v>49170000</x:v>
      </x:c>
      <x:c r="J17" s="4">
        <x:v>52426000</x:v>
      </x:c>
      <x:c r="K17" s="4">
        <x:v>52326000</x:v>
      </x:c>
      <x:c r="L17" s="4">
        <x:v>46911000</x:v>
      </x:c>
      <x:c r="M17" s="4">
        <x:v>49476000</x:v>
      </x:c>
      <x:c r="N17" s="4">
        <x:v>43833000</x:v>
      </x:c>
      <x:c r="O17" s="4">
        <x:v>42141000</x:v>
      </x:c>
      <x:c r="P17" s="4">
        <x:v>47760000</x:v>
      </x:c>
      <x:c r="Q17" s="4">
        <x:v>603128000</x:v>
      </x:c>
    </x:row>
    <x:row r="18">
      <x:c r="A18" t="s">
        <x:v>33</x:v>
      </x:c>
      <x:c r="B18" t="str">
        <x:v>REPRESENTANT CHINE</x:v>
      </x:c>
      <x:c r="C18" t="s">
        <x:v>85</x:v>
      </x:c>
      <x:c r="D18" t="s">
        <x:v>78</x:v>
      </x:c>
      <x:c r="E18" s="4">
        <x:v>5379000</x:v>
      </x:c>
      <x:c r="F18" s="4">
        <x:v>4716000</x:v>
      </x:c>
      <x:c r="G18" s="4">
        <x:v>4604000</x:v>
      </x:c>
      <x:c r="H18" s="4">
        <x:v>4814000</x:v>
      </x:c>
      <x:c r="I18" s="4">
        <x:v>4737000</x:v>
      </x:c>
      <x:c r="J18" s="4">
        <x:v>4515000</x:v>
      </x:c>
      <x:c r="K18" s="4">
        <x:v>5063000</x:v>
      </x:c>
      <x:c r="L18" s="4">
        <x:v>4848000</x:v>
      </x:c>
      <x:c r="M18" s="4">
        <x:v>4932000</x:v>
      </x:c>
      <x:c r="N18" s="4">
        <x:v>4348000</x:v>
      </x:c>
      <x:c r="O18" s="4">
        <x:v>4545000</x:v>
      </x:c>
      <x:c r="P18" s="4">
        <x:v>4358000</x:v>
      </x:c>
      <x:c r="Q18" s="4">
        <x:v>56859000</x:v>
      </x:c>
    </x:row>
    <x:row r="19">
      <x:c r="A19" t="s">
        <x:v>33</x:v>
      </x:c>
      <x:c r="B19" t="str">
        <x:v>REPRESENTANT CHINE</x:v>
      </x:c>
      <x:c r="C19" t="s">
        <x:v>86</x:v>
      </x:c>
      <x:c r="D19" t="s">
        <x:v>78</x:v>
      </x:c>
      <x:c r="E19" s="4">
        <x:v>3109000</x:v>
      </x:c>
      <x:c r="F19" s="4">
        <x:v>3477000</x:v>
      </x:c>
      <x:c r="G19" s="4">
        <x:v>3482000</x:v>
      </x:c>
      <x:c r="H19" s="4">
        <x:v>3369000</x:v>
      </x:c>
      <x:c r="I19" s="4">
        <x:v>3112000</x:v>
      </x:c>
      <x:c r="J19" s="4">
        <x:v>3334000</x:v>
      </x:c>
      <x:c r="K19" s="4">
        <x:v>3772000</x:v>
      </x:c>
      <x:c r="L19" s="4">
        <x:v>3147000</x:v>
      </x:c>
      <x:c r="M19" s="4">
        <x:v>3538000</x:v>
      </x:c>
      <x:c r="N19" s="4">
        <x:v>3516000</x:v>
      </x:c>
      <x:c r="O19" s="4">
        <x:v>3392000</x:v>
      </x:c>
      <x:c r="P19" s="4">
        <x:v>3048000</x:v>
      </x:c>
      <x:c r="Q19" s="4">
        <x:v>40296000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2" max="2" width="28.5" customWidth="1"/>
    <x:col min="3" max="3" width="11.1640625" customWidth="1"/>
    <x:col min="4" max="4" width="24" customWidth="1"/>
    <x:col min="5" max="5" width="23.5" customWidth="1"/>
    <x:col min="6" max="6" width="18.1640625" customWidth="1"/>
    <x:col min="7" max="7" width="23.1640625" customWidth="1"/>
    <x:col min="8" max="11" width="11.1640625" customWidth="1"/>
    <x:col min="12" max="12" width="30.33203125" customWidth="1"/>
    <x:col min="13" max="14" width="11.1640625" customWidth="1"/>
    <x:col min="15" max="15" width="26.33203125" customWidth="1"/>
  </x:cols>
  <x:sheetData>
    <x:row r="1" ht="16">
      <x:c r="A1" s="1" t="s">
        <x:v>74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</x:row>
    <x:row r="2">
      <x:c r="A2" t="s">
        <x:v>87</x:v>
      </x:c>
      <x:c r="B2" t="s">
        <x:v>78</x:v>
      </x:c>
      <x:c r="C2" s="4" t="n">
        <x:f>SUMIF(Exportations!$E$2:$E$59,"Chiffre d'affaires MGA",Exportations!$G$2:$G$59)</x:f>
        <x:v>1635371699.109</x:v>
      </x:c>
      <x:c r="D2" s="4" t="n">
        <x:f>SUMIF(Exportations!$E$2:$E$59,"Chiffre d'affaires MGA",Exportations!$H$2:$H$59)</x:f>
        <x:v>1784169665.412</x:v>
      </x:c>
      <x:c r="E2" s="4" t="n">
        <x:f>SUMIF(Exportations!$E$2:$E$59,"Chiffre d'affaires MGA",Exportations!$I$2:$I$59)</x:f>
        <x:v>1749441427.753</x:v>
      </x:c>
      <x:c r="F2" s="4" t="n">
        <x:f>SUMIF(Exportations!$E$2:$E$59,"Chiffre d'affaires MGA",Exportations!$J$2:$J$59)</x:f>
        <x:v>1801994390.9760003</x:v>
      </x:c>
      <x:c r="G2" s="4" t="n">
        <x:f>SUMIF(Exportations!$E$2:$E$59,"Chiffre d'affaires MGA",Exportations!$K$2:$K$59)</x:f>
        <x:v>1741534370.3470004</x:v>
      </x:c>
      <x:c r="H2" s="4" t="n">
        <x:f>SUMIF(Exportations!$E$2:$E$59,"Chiffre d'affaires MGA",Exportations!$L$2:$L$59)</x:f>
        <x:v>1545649412.868</x:v>
      </x:c>
      <x:c r="I2" s="4" t="n">
        <x:f>SUMIF(Exportations!$E$2:$E$59,"Chiffre d'affaires MGA",Exportations!$M$2:$M$59)</x:f>
        <x:v>1795216394.469</x:v>
      </x:c>
      <x:c r="J2" s="4" t="n">
        <x:f>SUMIF(Exportations!$E$2:$E$59,"Chiffre d'affaires MGA",Exportations!$N$2:$N$59)</x:f>
        <x:v>1851675571.884</x:v>
      </x:c>
      <x:c r="K2" s="4" t="n">
        <x:f>SUMIF(Exportations!$E$2:$E$59,"Chiffre d'affaires MGA",Exportations!$O$2:$O$59)</x:f>
        <x:v>1651242626.238</x:v>
      </x:c>
      <x:c r="L2" s="4" t="n">
        <x:f>SUMIF(Exportations!$E$2:$E$59,"Chiffre d'affaires MGA",Exportations!$P$2:$P$59)</x:f>
        <x:v>1687009333.381</x:v>
      </x:c>
      <x:c r="M2" s="4" t="n">
        <x:f>SUMIF(Exportations!$E$2:$E$59,"Chiffre d'affaires MGA",Exportations!$Q$2:$Q$59)</x:f>
        <x:v>1741591019.338</x:v>
      </x:c>
      <x:c r="N2" s="4" t="n">
        <x:f>SUMIF(Exportations!$E$2:$E$59,"Chiffre d'affaires MGA",Exportations!$R$2:$R$59)</x:f>
        <x:v>1623062212.3899999</x:v>
      </x:c>
      <x:c r="O2" s="4" t="n">
        <x:f>SUM(C2:N2)</x:f>
        <x:v>20607958124.165</x:v>
      </x:c>
    </x:row>
    <x:row r="3">
      <x:c r="A3" t="s">
        <x:v>88</x:v>
      </x:c>
      <x:c r="B3" t="s">
        <x:v>78</x:v>
      </x:c>
      <x:c r="C3" s="4" t="n">
        <x:f>SUMIF(Charges!$A$2:$A$40,"PRODUCTION",Charges!$E$2:$E$40)+SUMIF(Charges!$A$2:$A$40,"ADMINISTRATION",Charges!$E$2:$E$40)+SUMIF(Charges!$A$2:$A$40,"LOGISTIQUE",Charges!$E$2:$E$40)+SUMIF(Charges!$A$2:$A$40,"SECURITE",Charges!$E$2:$E$40)+SUMIF(Charges!$A$2:$A$40,"FISCAL",Charges!$E$2:$E$40)</x:f>
        <x:v>532820000</x:v>
      </x:c>
      <x:c r="D3" s="4" t="n">
        <x:f>SUMIF(Charges!$A$2:$A$40,"PRODUCTION",Charges!$F$2:$F$40)+SUMIF(Charges!$A$2:$A$40,"ADMINISTRATION",Charges!$F$2:$F$40)+SUMIF(Charges!$A$2:$A$40,"LOGISTIQUE",Charges!$F$2:$F$40)+SUMIF(Charges!$A$2:$A$40,"SECURITE",Charges!$F$2:$F$40)+SUMIF(Charges!$A$2:$A$40,"FISCAL",Charges!$F$2:$F$40)</x:f>
        <x:v>529948000</x:v>
      </x:c>
      <x:c r="E3" s="4" t="n">
        <x:f>SUMIF(Charges!$A$2:$A$40,"PRODUCTION",Charges!$G$2:$G$40)+SUMIF(Charges!$A$2:$A$40,"ADMINISTRATION",Charges!$G$2:$G$40)+SUMIF(Charges!$A$2:$A$40,"LOGISTIQUE",Charges!$G$2:$G$40)+SUMIF(Charges!$A$2:$A$40,"SECURITE",Charges!$G$2:$G$40)+SUMIF(Charges!$A$2:$A$40,"FISCAL",Charges!$G$2:$G$40)</x:f>
        <x:v>516338000</x:v>
      </x:c>
      <x:c r="F3" s="4" t="n">
        <x:f>SUMIF(Charges!$A$2:$A$40,"PRODUCTION",Charges!$H$2:$H$40)+SUMIF(Charges!$A$2:$A$40,"ADMINISTRATION",Charges!$H$2:$H$40)+SUMIF(Charges!$A$2:$A$40,"LOGISTIQUE",Charges!$H$2:$H$40)+SUMIF(Charges!$A$2:$A$40,"SECURITE",Charges!$H$2:$H$40)+SUMIF(Charges!$A$2:$A$40,"FISCAL",Charges!$H$2:$H$40)</x:f>
        <x:v>539745000</x:v>
      </x:c>
      <x:c r="G3" s="4" t="n">
        <x:f>SUMIF(Charges!$A$2:$A$40,"PRODUCTION",Charges!$I$2:$I$40)+SUMIF(Charges!$A$2:$A$40,"ADMINISTRATION",Charges!$I$2:$I$40)+SUMIF(Charges!$A$2:$A$40,"LOGISTIQUE",Charges!$I$2:$I$40)+SUMIF(Charges!$A$2:$A$40,"SECURITE",Charges!$I$2:$I$40)+SUMIF(Charges!$A$2:$A$40,"FISCAL",Charges!$I$2:$I$40)</x:f>
        <x:v>521485000</x:v>
      </x:c>
      <x:c r="H3" s="4" t="n">
        <x:f>SUMIF(Charges!$A$2:$A$40,"PRODUCTION",Charges!$J$2:$J$40)+SUMIF(Charges!$A$2:$A$40,"ADMINISTRATION",Charges!$J$2:$J$40)+SUMIF(Charges!$A$2:$A$40,"LOGISTIQUE",Charges!$J$2:$J$40)+SUMIF(Charges!$A$2:$A$40,"SECURITE",Charges!$J$2:$J$40)+SUMIF(Charges!$A$2:$A$40,"FISCAL",Charges!$J$2:$J$40)</x:f>
        <x:v>514060000</x:v>
      </x:c>
      <x:c r="I3" s="4" t="n">
        <x:f>SUMIF(Charges!$A$2:$A$40,"PRODUCTION",Charges!$K$2:$K$40)+SUMIF(Charges!$A$2:$A$40,"ADMINISTRATION",Charges!$K$2:$K$40)+SUMIF(Charges!$A$2:$A$40,"LOGISTIQUE",Charges!$K$2:$K$40)+SUMIF(Charges!$A$2:$A$40,"SECURITE",Charges!$K$2:$K$40)+SUMIF(Charges!$A$2:$A$40,"FISCAL",Charges!$K$2:$K$40)</x:f>
        <x:v>532395000</x:v>
      </x:c>
      <x:c r="J3" s="4" t="n">
        <x:f>SUMIF(Charges!$A$2:$A$40,"PRODUCTION",Charges!$L$2:$L$40)+SUMIF(Charges!$A$2:$A$40,"ADMINISTRATION",Charges!$L$2:$L$40)+SUMIF(Charges!$A$2:$A$40,"LOGISTIQUE",Charges!$L$2:$L$40)+SUMIF(Charges!$A$2:$A$40,"SECURITE",Charges!$L$2:$L$40)+SUMIF(Charges!$A$2:$A$40,"FISCAL",Charges!$L$2:$L$40)</x:f>
        <x:v>552109000</x:v>
      </x:c>
      <x:c r="K3" s="4" t="n">
        <x:f>SUMIF(Charges!$A$2:$A$40,"PRODUCTION",Charges!$M$2:$M$40)+SUMIF(Charges!$A$2:$A$40,"ADMINISTRATION",Charges!$M$2:$M$40)+SUMIF(Charges!$A$2:$A$40,"LOGISTIQUE",Charges!$M$2:$M$40)+SUMIF(Charges!$A$2:$A$40,"SECURITE",Charges!$M$2:$M$40)+SUMIF(Charges!$A$2:$A$40,"FISCAL",Charges!$M$2:$M$40)</x:f>
        <x:v>554560000</x:v>
      </x:c>
      <x:c r="L3" s="4" t="n">
        <x:f>SUMIF(Charges!$A$2:$A$40,"PRODUCTION",Charges!$N$2:$N$40)+SUMIF(Charges!$A$2:$A$40,"ADMINISTRATION",Charges!$N$2:$N$40)+SUMIF(Charges!$A$2:$A$40,"LOGISTIQUE",Charges!$N$2:$N$40)+SUMIF(Charges!$A$2:$A$40,"SECURITE",Charges!$N$2:$N$40)+SUMIF(Charges!$A$2:$A$40,"FISCAL",Charges!$N$2:$N$40)</x:f>
        <x:v>557327000</x:v>
      </x:c>
      <x:c r="M3" s="4" t="n">
        <x:f>SUMIF(Charges!$A$2:$A$40,"PRODUCTION",Charges!$O$2:$O$40)+SUMIF(Charges!$A$2:$A$40,"ADMINISTRATION",Charges!$O$2:$O$40)+SUMIF(Charges!$A$2:$A$40,"LOGISTIQUE",Charges!$O$2:$O$40)+SUMIF(Charges!$A$2:$A$40,"SECURITE",Charges!$O$2:$O$40)+SUMIF(Charges!$A$2:$A$40,"FISCAL",Charges!$O$2:$O$40)</x:f>
        <x:v>542957000</x:v>
      </x:c>
      <x:c r="N3" s="4" t="n">
        <x:f>SUMIF(Charges!$A$2:$A$40,"PRODUCTION",Charges!$P$2:$P$40)+SUMIF(Charges!$A$2:$A$40,"ADMINISTRATION",Charges!$P$2:$P$40)+SUMIF(Charges!$A$2:$A$40,"LOGISTIQUE",Charges!$P$2:$P$40)+SUMIF(Charges!$A$2:$A$40,"SECURITE",Charges!$P$2:$P$40)+SUMIF(Charges!$A$2:$A$40,"FISCAL",Charges!$P$2:$P$40)</x:f>
        <x:v>549562000</x:v>
      </x:c>
      <x:c r="O3" s="4" t="n">
        <x:f>SUM(C3:N3)</x:f>
        <x:v>6443306000</x:v>
      </x:c>
    </x:row>
    <x:row r="4">
      <x:c r="A4" t="s">
        <x:v>89</x:v>
      </x:c>
      <x:c r="B4" t="s">
        <x:v>78</x:v>
      </x:c>
      <x:c r="C4" s="4" t="n">
        <x:f>SUM('Frais Export'!$E$2:$E$19)</x:f>
        <x:v>292945000</x:v>
      </x:c>
      <x:c r="D4" s="4" t="n">
        <x:f>SUM('Frais Export'!$F$2:$F$19)</x:f>
        <x:v>292191000</x:v>
      </x:c>
      <x:c r="E4" s="4" t="n">
        <x:f>SUM('Frais Export'!$G$2:$G$19)</x:f>
        <x:v>293878000</x:v>
      </x:c>
      <x:c r="F4" s="4" t="n">
        <x:f>SUM('Frais Export'!$H$2:$H$19)</x:f>
        <x:v>293294000</x:v>
      </x:c>
      <x:c r="G4" s="4" t="n">
        <x:f>SUM('Frais Export'!$I$2:$I$19)</x:f>
        <x:v>287330000</x:v>
      </x:c>
      <x:c r="H4" s="4" t="n">
        <x:f>SUM('Frais Export'!$J$2:$J$19)</x:f>
        <x:v>285832000</x:v>
      </x:c>
      <x:c r="I4" s="4" t="n">
        <x:f>SUM('Frais Export'!$K$2:$K$19)</x:f>
        <x:v>285091000</x:v>
      </x:c>
      <x:c r="J4" s="4" t="n">
        <x:f>SUM('Frais Export'!$L$2:$L$19)</x:f>
        <x:v>301256000</x:v>
      </x:c>
      <x:c r="K4" s="4" t="n">
        <x:f>SUM('Frais Export'!$M$2:$M$19)</x:f>
        <x:v>286444000</x:v>
      </x:c>
      <x:c r="L4" s="4" t="n">
        <x:f>SUM('Frais Export'!$N$2:$N$19)</x:f>
        <x:v>278699000</x:v>
      </x:c>
      <x:c r="M4" s="4" t="n">
        <x:f>SUM('Frais Export'!$O$2:$O$19)</x:f>
        <x:v>284011000</x:v>
      </x:c>
      <x:c r="N4" s="4" t="n">
        <x:f>SUM('Frais Export'!$P$2:$P$19)</x:f>
        <x:v>284804000</x:v>
      </x:c>
      <x:c r="O4" s="4" t="n">
        <x:f>SUM(C4:N4)</x:f>
        <x:v>3465775000</x:v>
      </x:c>
    </x:row>
    <x:row r="5">
      <x:c r="A5" t="s">
        <x:v>90</x:v>
      </x:c>
      <x:c r="B5" t="s">
        <x:v>78</x:v>
      </x:c>
      <x:c r="C5" s="4" t="n">
        <x:f>SUM(Employes!$I$2:$I$61)</x:f>
        <x:v>327882000</x:v>
      </x:c>
      <x:c r="D5" s="4" t="n">
        <x:f>SUM(Employes!$I$2:$I$61)</x:f>
        <x:v>327882000</x:v>
      </x:c>
      <x:c r="E5" s="4" t="n">
        <x:f>SUM(Employes!$I$2:$I$61)</x:f>
        <x:v>327882000</x:v>
      </x:c>
      <x:c r="F5" s="4" t="n">
        <x:f>SUM(Employes!$I$2:$I$61)</x:f>
        <x:v>327882000</x:v>
      </x:c>
      <x:c r="G5" s="4" t="n">
        <x:f>SUM(Employes!$I$2:$I$61)</x:f>
        <x:v>327882000</x:v>
      </x:c>
      <x:c r="H5" s="4" t="n">
        <x:f>SUM(Employes!$I$2:$I$61)</x:f>
        <x:v>327882000</x:v>
      </x:c>
      <x:c r="I5" s="4" t="n">
        <x:f>SUM(Employes!$I$2:$I$61)</x:f>
        <x:v>327882000</x:v>
      </x:c>
      <x:c r="J5" s="4" t="n">
        <x:f>SUM(Employes!$I$2:$I$61)</x:f>
        <x:v>327882000</x:v>
      </x:c>
      <x:c r="K5" s="4" t="n">
        <x:f>SUM(Employes!$I$2:$I$61)</x:f>
        <x:v>327882000</x:v>
      </x:c>
      <x:c r="L5" s="4" t="n">
        <x:f>SUM(Employes!$I$2:$I$61)</x:f>
        <x:v>327882000</x:v>
      </x:c>
      <x:c r="M5" s="4" t="n">
        <x:f>SUM(Employes!$I$2:$I$61)</x:f>
        <x:v>327882000</x:v>
      </x:c>
      <x:c r="N5" s="4" t="n">
        <x:f>SUM(Employes!$I$2:$I$61)</x:f>
        <x:v>327882000</x:v>
      </x:c>
      <x:c r="O5" s="4" t="n">
        <x:f>SUM(C5:N5)</x:f>
        <x:v>3934584000</x:v>
      </x:c>
    </x:row>
    <x:row r="6">
      <x:c r="A6" t="s">
        <x:v>91</x:v>
      </x:c>
      <x:c r="B6" t="s">
        <x:v>78</x:v>
      </x:c>
      <x:c r="C6" s="4" t="n">
        <x:f t="shared" ref="C6:N6" si="0">C2-C3-C4-C5-C8</x:f>
        <x:v>476892593.9403091</x:v>
      </x:c>
      <x:c r="D6" s="4" t="n">
        <x:f t="shared" si="0">D2-D3-D4-D5-D8</x:f>
        <x:v>623420310.243309</x:v>
      </x:c>
      <x:c r="E6" s="4" t="n">
        <x:f t="shared" si="0">E2-E3-E4-E5-E8</x:f>
        <x:v>600615072.5843091</x:v>
      </x:c>
      <x:c r="F6" s="4" t="n">
        <x:f t="shared" si="0">F2-F3-F4-F5-F8</x:f>
        <x:v>630345035.8073094</x:v>
      </x:c>
      <x:c r="G6" s="4" t="n">
        <x:f t="shared" si="0">G2-G3-G4-G5-G8</x:f>
        <x:v>594109015.1783094</x:v>
      </x:c>
      <x:c r="H6" s="4" t="n">
        <x:f t="shared" si="0">H2-H3-H4-H5-H8</x:f>
        <x:v>407147057.6993092</x:v>
      </x:c>
      <x:c r="I6" s="4" t="n">
        <x:f t="shared" si="0">I2-I3-I4-I5-I8</x:f>
        <x:v>639120039.3003092</x:v>
      </x:c>
      <x:c r="J6" s="4" t="n">
        <x:f t="shared" si="0">J2-J3-J4-J5-J8</x:f>
        <x:v>659700216.7153091</x:v>
      </x:c>
      <x:c r="K6" s="4" t="n">
        <x:f t="shared" si="0">K2-K3-K4-K5-K8</x:f>
        <x:v>471628271.06930906</x:v>
      </x:c>
      <x:c r="L6" s="4" t="n">
        <x:f t="shared" si="0">L2-L3-L4-L5-L8</x:f>
        <x:v>512372978.2123092</x:v>
      </x:c>
      <x:c r="M6" s="4" t="n">
        <x:f t="shared" si="0">M2-M3-M4-M5-M8</x:f>
        <x:v>576012664.1693091</x:v>
      </x:c>
      <x:c r="N6" s="4" t="n">
        <x:f t="shared" si="0">N2-N3-N4-N5-N8</x:f>
        <x:v>450085857.221309</x:v>
      </x:c>
      <x:c r="O6" s="4" t="n">
        <x:f>SUM(C6:N6)</x:f>
        <x:v>6641449112.14071</x:v>
      </x:c>
    </x:row>
    <x:row r="7">
      <x:c r="A7" t="s">
        <x:v>92</x:v>
      </x:c>
      <x:c r="B7" t="s">
        <x:v>8</x:v>
      </x:c>
      <x:c r="C7" s="6" t="n">
        <x:f t="shared" ref="C7:O7" si="1">IFERROR(C6/C2,0)</x:f>
        <x:v>0.2916111329309017</x:v>
      </x:c>
      <x:c r="D7" s="6" t="n">
        <x:f t="shared" si="1">IFERROR(D6/D2,0)</x:f>
        <x:v>0.3494176155603167</x:v>
      </x:c>
      <x:c r="E7" s="6" t="n">
        <x:f t="shared" si="1">IFERROR(E6/E2,0)</x:f>
        <x:v>0.3433181946284107</x:v>
      </x:c>
      <x:c r="F7" s="6" t="n">
        <x:f t="shared" si="1">IFERROR(F6/F2,0)</x:f>
        <x:v>0.3498041053645569</x:v>
      </x:c>
      <x:c r="G7" s="6" t="n">
        <x:f t="shared" si="1">IFERROR(G6/G2,0)</x:f>
        <x:v>0.3411411369733308</x:v>
      </x:c>
      <x:c r="H7" s="6" t="n">
        <x:f t="shared" si="1">IFERROR(H6/H2,0)</x:f>
        <x:v>0.26341488199696933</x:v>
      </x:c>
      <x:c r="I7" s="6" t="n">
        <x:f t="shared" si="1">IFERROR(I6/I2,0)</x:f>
        <x:v>0.3560128134242847</x:v>
      </x:c>
      <x:c r="J7" s="6" t="n">
        <x:f t="shared" si="1">IFERROR(J6/J2,0)</x:f>
        <x:v>0.3562720309822377</x:v>
      </x:c>
      <x:c r="K7" s="6" t="n">
        <x:f t="shared" si="1">IFERROR(K6/K2,0)</x:f>
        <x:v>0.28562021327163306</x:v>
      </x:c>
      <x:c r="L7" s="6" t="n">
        <x:f t="shared" si="1">IFERROR(L6/L2,0)</x:f>
        <x:v>0.30371674185432207</x:v>
      </x:c>
      <x:c r="M7" s="6" t="n">
        <x:f t="shared" si="1">IFERROR(M6/M2,0)</x:f>
        <x:v>0.3307393399331254</x:v>
      </x:c>
      <x:c r="N7" s="6" t="n">
        <x:f t="shared" si="1">IFERROR(N6/N2,0)</x:f>
        <x:v>0.2773065960044417</x:v>
      </x:c>
      <x:c r="O7" s="6" t="n">
        <x:f t="shared" si="1">IFERROR(O6/O2,0)</x:f>
        <x:v>0.3222759417563505</x:v>
      </x:c>
    </x:row>
    <x:row r="8">
      <x:c r="A8" t="str">
        <x:v>Amortissements</x:v>
      </x:c>
      <x:c r="B8" t="str">
        <x:v>MGA</x:v>
      </x:c>
      <x:c r="C8" t="n">
        <x:f>SUM(Amortissements!E2:E80)</x:f>
        <x:v>4832105.168690885</x:v>
      </x:c>
      <x:c r="D8" t="n">
        <x:f>SUM(Amortissements!F2:F80)</x:f>
        <x:v>10728355.168690886</x:v>
      </x:c>
      <x:c r="E8" t="n">
        <x:f>SUM(Amortissements!G2:G80)</x:f>
        <x:v>10728355.168690886</x:v>
      </x:c>
      <x:c r="F8" t="n">
        <x:f>SUM(Amortissements!H2:H80)</x:f>
        <x:v>10728355.168690886</x:v>
      </x:c>
      <x:c r="G8" t="n">
        <x:f>SUM(Amortissements!I2:I80)</x:f>
        <x:v>10728355.168690886</x:v>
      </x:c>
      <x:c r="H8" t="n">
        <x:f>SUM(Amortissements!J2:J80)</x:f>
        <x:v>10728355.168690886</x:v>
      </x:c>
      <x:c r="I8" t="n">
        <x:f>SUM(Amortissements!K2:K80)</x:f>
        <x:v>10728355.168690886</x:v>
      </x:c>
      <x:c r="J8" t="n">
        <x:f>SUM(Amortissements!L2:L80)</x:f>
        <x:v>10728355.168690886</x:v>
      </x:c>
      <x:c r="K8" t="n">
        <x:f>SUM(Amortissements!M2:M80)</x:f>
        <x:v>10728355.168690886</x:v>
      </x:c>
      <x:c r="L8" t="n">
        <x:f>SUM(Amortissements!N2:N80)</x:f>
        <x:v>10728355.168690886</x:v>
      </x:c>
      <x:c r="M8" t="n">
        <x:f>SUM(Amortissements!O2:O80)</x:f>
        <x:v>10728355.168690886</x:v>
      </x:c>
      <x:c r="N8" t="n">
        <x:f>SUM(Amortissements!P2:P80)</x:f>
        <x:v>10728355.168690886</x:v>
      </x:c>
      <x:c r="O8" t="n">
        <x:f>SUM(C8:N8)</x:f>
        <x:v>122844012.02429067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97" t="str">
        <x:v>COMPTE DE RÉSULTAT PAR NATURE — SOMIDA 2023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</x:row>
    <x:row r="2">
      <x:c r="A2" t="str">
        <x:v>Montants en MGA</x:v>
      </x:c>
    </x:row>
    <x:row r="4">
      <x:c r="A4" s="102" t="str">
        <x:v>Rubriques</x:v>
      </x:c>
      <x:c r="B4" s="102" t="str">
        <x:v>Janvier</x:v>
      </x:c>
      <x:c r="C4" s="102" t="str">
        <x:v>Février</x:v>
      </x:c>
      <x:c r="D4" s="102" t="str">
        <x:v>Mars</x:v>
      </x:c>
      <x:c r="E4" s="102" t="str">
        <x:v>Avril</x:v>
      </x:c>
      <x:c r="F4" s="102" t="str">
        <x:v>Mai</x:v>
      </x:c>
      <x:c r="G4" s="102" t="str">
        <x:v>Juin</x:v>
      </x:c>
      <x:c r="H4" s="102" t="str">
        <x:v>Juillet</x:v>
      </x:c>
      <x:c r="I4" s="102" t="str">
        <x:v>Août</x:v>
      </x:c>
      <x:c r="J4" s="102" t="str">
        <x:v>Septembre</x:v>
      </x:c>
      <x:c r="K4" s="102" t="str">
        <x:v>Octobre</x:v>
      </x:c>
      <x:c r="L4" s="102" t="str">
        <x:v>Novembre</x:v>
      </x:c>
      <x:c r="M4" s="102" t="str">
        <x:v>Décembre</x:v>
      </x:c>
      <x:c r="N4" s="102" t="str">
        <x:v>Total annuel</x:v>
      </x:c>
    </x:row>
    <x:row r="5">
      <x:c r="A5" t="str">
        <x:v>Chiffre d'affaires</x:v>
      </x:c>
      <x:c r="B5" s="89" t="n">
        <x:f>IF(Synthese!C2="",0,Synthese!C2)</x:f>
        <x:v>1635371699.109</x:v>
      </x:c>
      <x:c r="C5" s="89" t="n">
        <x:f>IF(Synthese!D2="",0,Synthese!D2)</x:f>
        <x:v>1784169665.412</x:v>
      </x:c>
      <x:c r="D5" s="89" t="n">
        <x:f>IF(Synthese!E2="",0,Synthese!E2)</x:f>
        <x:v>1749441427.753</x:v>
      </x:c>
      <x:c r="E5" s="89" t="n">
        <x:f>IF(Synthese!F2="",0,Synthese!F2)</x:f>
        <x:v>1801994390.9760003</x:v>
      </x:c>
      <x:c r="F5" s="89" t="n">
        <x:f>IF(Synthese!G2="",0,Synthese!G2)</x:f>
        <x:v>1741534370.3470004</x:v>
      </x:c>
      <x:c r="G5" s="89" t="n">
        <x:f>IF(Synthese!H2="",0,Synthese!H2)</x:f>
        <x:v>1545649412.868</x:v>
      </x:c>
      <x:c r="H5" s="89" t="n">
        <x:f>IF(Synthese!I2="",0,Synthese!I2)</x:f>
        <x:v>1795216394.469</x:v>
      </x:c>
      <x:c r="I5" s="89" t="n">
        <x:f>IF(Synthese!J2="",0,Synthese!J2)</x:f>
        <x:v>1851675571.884</x:v>
      </x:c>
      <x:c r="J5" s="89" t="n">
        <x:f>IF(Synthese!K2="",0,Synthese!K2)</x:f>
        <x:v>1651242626.238</x:v>
      </x:c>
      <x:c r="K5" s="89" t="n">
        <x:f>IF(Synthese!L2="",0,Synthese!L2)</x:f>
        <x:v>1687009333.381</x:v>
      </x:c>
      <x:c r="L5" s="89" t="n">
        <x:f>IF(Synthese!M2="",0,Synthese!M2)</x:f>
        <x:v>1741591019.338</x:v>
      </x:c>
      <x:c r="M5" s="89" t="n">
        <x:f>IF(Synthese!N2="",0,Synthese!N2)</x:f>
        <x:v>1623062212.3899999</x:v>
      </x:c>
      <x:c r="N5" s="89" t="n">
        <x:f>SUM(B5:M5)</x:f>
        <x:v>20607958124.165</x:v>
      </x:c>
    </x:row>
    <x:row r="6">
      <x:c r="A6" t="str">
        <x:v>Production stockée</x:v>
      </x:c>
      <x:c r="B6" s="89" t="n">
        <x:f>0</x:f>
        <x:v>0</x:v>
      </x:c>
      <x:c r="C6" s="89" t="n">
        <x:f>0</x:f>
        <x:v>0</x:v>
      </x:c>
      <x:c r="D6" s="89" t="n">
        <x:f>0</x:f>
        <x:v>0</x:v>
      </x:c>
      <x:c r="E6" s="89" t="n">
        <x:f>0</x:f>
        <x:v>0</x:v>
      </x:c>
      <x:c r="F6" s="89" t="n">
        <x:f>0</x:f>
        <x:v>0</x:v>
      </x:c>
      <x:c r="G6" s="89" t="n">
        <x:f>0</x:f>
        <x:v>0</x:v>
      </x:c>
      <x:c r="H6" s="89" t="n">
        <x:f>0</x:f>
        <x:v>0</x:v>
      </x:c>
      <x:c r="I6" s="89" t="n">
        <x:f>0</x:f>
        <x:v>0</x:v>
      </x:c>
      <x:c r="J6" s="89" t="n">
        <x:f>0</x:f>
        <x:v>0</x:v>
      </x:c>
      <x:c r="K6" s="89" t="n">
        <x:f>0</x:f>
        <x:v>0</x:v>
      </x:c>
      <x:c r="L6" s="89" t="n">
        <x:f>0</x:f>
        <x:v>0</x:v>
      </x:c>
      <x:c r="M6" s="89" t="n">
        <x:f>0</x:f>
        <x:v>0</x:v>
      </x:c>
      <x:c r="N6" s="89" t="n">
        <x:f>SUM(B6:M6)</x:f>
        <x:v>0</x:v>
      </x:c>
    </x:row>
    <x:row r="7">
      <x:c r="A7" t="str">
        <x:v>Production immobilisée</x:v>
      </x:c>
      <x:c r="B7" s="89" t="n">
        <x:f>0</x:f>
        <x:v>0</x:v>
      </x:c>
      <x:c r="C7" s="89" t="n">
        <x:f>0</x:f>
        <x:v>0</x:v>
      </x:c>
      <x:c r="D7" s="89" t="n">
        <x:f>0</x:f>
        <x:v>0</x:v>
      </x:c>
      <x:c r="E7" s="89" t="n">
        <x:f>0</x:f>
        <x:v>0</x:v>
      </x:c>
      <x:c r="F7" s="89" t="n">
        <x:f>0</x:f>
        <x:v>0</x:v>
      </x:c>
      <x:c r="G7" s="89" t="n">
        <x:f>0</x:f>
        <x:v>0</x:v>
      </x:c>
      <x:c r="H7" s="89" t="n">
        <x:f>0</x:f>
        <x:v>0</x:v>
      </x:c>
      <x:c r="I7" s="89" t="n">
        <x:f>0</x:f>
        <x:v>0</x:v>
      </x:c>
      <x:c r="J7" s="89" t="n">
        <x:f>0</x:f>
        <x:v>0</x:v>
      </x:c>
      <x:c r="K7" s="89" t="n">
        <x:f>0</x:f>
        <x:v>0</x:v>
      </x:c>
      <x:c r="L7" s="89" t="n">
        <x:f>0</x:f>
        <x:v>0</x:v>
      </x:c>
      <x:c r="M7" s="89" t="n">
        <x:f>0</x:f>
        <x:v>0</x:v>
      </x:c>
      <x:c r="N7" s="89" t="n">
        <x:f>SUM(B7:M7)</x:f>
        <x:v>0</x:v>
      </x:c>
    </x:row>
    <x:row r="8">
      <x:c r="A8" s="106" t="str">
        <x:v>I. PRODUCTION DE L'EXERCICE</x:v>
      </x:c>
      <x:c r="B8" s="92" t="n">
        <x:f>SUM(B5:B7)</x:f>
        <x:v>1635371699.109</x:v>
      </x:c>
      <x:c r="C8" s="92" t="n">
        <x:f>SUM(C5:C7)</x:f>
        <x:v>1784169665.412</x:v>
      </x:c>
      <x:c r="D8" s="92" t="n">
        <x:f>SUM(D5:D7)</x:f>
        <x:v>1749441427.753</x:v>
      </x:c>
      <x:c r="E8" s="92" t="n">
        <x:f>SUM(E5:E7)</x:f>
        <x:v>1801994390.9760003</x:v>
      </x:c>
      <x:c r="F8" s="92" t="n">
        <x:f>SUM(F5:F7)</x:f>
        <x:v>1741534370.3470004</x:v>
      </x:c>
      <x:c r="G8" s="92" t="n">
        <x:f>SUM(G5:G7)</x:f>
        <x:v>1545649412.868</x:v>
      </x:c>
      <x:c r="H8" s="92" t="n">
        <x:f>SUM(H5:H7)</x:f>
        <x:v>1795216394.469</x:v>
      </x:c>
      <x:c r="I8" s="92" t="n">
        <x:f>SUM(I5:I7)</x:f>
        <x:v>1851675571.884</x:v>
      </x:c>
      <x:c r="J8" s="92" t="n">
        <x:f>SUM(J5:J7)</x:f>
        <x:v>1651242626.238</x:v>
      </x:c>
      <x:c r="K8" s="92" t="n">
        <x:f>SUM(K5:K7)</x:f>
        <x:v>1687009333.381</x:v>
      </x:c>
      <x:c r="L8" s="92" t="n">
        <x:f>SUM(L5:L7)</x:f>
        <x:v>1741591019.338</x:v>
      </x:c>
      <x:c r="M8" s="92" t="n">
        <x:f>SUM(M5:M7)</x:f>
        <x:v>1623062212.3899999</x:v>
      </x:c>
      <x:c r="N8" s="92" t="n">
        <x:f>SUM(B8:M8)</x:f>
        <x:v>20607958124.165</x:v>
      </x:c>
    </x:row>
    <x:row r="9">
      <x:c r="A9" t="str">
        <x:v>Achats consommés / charges directes de production</x:v>
      </x:c>
      <x:c r="B9" s="89" t="n">
        <x:f>SUMIF(Charges!$A$2:$A$26,"PRODUCTION",Charges!$E$2:$E$26)</x:f>
        <x:v>370615000</x:v>
      </x:c>
      <x:c r="C9" s="89" t="n">
        <x:f>SUMIF(Charges!$A$2:$A$26,"PRODUCTION",Charges!$F$2:$F$26)</x:f>
        <x:v>366244000</x:v>
      </x:c>
      <x:c r="D9" s="89" t="n">
        <x:f>SUMIF(Charges!$A$2:$A$26,"PRODUCTION",Charges!$G$2:$G$26)</x:f>
        <x:v>366275000</x:v>
      </x:c>
      <x:c r="E9" s="89" t="n">
        <x:f>SUMIF(Charges!$A$2:$A$26,"PRODUCTION",Charges!$H$2:$H$26)</x:f>
        <x:v>381884000</x:v>
      </x:c>
      <x:c r="F9" s="89" t="n">
        <x:f>SUMIF(Charges!$A$2:$A$26,"PRODUCTION",Charges!$I$2:$I$26)</x:f>
        <x:v>363281000</x:v>
      </x:c>
      <x:c r="G9" s="89" t="n">
        <x:f>SUMIF(Charges!$A$2:$A$26,"PRODUCTION",Charges!$J$2:$J$26)</x:f>
        <x:v>358262000</x:v>
      </x:c>
      <x:c r="H9" s="89" t="n">
        <x:f>SUMIF(Charges!$A$2:$A$26,"PRODUCTION",Charges!$K$2:$K$26)</x:f>
        <x:v>379421000</x:v>
      </x:c>
      <x:c r="I9" s="89" t="n">
        <x:f>SUMIF(Charges!$A$2:$A$26,"PRODUCTION",Charges!$L$2:$L$26)</x:f>
        <x:v>397988000</x:v>
      </x:c>
      <x:c r="J9" s="89" t="n">
        <x:f>SUMIF(Charges!$A$2:$A$26,"PRODUCTION",Charges!$M$2:$M$26)</x:f>
        <x:v>398536000</x:v>
      </x:c>
      <x:c r="K9" s="89" t="n">
        <x:f>SUMIF(Charges!$A$2:$A$26,"PRODUCTION",Charges!$N$2:$N$26)</x:f>
        <x:v>397516000</x:v>
      </x:c>
      <x:c r="L9" s="89" t="n">
        <x:f>SUMIF(Charges!$A$2:$A$26,"PRODUCTION",Charges!$O$2:$O$26)</x:f>
        <x:v>381896000</x:v>
      </x:c>
      <x:c r="M9" s="89" t="n">
        <x:f>SUMIF(Charges!$A$2:$A$26,"PRODUCTION",Charges!$P$2:$P$26)</x:f>
        <x:v>384383000</x:v>
      </x:c>
      <x:c r="N9" s="89" t="n">
        <x:f>SUM(B9:M9)</x:f>
        <x:v>4546301000</x:v>
      </x:c>
    </x:row>
    <x:row r="10">
      <x:c r="A10" t="str">
        <x:v>Services extérieurs et autres consommations</x:v>
      </x:c>
      <x:c r="B10" s="89" t="n">
        <x:f>SUMIF(Charges!$A$2:$A$26,"ADMINISTRATION",Charges!$E$2:$E$26)-SUMIF(Charges!$B$2:$B$26,"Salaires administratifs",Charges!$E$2:$E$26)+SUMIF(Charges!$A$2:$A$26,"LOGISTIQUE",Charges!$E$2:$E$26)+SUMIF(Charges!$A$2:$A$26,"SECURITE",Charges!$E$2:$E$26)+SUM('Frais Export'!$E$2:$E$50)</x:f>
        <x:v>427569000</x:v>
      </x:c>
      <x:c r="C10" s="89" t="n">
        <x:f>SUMIF(Charges!$A$2:$A$26,"ADMINISTRATION",Charges!$F$2:$F$26)-SUMIF(Charges!$B$2:$B$26,"Salaires administratifs",Charges!$F$2:$F$26)+SUMIF(Charges!$A$2:$A$26,"LOGISTIQUE",Charges!$F$2:$F$26)+SUMIF(Charges!$A$2:$A$26,"SECURITE",Charges!$F$2:$F$26)+SUM('Frais Export'!$F$2:$F$50)</x:f>
        <x:v>422981000</x:v>
      </x:c>
      <x:c r="D10" s="89" t="n">
        <x:f>SUMIF(Charges!$A$2:$A$26,"ADMINISTRATION",Charges!$G$2:$G$26)-SUMIF(Charges!$B$2:$B$26,"Salaires administratifs",Charges!$G$2:$G$26)+SUMIF(Charges!$A$2:$A$26,"LOGISTIQUE",Charges!$G$2:$G$26)+SUMIF(Charges!$A$2:$A$26,"SECURITE",Charges!$G$2:$G$26)+SUM('Frais Export'!$G$2:$G$50)</x:f>
        <x:v>416319000</x:v>
      </x:c>
      <x:c r="E10" s="89" t="n">
        <x:f>SUMIF(Charges!$A$2:$A$26,"ADMINISTRATION",Charges!$H$2:$H$26)-SUMIF(Charges!$B$2:$B$26,"Salaires administratifs",Charges!$H$2:$H$26)+SUMIF(Charges!$A$2:$A$26,"LOGISTIQUE",Charges!$H$2:$H$26)+SUMIF(Charges!$A$2:$A$26,"SECURITE",Charges!$H$2:$H$26)+SUM('Frais Export'!$H$2:$H$50)</x:f>
        <x:v>420418000</x:v>
      </x:c>
      <x:c r="F10" s="89" t="n">
        <x:f>SUMIF(Charges!$A$2:$A$26,"ADMINISTRATION",Charges!$I$2:$I$26)-SUMIF(Charges!$B$2:$B$26,"Salaires administratifs",Charges!$I$2:$I$26)+SUMIF(Charges!$A$2:$A$26,"LOGISTIQUE",Charges!$I$2:$I$26)+SUMIF(Charges!$A$2:$A$26,"SECURITE",Charges!$I$2:$I$26)+SUM('Frais Export'!$I$2:$I$50)</x:f>
        <x:v>416196000</x:v>
      </x:c>
      <x:c r="G10" s="89" t="n">
        <x:f>SUMIF(Charges!$A$2:$A$26,"ADMINISTRATION",Charges!$J$2:$J$26)-SUMIF(Charges!$B$2:$B$26,"Salaires administratifs",Charges!$J$2:$J$26)+SUMIF(Charges!$A$2:$A$26,"LOGISTIQUE",Charges!$J$2:$J$26)+SUMIF(Charges!$A$2:$A$26,"SECURITE",Charges!$J$2:$J$26)+SUM('Frais Export'!$J$2:$J$50)</x:f>
        <x:v>408914000</x:v>
      </x:c>
      <x:c r="H10" s="89" t="n">
        <x:f>SUMIF(Charges!$A$2:$A$26,"ADMINISTRATION",Charges!$K$2:$K$26)-SUMIF(Charges!$B$2:$B$26,"Salaires administratifs",Charges!$K$2:$K$26)+SUMIF(Charges!$A$2:$A$26,"LOGISTIQUE",Charges!$K$2:$K$26)+SUMIF(Charges!$A$2:$A$26,"SECURITE",Charges!$K$2:$K$26)+SUM('Frais Export'!$K$2:$K$50)</x:f>
        <x:v>409385000</x:v>
      </x:c>
      <x:c r="I10" s="89" t="n">
        <x:f>SUMIF(Charges!$A$2:$A$26,"ADMINISTRATION",Charges!$L$2:$L$26)-SUMIF(Charges!$B$2:$B$26,"Salaires administratifs",Charges!$L$2:$L$26)+SUMIF(Charges!$A$2:$A$26,"LOGISTIQUE",Charges!$L$2:$L$26)+SUMIF(Charges!$A$2:$A$26,"SECURITE",Charges!$L$2:$L$26)+SUM('Frais Export'!$L$2:$L$50)</x:f>
        <x:v>425940000</x:v>
      </x:c>
      <x:c r="J10" s="89" t="n">
        <x:f>SUMIF(Charges!$A$2:$A$26,"ADMINISTRATION",Charges!$M$2:$M$26)-SUMIF(Charges!$B$2:$B$26,"Salaires administratifs",Charges!$M$2:$M$26)+SUMIF(Charges!$A$2:$A$26,"LOGISTIQUE",Charges!$M$2:$M$26)+SUMIF(Charges!$A$2:$A$26,"SECURITE",Charges!$M$2:$M$26)+SUM('Frais Export'!$M$2:$M$50)</x:f>
        <x:v>411643000</x:v>
      </x:c>
      <x:c r="K10" s="89" t="n">
        <x:f>SUMIF(Charges!$A$2:$A$26,"ADMINISTRATION",Charges!$N$2:$N$26)-SUMIF(Charges!$B$2:$B$26,"Salaires administratifs",Charges!$N$2:$N$26)+SUMIF(Charges!$A$2:$A$26,"LOGISTIQUE",Charges!$N$2:$N$26)+SUMIF(Charges!$A$2:$A$26,"SECURITE",Charges!$N$2:$N$26)+SUM('Frais Export'!$N$2:$N$50)</x:f>
        <x:v>409021000</x:v>
      </x:c>
      <x:c r="L10" s="89" t="n">
        <x:f>SUMIF(Charges!$A$2:$A$26,"ADMINISTRATION",Charges!$O$2:$O$26)-SUMIF(Charges!$B$2:$B$26,"Salaires administratifs",Charges!$O$2:$O$26)+SUMIF(Charges!$A$2:$A$26,"LOGISTIQUE",Charges!$O$2:$O$26)+SUMIF(Charges!$A$2:$A$26,"SECURITE",Charges!$O$2:$O$26)+SUM('Frais Export'!$O$2:$O$50)</x:f>
        <x:v>411178000</x:v>
      </x:c>
      <x:c r="M10" s="89" t="n">
        <x:f>SUMIF(Charges!$A$2:$A$26,"ADMINISTRATION",Charges!$P$2:$P$26)-SUMIF(Charges!$B$2:$B$26,"Salaires administratifs",Charges!$P$2:$P$26)+SUMIF(Charges!$A$2:$A$26,"LOGISTIQUE",Charges!$P$2:$P$26)+SUMIF(Charges!$A$2:$A$26,"SECURITE",Charges!$P$2:$P$26)+SUM('Frais Export'!$P$2:$P$50)</x:f>
        <x:v>417492000</x:v>
      </x:c>
      <x:c r="N10" s="89" t="n">
        <x:f>SUM(B10:M10)</x:f>
        <x:v>4997056000</x:v>
      </x:c>
    </x:row>
    <x:row r="11">
      <x:c r="A11" s="106" t="str">
        <x:v>II. CONSOMMATION DE L'EXERCICE</x:v>
      </x:c>
      <x:c r="B11" s="92" t="n">
        <x:f>SUM(B9:B10)</x:f>
        <x:v>798184000</x:v>
      </x:c>
      <x:c r="C11" s="92" t="n">
        <x:f>SUM(C9:C10)</x:f>
        <x:v>789225000</x:v>
      </x:c>
      <x:c r="D11" s="92" t="n">
        <x:f>SUM(D9:D10)</x:f>
        <x:v>782594000</x:v>
      </x:c>
      <x:c r="E11" s="92" t="n">
        <x:f>SUM(E9:E10)</x:f>
        <x:v>802302000</x:v>
      </x:c>
      <x:c r="F11" s="92" t="n">
        <x:f>SUM(F9:F10)</x:f>
        <x:v>779477000</x:v>
      </x:c>
      <x:c r="G11" s="92" t="n">
        <x:f>SUM(G9:G10)</x:f>
        <x:v>767176000</x:v>
      </x:c>
      <x:c r="H11" s="92" t="n">
        <x:f>SUM(H9:H10)</x:f>
        <x:v>788806000</x:v>
      </x:c>
      <x:c r="I11" s="92" t="n">
        <x:f>SUM(I9:I10)</x:f>
        <x:v>823928000</x:v>
      </x:c>
      <x:c r="J11" s="92" t="n">
        <x:f>SUM(J9:J10)</x:f>
        <x:v>810179000</x:v>
      </x:c>
      <x:c r="K11" s="92" t="n">
        <x:f>SUM(K9:K10)</x:f>
        <x:v>806537000</x:v>
      </x:c>
      <x:c r="L11" s="92" t="n">
        <x:f>SUM(L9:L10)</x:f>
        <x:v>793074000</x:v>
      </x:c>
      <x:c r="M11" s="92" t="n">
        <x:f>SUM(M9:M10)</x:f>
        <x:v>801875000</x:v>
      </x:c>
      <x:c r="N11" s="92" t="n">
        <x:f>SUM(B11:M11)</x:f>
        <x:v>9543357000</x:v>
      </x:c>
    </x:row>
    <x:row r="12">
      <x:c r="A12" s="106" t="str">
        <x:v>III. VALEUR AJOUTÉE D'EXPLOITATION (I-II)</x:v>
      </x:c>
      <x:c r="B12" s="92" t="n">
        <x:f>B8-B11</x:f>
        <x:v>837187699.109</x:v>
      </x:c>
      <x:c r="C12" s="92" t="n">
        <x:f>C8-C11</x:f>
        <x:v>994944665.412</x:v>
      </x:c>
      <x:c r="D12" s="92" t="n">
        <x:f>D8-D11</x:f>
        <x:v>966847427.753</x:v>
      </x:c>
      <x:c r="E12" s="92" t="n">
        <x:f>E8-E11</x:f>
        <x:v>999692390.9760003</x:v>
      </x:c>
      <x:c r="F12" s="92" t="n">
        <x:f>F8-F11</x:f>
        <x:v>962057370.3470004</x:v>
      </x:c>
      <x:c r="G12" s="92" t="n">
        <x:f>G8-G11</x:f>
        <x:v>778473412.868</x:v>
      </x:c>
      <x:c r="H12" s="92" t="n">
        <x:f>H8-H11</x:f>
        <x:v>1006410394.4690001</x:v>
      </x:c>
      <x:c r="I12" s="92" t="n">
        <x:f>I8-I11</x:f>
        <x:v>1027747571.8840001</x:v>
      </x:c>
      <x:c r="J12" s="92" t="n">
        <x:f>J8-J11</x:f>
        <x:v>841063626.2379999</x:v>
      </x:c>
      <x:c r="K12" s="92" t="n">
        <x:f>K8-K11</x:f>
        <x:v>880472333.381</x:v>
      </x:c>
      <x:c r="L12" s="92" t="n">
        <x:f>L8-L11</x:f>
        <x:v>948517019.338</x:v>
      </x:c>
      <x:c r="M12" s="92" t="n">
        <x:f>M8-M11</x:f>
        <x:v>821187212.3899999</x:v>
      </x:c>
      <x:c r="N12" s="92" t="n">
        <x:f>SUM(B12:M12)</x:f>
        <x:v>11064601124.164999</x:v>
      </x:c>
    </x:row>
    <x:row r="13">
      <x:c r="A13" t="str">
        <x:v>Subventions d'exploitation</x:v>
      </x:c>
      <x:c r="B13" s="89" t="n">
        <x:f>0</x:f>
        <x:v>0</x:v>
      </x:c>
      <x:c r="C13" s="89" t="n">
        <x:f>0</x:f>
        <x:v>0</x:v>
      </x:c>
      <x:c r="D13" s="89" t="n">
        <x:f>0</x:f>
        <x:v>0</x:v>
      </x:c>
      <x:c r="E13" s="89" t="n">
        <x:f>0</x:f>
        <x:v>0</x:v>
      </x:c>
      <x:c r="F13" s="89" t="n">
        <x:f>0</x:f>
        <x:v>0</x:v>
      </x:c>
      <x:c r="G13" s="89" t="n">
        <x:f>0</x:f>
        <x:v>0</x:v>
      </x:c>
      <x:c r="H13" s="89" t="n">
        <x:f>0</x:f>
        <x:v>0</x:v>
      </x:c>
      <x:c r="I13" s="89" t="n">
        <x:f>0</x:f>
        <x:v>0</x:v>
      </x:c>
      <x:c r="J13" s="89" t="n">
        <x:f>0</x:f>
        <x:v>0</x:v>
      </x:c>
      <x:c r="K13" s="89" t="n">
        <x:f>0</x:f>
        <x:v>0</x:v>
      </x:c>
      <x:c r="L13" s="89" t="n">
        <x:f>0</x:f>
        <x:v>0</x:v>
      </x:c>
      <x:c r="M13" s="89" t="n">
        <x:f>0</x:f>
        <x:v>0</x:v>
      </x:c>
      <x:c r="N13" s="89" t="n">
        <x:f>SUM(B13:M13)</x:f>
        <x:v>0</x:v>
      </x:c>
    </x:row>
    <x:row r="14">
      <x:c r="A14" t="str">
        <x:v>Impôts, taxes et versements assimilés</x:v>
      </x:c>
      <x:c r="B14" s="89" t="n">
        <x:f>SUMIF(Charges!$A$2:$A$26,"FISCAL",Charges!$E$2:$E$26)</x:f>
        <x:v>27581000</x:v>
      </x:c>
      <x:c r="C14" s="89" t="n">
        <x:f>SUMIF(Charges!$A$2:$A$26,"FISCAL",Charges!$F$2:$F$26)</x:f>
        <x:v>32914000</x:v>
      </x:c>
      <x:c r="D14" s="89" t="n">
        <x:f>SUMIF(Charges!$A$2:$A$26,"FISCAL",Charges!$G$2:$G$26)</x:f>
        <x:v>27622000</x:v>
      </x:c>
      <x:c r="E14" s="89" t="n">
        <x:f>SUMIF(Charges!$A$2:$A$26,"FISCAL",Charges!$H$2:$H$26)</x:f>
        <x:v>30737000</x:v>
      </x:c>
      <x:c r="F14" s="89" t="n">
        <x:f>SUMIF(Charges!$A$2:$A$26,"FISCAL",Charges!$I$2:$I$26)</x:f>
        <x:v>29338000</x:v>
      </x:c>
      <x:c r="G14" s="89" t="n">
        <x:f>SUMIF(Charges!$A$2:$A$26,"FISCAL",Charges!$J$2:$J$26)</x:f>
        <x:v>32716000</x:v>
      </x:c>
      <x:c r="H14" s="89" t="n">
        <x:f>SUMIF(Charges!$A$2:$A$26,"FISCAL",Charges!$K$2:$K$26)</x:f>
        <x:v>28680000</x:v>
      </x:c>
      <x:c r="I14" s="89" t="n">
        <x:f>SUMIF(Charges!$A$2:$A$26,"FISCAL",Charges!$L$2:$L$26)</x:f>
        <x:v>29437000</x:v>
      </x:c>
      <x:c r="J14" s="89" t="n">
        <x:f>SUMIF(Charges!$A$2:$A$26,"FISCAL",Charges!$M$2:$M$26)</x:f>
        <x:v>30825000</x:v>
      </x:c>
      <x:c r="K14" s="89" t="n">
        <x:f>SUMIF(Charges!$A$2:$A$26,"FISCAL",Charges!$N$2:$N$26)</x:f>
        <x:v>29489000</x:v>
      </x:c>
      <x:c r="L14" s="89" t="n">
        <x:f>SUMIF(Charges!$A$2:$A$26,"FISCAL",Charges!$O$2:$O$26)</x:f>
        <x:v>33894000</x:v>
      </x:c>
      <x:c r="M14" s="89" t="n">
        <x:f>SUMIF(Charges!$A$2:$A$26,"FISCAL",Charges!$P$2:$P$26)</x:f>
        <x:v>32491000</x:v>
      </x:c>
      <x:c r="N14" s="89" t="n">
        <x:f>SUM(B14:M14)</x:f>
        <x:v>365724000</x:v>
      </x:c>
    </x:row>
    <x:row r="15">
      <x:c r="A15" t="str">
        <x:v>Charges de personnel</x:v>
      </x:c>
      <x:c r="B15" s="89" t="n">
        <x:f>IF(Synthese!C5="",0,Synthese!C5)</x:f>
        <x:v>327882000</x:v>
      </x:c>
      <x:c r="C15" s="89" t="n">
        <x:f>IF(Synthese!D5="",0,Synthese!D5)</x:f>
        <x:v>327882000</x:v>
      </x:c>
      <x:c r="D15" s="89" t="n">
        <x:f>IF(Synthese!E5="",0,Synthese!E5)</x:f>
        <x:v>327882000</x:v>
      </x:c>
      <x:c r="E15" s="89" t="n">
        <x:f>IF(Synthese!F5="",0,Synthese!F5)</x:f>
        <x:v>327882000</x:v>
      </x:c>
      <x:c r="F15" s="89" t="n">
        <x:f>IF(Synthese!G5="",0,Synthese!G5)</x:f>
        <x:v>327882000</x:v>
      </x:c>
      <x:c r="G15" s="89" t="n">
        <x:f>IF(Synthese!H5="",0,Synthese!H5)</x:f>
        <x:v>327882000</x:v>
      </x:c>
      <x:c r="H15" s="89" t="n">
        <x:f>IF(Synthese!I5="",0,Synthese!I5)</x:f>
        <x:v>327882000</x:v>
      </x:c>
      <x:c r="I15" s="89" t="n">
        <x:f>IF(Synthese!J5="",0,Synthese!J5)</x:f>
        <x:v>327882000</x:v>
      </x:c>
      <x:c r="J15" s="89" t="n">
        <x:f>IF(Synthese!K5="",0,Synthese!K5)</x:f>
        <x:v>327882000</x:v>
      </x:c>
      <x:c r="K15" s="89" t="n">
        <x:f>IF(Synthese!L5="",0,Synthese!L5)</x:f>
        <x:v>327882000</x:v>
      </x:c>
      <x:c r="L15" s="89" t="n">
        <x:f>IF(Synthese!M5="",0,Synthese!M5)</x:f>
        <x:v>327882000</x:v>
      </x:c>
      <x:c r="M15" s="89" t="n">
        <x:f>IF(Synthese!N5="",0,Synthese!N5)</x:f>
        <x:v>327882000</x:v>
      </x:c>
      <x:c r="N15" s="89" t="n">
        <x:f>SUM(B15:M15)</x:f>
        <x:v>3934584000</x:v>
      </x:c>
    </x:row>
    <x:row r="16">
      <x:c r="A16" s="106" t="str">
        <x:v>IV. EXCÉDENT BRUT D'EXPLOITATION</x:v>
      </x:c>
      <x:c r="B16" s="92" t="n">
        <x:f>B12+B13-B14-B15</x:f>
        <x:v>481724699.10899997</x:v>
      </x:c>
      <x:c r="C16" s="92" t="n">
        <x:f>C12+C13-C14-C15</x:f>
        <x:v>634148665.412</x:v>
      </x:c>
      <x:c r="D16" s="92" t="n">
        <x:f>D12+D13-D14-D15</x:f>
        <x:v>611343427.753</x:v>
      </x:c>
      <x:c r="E16" s="92" t="n">
        <x:f>E12+E13-E14-E15</x:f>
        <x:v>641073390.9760003</x:v>
      </x:c>
      <x:c r="F16" s="92" t="n">
        <x:f>F12+F13-F14-F15</x:f>
        <x:v>604837370.3470004</x:v>
      </x:c>
      <x:c r="G16" s="92" t="n">
        <x:f>G12+G13-G14-G15</x:f>
        <x:v>417875412.86800003</x:v>
      </x:c>
      <x:c r="H16" s="92" t="n">
        <x:f>H12+H13-H14-H15</x:f>
        <x:v>649848394.4690001</x:v>
      </x:c>
      <x:c r="I16" s="92" t="n">
        <x:f>I12+I13-I14-I15</x:f>
        <x:v>670428571.8840001</x:v>
      </x:c>
      <x:c r="J16" s="92" t="n">
        <x:f>J12+J13-J14-J15</x:f>
        <x:v>482356626.2379999</x:v>
      </x:c>
      <x:c r="K16" s="92" t="n">
        <x:f>K12+K13-K14-K15</x:f>
        <x:v>523101333.38100004</x:v>
      </x:c>
      <x:c r="L16" s="92" t="n">
        <x:f>L12+L13-L14-L15</x:f>
        <x:v>586741019.338</x:v>
      </x:c>
      <x:c r="M16" s="92" t="n">
        <x:f>M12+M13-M14-M15</x:f>
        <x:v>460814212.38999987</x:v>
      </x:c>
      <x:c r="N16" s="92" t="n">
        <x:f>SUM(B16:M16)</x:f>
        <x:v>6764293124.165001</x:v>
      </x:c>
    </x:row>
    <x:row r="17">
      <x:c r="A17" t="str">
        <x:v>Autres produits opérationnels</x:v>
      </x:c>
      <x:c r="B17" s="89" t="n">
        <x:f>0</x:f>
        <x:v>0</x:v>
      </x:c>
      <x:c r="C17" s="89" t="n">
        <x:f>0</x:f>
        <x:v>0</x:v>
      </x:c>
      <x:c r="D17" s="89" t="n">
        <x:f>0</x:f>
        <x:v>0</x:v>
      </x:c>
      <x:c r="E17" s="89" t="n">
        <x:f>0</x:f>
        <x:v>0</x:v>
      </x:c>
      <x:c r="F17" s="89" t="n">
        <x:f>0</x:f>
        <x:v>0</x:v>
      </x:c>
      <x:c r="G17" s="89" t="n">
        <x:f>0</x:f>
        <x:v>0</x:v>
      </x:c>
      <x:c r="H17" s="89" t="n">
        <x:f>0</x:f>
        <x:v>0</x:v>
      </x:c>
      <x:c r="I17" s="89" t="n">
        <x:f>0</x:f>
        <x:v>0</x:v>
      </x:c>
      <x:c r="J17" s="89" t="n">
        <x:f>0</x:f>
        <x:v>0</x:v>
      </x:c>
      <x:c r="K17" s="89" t="n">
        <x:f>0</x:f>
        <x:v>0</x:v>
      </x:c>
      <x:c r="L17" s="89" t="n">
        <x:f>0</x:f>
        <x:v>0</x:v>
      </x:c>
      <x:c r="M17" s="89" t="n">
        <x:f>0</x:f>
        <x:v>0</x:v>
      </x:c>
      <x:c r="N17" s="89" t="n">
        <x:f>SUM(B17:M17)</x:f>
        <x:v>0</x:v>
      </x:c>
    </x:row>
    <x:row r="18">
      <x:c r="A18" t="str">
        <x:v>Autres charges opérationnelles</x:v>
      </x:c>
      <x:c r="B18" s="89" t="n">
        <x:f>0</x:f>
        <x:v>0</x:v>
      </x:c>
      <x:c r="C18" s="89" t="n">
        <x:f>0</x:f>
        <x:v>0</x:v>
      </x:c>
      <x:c r="D18" s="89" t="n">
        <x:f>0</x:f>
        <x:v>0</x:v>
      </x:c>
      <x:c r="E18" s="89" t="n">
        <x:f>0</x:f>
        <x:v>0</x:v>
      </x:c>
      <x:c r="F18" s="89" t="n">
        <x:f>0</x:f>
        <x:v>0</x:v>
      </x:c>
      <x:c r="G18" s="89" t="n">
        <x:f>0</x:f>
        <x:v>0</x:v>
      </x:c>
      <x:c r="H18" s="89" t="n">
        <x:f>0</x:f>
        <x:v>0</x:v>
      </x:c>
      <x:c r="I18" s="89" t="n">
        <x:f>0</x:f>
        <x:v>0</x:v>
      </x:c>
      <x:c r="J18" s="89" t="n">
        <x:f>0</x:f>
        <x:v>0</x:v>
      </x:c>
      <x:c r="K18" s="89" t="n">
        <x:f>0</x:f>
        <x:v>0</x:v>
      </x:c>
      <x:c r="L18" s="89" t="n">
        <x:f>0</x:f>
        <x:v>0</x:v>
      </x:c>
      <x:c r="M18" s="89" t="n">
        <x:f>0</x:f>
        <x:v>0</x:v>
      </x:c>
      <x:c r="N18" s="89" t="n">
        <x:f>SUM(B18:M18)</x:f>
        <x:v>0</x:v>
      </x:c>
    </x:row>
    <x:row r="19">
      <x:c r="A19" t="str">
        <x:v>Dotations aux amortissements</x:v>
      </x:c>
      <x:c r="B19" s="89" t="n">
        <x:f>SUM(Amortissements!E2:E80)</x:f>
        <x:v>4832105.168690885</x:v>
      </x:c>
      <x:c r="C19" s="89" t="n">
        <x:f>SUM(Amortissements!F2:F80)</x:f>
        <x:v>10728355.168690886</x:v>
      </x:c>
      <x:c r="D19" s="89" t="n">
        <x:f>SUM(Amortissements!G2:G80)</x:f>
        <x:v>10728355.168690886</x:v>
      </x:c>
      <x:c r="E19" s="89" t="n">
        <x:f>SUM(Amortissements!H2:H80)</x:f>
        <x:v>10728355.168690886</x:v>
      </x:c>
      <x:c r="F19" s="89" t="n">
        <x:f>SUM(Amortissements!I2:I80)</x:f>
        <x:v>10728355.168690886</x:v>
      </x:c>
      <x:c r="G19" s="89" t="n">
        <x:f>SUM(Amortissements!J2:J80)</x:f>
        <x:v>10728355.168690886</x:v>
      </x:c>
      <x:c r="H19" s="89" t="n">
        <x:f>SUM(Amortissements!K2:K80)</x:f>
        <x:v>10728355.168690886</x:v>
      </x:c>
      <x:c r="I19" s="89" t="n">
        <x:f>SUM(Amortissements!L2:L80)</x:f>
        <x:v>10728355.168690886</x:v>
      </x:c>
      <x:c r="J19" s="89" t="n">
        <x:f>SUM(Amortissements!M2:M80)</x:f>
        <x:v>10728355.168690886</x:v>
      </x:c>
      <x:c r="K19" s="89" t="n">
        <x:f>SUM(Amortissements!N2:N80)</x:f>
        <x:v>10728355.168690886</x:v>
      </x:c>
      <x:c r="L19" s="89" t="n">
        <x:f>SUM(Amortissements!O2:O80)</x:f>
        <x:v>10728355.168690886</x:v>
      </x:c>
      <x:c r="M19" s="89" t="n">
        <x:f>SUM(Amortissements!P2:P80)</x:f>
        <x:v>10728355.168690886</x:v>
      </x:c>
      <x:c r="N19" s="89" t="n">
        <x:f>SUM(B19:M19)</x:f>
        <x:v>122844012.02429067</x:v>
      </x:c>
    </x:row>
    <x:row r="20">
      <x:c r="A20" t="str">
        <x:v>Provisions et pertes de valeur</x:v>
      </x:c>
      <x:c r="B20" s="89" t="n">
        <x:f>0</x:f>
        <x:v>0</x:v>
      </x:c>
      <x:c r="C20" s="89" t="n">
        <x:f>0</x:f>
        <x:v>0</x:v>
      </x:c>
      <x:c r="D20" s="89" t="n">
        <x:f>0</x:f>
        <x:v>0</x:v>
      </x:c>
      <x:c r="E20" s="89" t="n">
        <x:f>0</x:f>
        <x:v>0</x:v>
      </x:c>
      <x:c r="F20" s="89" t="n">
        <x:f>0</x:f>
        <x:v>0</x:v>
      </x:c>
      <x:c r="G20" s="89" t="n">
        <x:f>0</x:f>
        <x:v>0</x:v>
      </x:c>
      <x:c r="H20" s="89" t="n">
        <x:f>0</x:f>
        <x:v>0</x:v>
      </x:c>
      <x:c r="I20" s="89" t="n">
        <x:f>0</x:f>
        <x:v>0</x:v>
      </x:c>
      <x:c r="J20" s="89" t="n">
        <x:f>0</x:f>
        <x:v>0</x:v>
      </x:c>
      <x:c r="K20" s="89" t="n">
        <x:f>0</x:f>
        <x:v>0</x:v>
      </x:c>
      <x:c r="L20" s="89" t="n">
        <x:f>0</x:f>
        <x:v>0</x:v>
      </x:c>
      <x:c r="M20" s="89" t="n">
        <x:f>0</x:f>
        <x:v>0</x:v>
      </x:c>
      <x:c r="N20" s="89" t="n">
        <x:f>SUM(B20:M20)</x:f>
        <x:v>0</x:v>
      </x:c>
    </x:row>
    <x:row r="21">
      <x:c r="A21" t="str">
        <x:v>Reprises sur provisions et pertes de valeur</x:v>
      </x:c>
      <x:c r="B21" s="89" t="n">
        <x:f>0</x:f>
        <x:v>0</x:v>
      </x:c>
      <x:c r="C21" s="89" t="n">
        <x:f>0</x:f>
        <x:v>0</x:v>
      </x:c>
      <x:c r="D21" s="89" t="n">
        <x:f>0</x:f>
        <x:v>0</x:v>
      </x:c>
      <x:c r="E21" s="89" t="n">
        <x:f>0</x:f>
        <x:v>0</x:v>
      </x:c>
      <x:c r="F21" s="89" t="n">
        <x:f>0</x:f>
        <x:v>0</x:v>
      </x:c>
      <x:c r="G21" s="89" t="n">
        <x:f>0</x:f>
        <x:v>0</x:v>
      </x:c>
      <x:c r="H21" s="89" t="n">
        <x:f>0</x:f>
        <x:v>0</x:v>
      </x:c>
      <x:c r="I21" s="89" t="n">
        <x:f>0</x:f>
        <x:v>0</x:v>
      </x:c>
      <x:c r="J21" s="89" t="n">
        <x:f>0</x:f>
        <x:v>0</x:v>
      </x:c>
      <x:c r="K21" s="89" t="n">
        <x:f>0</x:f>
        <x:v>0</x:v>
      </x:c>
      <x:c r="L21" s="89" t="n">
        <x:f>0</x:f>
        <x:v>0</x:v>
      </x:c>
      <x:c r="M21" s="89" t="n">
        <x:f>0</x:f>
        <x:v>0</x:v>
      </x:c>
      <x:c r="N21" s="89" t="n">
        <x:f>SUM(B21:M21)</x:f>
        <x:v>0</x:v>
      </x:c>
    </x:row>
    <x:row r="22">
      <x:c r="A22" s="106" t="str">
        <x:v>V. RÉSULTAT OPÉRATIONNEL</x:v>
      </x:c>
      <x:c r="B22" s="92" t="n">
        <x:f>B16+B17-B18-B19-B20+B21</x:f>
        <x:v>476892593.9403091</x:v>
      </x:c>
      <x:c r="C22" s="92" t="n">
        <x:f>C16+C17-C18-C19-C20+C21</x:f>
        <x:v>623420310.243309</x:v>
      </x:c>
      <x:c r="D22" s="92" t="n">
        <x:f>D16+D17-D18-D19-D20+D21</x:f>
        <x:v>600615072.5843091</x:v>
      </x:c>
      <x:c r="E22" s="92" t="n">
        <x:f>E16+E17-E18-E19-E20+E21</x:f>
        <x:v>630345035.8073094</x:v>
      </x:c>
      <x:c r="F22" s="92" t="n">
        <x:f>F16+F17-F18-F19-F20+F21</x:f>
        <x:v>594109015.1783094</x:v>
      </x:c>
      <x:c r="G22" s="92" t="n">
        <x:f>G16+G17-G18-G19-G20+G21</x:f>
        <x:v>407147057.6993092</x:v>
      </x:c>
      <x:c r="H22" s="92" t="n">
        <x:f>H16+H17-H18-H19-H20+H21</x:f>
        <x:v>639120039.3003092</x:v>
      </x:c>
      <x:c r="I22" s="92" t="n">
        <x:f>I16+I17-I18-I19-I20+I21</x:f>
        <x:v>659700216.7153091</x:v>
      </x:c>
      <x:c r="J22" s="92" t="n">
        <x:f>J16+J17-J18-J19-J20+J21</x:f>
        <x:v>471628271.06930906</x:v>
      </x:c>
      <x:c r="K22" s="92" t="n">
        <x:f>K16+K17-K18-K19-K20+K21</x:f>
        <x:v>512372978.2123092</x:v>
      </x:c>
      <x:c r="L22" s="92" t="n">
        <x:f>L16+L17-L18-L19-L20+L21</x:f>
        <x:v>576012664.1693091</x:v>
      </x:c>
      <x:c r="M22" s="92" t="n">
        <x:f>M16+M17-M18-M19-M20+M21</x:f>
        <x:v>450085857.221309</x:v>
      </x:c>
      <x:c r="N22" s="92" t="n">
        <x:f>SUM(B22:M22)</x:f>
        <x:v>6641449112.14071</x:v>
      </x:c>
    </x:row>
    <x:row r="23">
      <x:c r="A23" t="str">
        <x:v>Produits financiers</x:v>
      </x:c>
      <x:c r="B23" s="89" t="n">
        <x:f>0</x:f>
        <x:v>0</x:v>
      </x:c>
      <x:c r="C23" s="89" t="n">
        <x:f>0</x:f>
        <x:v>0</x:v>
      </x:c>
      <x:c r="D23" s="89" t="n">
        <x:f>0</x:f>
        <x:v>0</x:v>
      </x:c>
      <x:c r="E23" s="89" t="n">
        <x:f>0</x:f>
        <x:v>0</x:v>
      </x:c>
      <x:c r="F23" s="89" t="n">
        <x:f>0</x:f>
        <x:v>0</x:v>
      </x:c>
      <x:c r="G23" s="89" t="n">
        <x:f>0</x:f>
        <x:v>0</x:v>
      </x:c>
      <x:c r="H23" s="89" t="n">
        <x:f>0</x:f>
        <x:v>0</x:v>
      </x:c>
      <x:c r="I23" s="89" t="n">
        <x:f>0</x:f>
        <x:v>0</x:v>
      </x:c>
      <x:c r="J23" s="89" t="n">
        <x:f>0</x:f>
        <x:v>0</x:v>
      </x:c>
      <x:c r="K23" s="89" t="n">
        <x:f>0</x:f>
        <x:v>0</x:v>
      </x:c>
      <x:c r="L23" s="89" t="n">
        <x:f>0</x:f>
        <x:v>0</x:v>
      </x:c>
      <x:c r="M23" s="89" t="n">
        <x:f>0</x:f>
        <x:v>0</x:v>
      </x:c>
      <x:c r="N23" s="89" t="n">
        <x:f>SUM(B23:M23)</x:f>
        <x:v>0</x:v>
      </x:c>
    </x:row>
    <x:row r="24">
      <x:c r="A24" t="str">
        <x:v>Charges financières</x:v>
      </x:c>
      <x:c r="B24" s="89" t="n">
        <x:f>SUMIF(Charges!$A$2:$A$26,"FINANCE",Charges!$E$2:$E$26)</x:f>
        <x:v>13653000</x:v>
      </x:c>
      <x:c r="C24" s="89" t="n">
        <x:f>SUMIF(Charges!$A$2:$A$26,"FINANCE",Charges!$F$2:$F$26)</x:f>
        <x:v>12237000</x:v>
      </x:c>
      <x:c r="D24" s="89" t="n">
        <x:f>SUMIF(Charges!$A$2:$A$26,"FINANCE",Charges!$G$2:$G$26)</x:f>
        <x:v>11531000</x:v>
      </x:c>
      <x:c r="E24" s="89" t="n">
        <x:f>SUMIF(Charges!$A$2:$A$26,"FINANCE",Charges!$H$2:$H$26)</x:f>
        <x:v>13494000</x:v>
      </x:c>
      <x:c r="F24" s="89" t="n">
        <x:f>SUMIF(Charges!$A$2:$A$26,"FINANCE",Charges!$I$2:$I$26)</x:f>
        <x:v>11666000</x:v>
      </x:c>
      <x:c r="G24" s="89" t="n">
        <x:f>SUMIF(Charges!$A$2:$A$26,"FINANCE",Charges!$J$2:$J$26)</x:f>
        <x:v>13129000</x:v>
      </x:c>
      <x:c r="H24" s="89" t="n">
        <x:f>SUMIF(Charges!$A$2:$A$26,"FINANCE",Charges!$K$2:$K$26)</x:f>
        <x:v>12066000</x:v>
      </x:c>
      <x:c r="I24" s="89" t="n">
        <x:f>SUMIF(Charges!$A$2:$A$26,"FINANCE",Charges!$L$2:$L$26)</x:f>
        <x:v>13435000</x:v>
      </x:c>
      <x:c r="J24" s="89" t="n">
        <x:f>SUMIF(Charges!$A$2:$A$26,"FINANCE",Charges!$M$2:$M$26)</x:f>
        <x:v>12257000</x:v>
      </x:c>
      <x:c r="K24" s="89" t="n">
        <x:f>SUMIF(Charges!$A$2:$A$26,"FINANCE",Charges!$N$2:$N$26)</x:f>
        <x:v>13485000</x:v>
      </x:c>
      <x:c r="L24" s="89" t="n">
        <x:f>SUMIF(Charges!$A$2:$A$26,"FINANCE",Charges!$O$2:$O$26)</x:f>
        <x:v>12170000</x:v>
      </x:c>
      <x:c r="M24" s="89" t="n">
        <x:f>SUMIF(Charges!$A$2:$A$26,"FINANCE",Charges!$P$2:$P$26)</x:f>
        <x:v>11461000</x:v>
      </x:c>
      <x:c r="N24" s="89" t="n">
        <x:f>SUM(B24:M24)</x:f>
        <x:v>150584000</x:v>
      </x:c>
    </x:row>
    <x:row r="25">
      <x:c r="A25" s="106" t="str">
        <x:v>VI. RÉSULTAT FINANCIER</x:v>
      </x:c>
      <x:c r="B25" s="92" t="n">
        <x:f>B23-B24</x:f>
        <x:v>-13653000</x:v>
      </x:c>
      <x:c r="C25" s="92" t="n">
        <x:f>C23-C24</x:f>
        <x:v>-12237000</x:v>
      </x:c>
      <x:c r="D25" s="92" t="n">
        <x:f>D23-D24</x:f>
        <x:v>-11531000</x:v>
      </x:c>
      <x:c r="E25" s="92" t="n">
        <x:f>E23-E24</x:f>
        <x:v>-13494000</x:v>
      </x:c>
      <x:c r="F25" s="92" t="n">
        <x:f>F23-F24</x:f>
        <x:v>-11666000</x:v>
      </x:c>
      <x:c r="G25" s="92" t="n">
        <x:f>G23-G24</x:f>
        <x:v>-13129000</x:v>
      </x:c>
      <x:c r="H25" s="92" t="n">
        <x:f>H23-H24</x:f>
        <x:v>-12066000</x:v>
      </x:c>
      <x:c r="I25" s="92" t="n">
        <x:f>I23-I24</x:f>
        <x:v>-13435000</x:v>
      </x:c>
      <x:c r="J25" s="92" t="n">
        <x:f>J23-J24</x:f>
        <x:v>-12257000</x:v>
      </x:c>
      <x:c r="K25" s="92" t="n">
        <x:f>K23-K24</x:f>
        <x:v>-13485000</x:v>
      </x:c>
      <x:c r="L25" s="92" t="n">
        <x:f>L23-L24</x:f>
        <x:v>-12170000</x:v>
      </x:c>
      <x:c r="M25" s="92" t="n">
        <x:f>M23-M24</x:f>
        <x:v>-11461000</x:v>
      </x:c>
      <x:c r="N25" s="92" t="n">
        <x:f>SUM(B25:M25)</x:f>
        <x:v>-150584000</x:v>
      </x:c>
    </x:row>
    <x:row r="26">
      <x:c r="A26" s="106" t="str">
        <x:v>VII. RÉSULTAT AVANT IMPÔTS (V+VI)</x:v>
      </x:c>
      <x:c r="B26" s="92" t="n">
        <x:f>B22+B25</x:f>
        <x:v>463239593.9403091</x:v>
      </x:c>
      <x:c r="C26" s="92" t="n">
        <x:f>C22+C25</x:f>
        <x:v>611183310.243309</x:v>
      </x:c>
      <x:c r="D26" s="92" t="n">
        <x:f>D22+D25</x:f>
        <x:v>589084072.5843091</x:v>
      </x:c>
      <x:c r="E26" s="92" t="n">
        <x:f>E22+E25</x:f>
        <x:v>616851035.8073094</x:v>
      </x:c>
      <x:c r="F26" s="92" t="n">
        <x:f>F22+F25</x:f>
        <x:v>582443015.1783094</x:v>
      </x:c>
      <x:c r="G26" s="92" t="n">
        <x:f>G22+G25</x:f>
        <x:v>394018057.6993092</x:v>
      </x:c>
      <x:c r="H26" s="92" t="n">
        <x:f>H22+H25</x:f>
        <x:v>627054039.3003092</x:v>
      </x:c>
      <x:c r="I26" s="92" t="n">
        <x:f>I22+I25</x:f>
        <x:v>646265216.7153091</x:v>
      </x:c>
      <x:c r="J26" s="92" t="n">
        <x:f>J22+J25</x:f>
        <x:v>459371271.06930906</x:v>
      </x:c>
      <x:c r="K26" s="92" t="n">
        <x:f>K22+K25</x:f>
        <x:v>498887978.2123092</x:v>
      </x:c>
      <x:c r="L26" s="92" t="n">
        <x:f>L22+L25</x:f>
        <x:v>563842664.1693091</x:v>
      </x:c>
      <x:c r="M26" s="92" t="n">
        <x:f>M22+M25</x:f>
        <x:v>438624857.221309</x:v>
      </x:c>
      <x:c r="N26" s="92" t="n">
        <x:f>SUM(B26:M26)</x:f>
        <x:v>6490865112.14071</x:v>
      </x:c>
    </x:row>
    <x:row r="27">
      <x:c r="A27" t="str">
        <x:v>Impôt exigible sur les résultats (20%)</x:v>
      </x:c>
      <x:c r="B27" s="89" t="n">
        <x:f>IF(B26&gt;0,B26*20%,0)</x:f>
        <x:v>92647918.78806183</x:v>
      </x:c>
      <x:c r="C27" s="89" t="n">
        <x:f>IF(C26&gt;0,C26*20%,0)</x:f>
        <x:v>122236662.04866181</x:v>
      </x:c>
      <x:c r="D27" s="89" t="n">
        <x:f>IF(D26&gt;0,D26*20%,0)</x:f>
        <x:v>117816814.51686183</x:v>
      </x:c>
      <x:c r="E27" s="89" t="n">
        <x:f>IF(E26&gt;0,E26*20%,0)</x:f>
        <x:v>123370207.16146189</x:v>
      </x:c>
      <x:c r="F27" s="89" t="n">
        <x:f>IF(F26&gt;0,F26*20%,0)</x:f>
        <x:v>116488603.03566189</x:v>
      </x:c>
      <x:c r="G27" s="89" t="n">
        <x:f>IF(G26&gt;0,G26*20%,0)</x:f>
        <x:v>78803611.53986184</x:v>
      </x:c>
      <x:c r="H27" s="89" t="n">
        <x:f>IF(H26&gt;0,H26*20%,0)</x:f>
        <x:v>125410807.86006184</x:v>
      </x:c>
      <x:c r="I27" s="89" t="n">
        <x:f>IF(I26&gt;0,I26*20%,0)</x:f>
        <x:v>129253043.34306183</x:v>
      </x:c>
      <x:c r="J27" s="89" t="n">
        <x:f>IF(J26&gt;0,J26*20%,0)</x:f>
        <x:v>91874254.21386182</x:v>
      </x:c>
      <x:c r="K27" s="89" t="n">
        <x:f>IF(K26&gt;0,K26*20%,0)</x:f>
        <x:v>99777595.64246184</x:v>
      </x:c>
      <x:c r="L27" s="89" t="n">
        <x:f>IF(L26&gt;0,L26*20%,0)</x:f>
        <x:v>112768532.83386183</x:v>
      </x:c>
      <x:c r="M27" s="89" t="n">
        <x:f>IF(M26&gt;0,M26*20%,0)</x:f>
        <x:v>87724971.4442618</x:v>
      </x:c>
      <x:c r="N27" s="89" t="n">
        <x:f>SUM(B27:M27)</x:f>
        <x:v>1298173022.428142</x:v>
      </x:c>
    </x:row>
    <x:row r="28">
      <x:c r="A28" t="str">
        <x:v>Impôts différés</x:v>
      </x:c>
      <x:c r="B28" s="89" t="n">
        <x:f>0</x:f>
        <x:v>0</x:v>
      </x:c>
      <x:c r="C28" s="89" t="n">
        <x:f>0</x:f>
        <x:v>0</x:v>
      </x:c>
      <x:c r="D28" s="89" t="n">
        <x:f>0</x:f>
        <x:v>0</x:v>
      </x:c>
      <x:c r="E28" s="89" t="n">
        <x:f>0</x:f>
        <x:v>0</x:v>
      </x:c>
      <x:c r="F28" s="89" t="n">
        <x:f>0</x:f>
        <x:v>0</x:v>
      </x:c>
      <x:c r="G28" s="89" t="n">
        <x:f>0</x:f>
        <x:v>0</x:v>
      </x:c>
      <x:c r="H28" s="89" t="n">
        <x:f>0</x:f>
        <x:v>0</x:v>
      </x:c>
      <x:c r="I28" s="89" t="n">
        <x:f>0</x:f>
        <x:v>0</x:v>
      </x:c>
      <x:c r="J28" s="89" t="n">
        <x:f>0</x:f>
        <x:v>0</x:v>
      </x:c>
      <x:c r="K28" s="89" t="n">
        <x:f>0</x:f>
        <x:v>0</x:v>
      </x:c>
      <x:c r="L28" s="89" t="n">
        <x:f>0</x:f>
        <x:v>0</x:v>
      </x:c>
      <x:c r="M28" s="89" t="n">
        <x:f>0</x:f>
        <x:v>0</x:v>
      </x:c>
      <x:c r="N28" s="89" t="n">
        <x:f>SUM(B28:M28)</x:f>
        <x:v>0</x:v>
      </x:c>
    </x:row>
    <x:row r="29">
      <x:c r="A29" s="106" t="str">
        <x:v>VIII. RÉSULTAT NET DES ACTIVITÉS ORDINAIRES</x:v>
      </x:c>
      <x:c r="B29" s="92" t="n">
        <x:f>B26-B27-B28</x:f>
        <x:v>370591675.1522473</x:v>
      </x:c>
      <x:c r="C29" s="92" t="n">
        <x:f>C26-C27-C28</x:f>
        <x:v>488946648.1946472</x:v>
      </x:c>
      <x:c r="D29" s="92" t="n">
        <x:f>D26-D27-D28</x:f>
        <x:v>471267258.0674473</x:v>
      </x:c>
      <x:c r="E29" s="92" t="n">
        <x:f>E26-E27-E28</x:f>
        <x:v>493480828.6458475</x:v>
      </x:c>
      <x:c r="F29" s="92" t="n">
        <x:f>F26-F27-F28</x:f>
        <x:v>465954412.14264756</x:v>
      </x:c>
      <x:c r="G29" s="92" t="n">
        <x:f>G26-G27-G28</x:f>
        <x:v>315214446.1594473</x:v>
      </x:c>
      <x:c r="H29" s="92" t="n">
        <x:f>H26-H27-H28</x:f>
        <x:v>501643231.44024736</x:v>
      </x:c>
      <x:c r="I29" s="92" t="n">
        <x:f>I26-I27-I28</x:f>
        <x:v>517012173.37224734</x:v>
      </x:c>
      <x:c r="J29" s="92" t="n">
        <x:f>J26-J27-J28</x:f>
        <x:v>367497016.85544723</x:v>
      </x:c>
      <x:c r="K29" s="92" t="n">
        <x:f>K26-K27-K28</x:f>
        <x:v>399110382.56984735</x:v>
      </x:c>
      <x:c r="L29" s="92" t="n">
        <x:f>L26-L27-L28</x:f>
        <x:v>451074131.3354473</x:v>
      </x:c>
      <x:c r="M29" s="92" t="n">
        <x:f>M26-M27-M28</x:f>
        <x:v>350899885.7770472</x:v>
      </x:c>
      <x:c r="N29" s="92" t="n">
        <x:f>SUM(B29:M29)</x:f>
        <x:v>5192692089.712568</x:v>
      </x:c>
    </x:row>
    <x:row r="30">
      <x:c r="A30" t="str">
        <x:v>Éléments extraordinaires - produits</x:v>
      </x:c>
      <x:c r="B30" s="89" t="n">
        <x:f>0</x:f>
        <x:v>0</x:v>
      </x:c>
      <x:c r="C30" s="89" t="n">
        <x:f>0</x:f>
        <x:v>0</x:v>
      </x:c>
      <x:c r="D30" s="89" t="n">
        <x:f>0</x:f>
        <x:v>0</x:v>
      </x:c>
      <x:c r="E30" s="89" t="n">
        <x:f>0</x:f>
        <x:v>0</x:v>
      </x:c>
      <x:c r="F30" s="89" t="n">
        <x:f>0</x:f>
        <x:v>0</x:v>
      </x:c>
      <x:c r="G30" s="89" t="n">
        <x:f>0</x:f>
        <x:v>0</x:v>
      </x:c>
      <x:c r="H30" s="89" t="n">
        <x:f>0</x:f>
        <x:v>0</x:v>
      </x:c>
      <x:c r="I30" s="89" t="n">
        <x:f>0</x:f>
        <x:v>0</x:v>
      </x:c>
      <x:c r="J30" s="89" t="n">
        <x:f>0</x:f>
        <x:v>0</x:v>
      </x:c>
      <x:c r="K30" s="89" t="n">
        <x:f>0</x:f>
        <x:v>0</x:v>
      </x:c>
      <x:c r="L30" s="89" t="n">
        <x:f>0</x:f>
        <x:v>0</x:v>
      </x:c>
      <x:c r="M30" s="89" t="n">
        <x:f>0</x:f>
        <x:v>0</x:v>
      </x:c>
      <x:c r="N30" s="89" t="n">
        <x:f>SUM(B30:M30)</x:f>
        <x:v>0</x:v>
      </x:c>
    </x:row>
    <x:row r="31">
      <x:c r="A31" t="str">
        <x:v>Éléments extraordinaires - charges</x:v>
      </x:c>
      <x:c r="B31" s="89" t="n">
        <x:f>0</x:f>
        <x:v>0</x:v>
      </x:c>
      <x:c r="C31" s="89" t="n">
        <x:f>0</x:f>
        <x:v>0</x:v>
      </x:c>
      <x:c r="D31" s="89" t="n">
        <x:f>0</x:f>
        <x:v>0</x:v>
      </x:c>
      <x:c r="E31" s="89" t="n">
        <x:f>0</x:f>
        <x:v>0</x:v>
      </x:c>
      <x:c r="F31" s="89" t="n">
        <x:f>0</x:f>
        <x:v>0</x:v>
      </x:c>
      <x:c r="G31" s="89" t="n">
        <x:f>0</x:f>
        <x:v>0</x:v>
      </x:c>
      <x:c r="H31" s="89" t="n">
        <x:f>0</x:f>
        <x:v>0</x:v>
      </x:c>
      <x:c r="I31" s="89" t="n">
        <x:f>0</x:f>
        <x:v>0</x:v>
      </x:c>
      <x:c r="J31" s="89" t="n">
        <x:f>0</x:f>
        <x:v>0</x:v>
      </x:c>
      <x:c r="K31" s="89" t="n">
        <x:f>0</x:f>
        <x:v>0</x:v>
      </x:c>
      <x:c r="L31" s="89" t="n">
        <x:f>0</x:f>
        <x:v>0</x:v>
      </x:c>
      <x:c r="M31" s="89" t="n">
        <x:f>0</x:f>
        <x:v>0</x:v>
      </x:c>
      <x:c r="N31" s="89" t="n">
        <x:f>SUM(B31:M31)</x:f>
        <x:v>0</x:v>
      </x:c>
    </x:row>
    <x:row r="32">
      <x:c r="A32" s="106" t="str">
        <x:v>IX. RÉSULTAT EXTRAORDINAIRE</x:v>
      </x:c>
      <x:c r="B32" s="92" t="n">
        <x:f>B30-B31</x:f>
        <x:v>0</x:v>
      </x:c>
      <x:c r="C32" s="92" t="n">
        <x:f>C30-C31</x:f>
        <x:v>0</x:v>
      </x:c>
      <x:c r="D32" s="92" t="n">
        <x:f>D30-D31</x:f>
        <x:v>0</x:v>
      </x:c>
      <x:c r="E32" s="92" t="n">
        <x:f>E30-E31</x:f>
        <x:v>0</x:v>
      </x:c>
      <x:c r="F32" s="92" t="n">
        <x:f>F30-F31</x:f>
        <x:v>0</x:v>
      </x:c>
      <x:c r="G32" s="92" t="n">
        <x:f>G30-G31</x:f>
        <x:v>0</x:v>
      </x:c>
      <x:c r="H32" s="92" t="n">
        <x:f>H30-H31</x:f>
        <x:v>0</x:v>
      </x:c>
      <x:c r="I32" s="92" t="n">
        <x:f>I30-I31</x:f>
        <x:v>0</x:v>
      </x:c>
      <x:c r="J32" s="92" t="n">
        <x:f>J30-J31</x:f>
        <x:v>0</x:v>
      </x:c>
      <x:c r="K32" s="92" t="n">
        <x:f>K30-K31</x:f>
        <x:v>0</x:v>
      </x:c>
      <x:c r="L32" s="92" t="n">
        <x:f>L30-L31</x:f>
        <x:v>0</x:v>
      </x:c>
      <x:c r="M32" s="92" t="n">
        <x:f>M30-M31</x:f>
        <x:v>0</x:v>
      </x:c>
      <x:c r="N32" s="92" t="n">
        <x:f>SUM(B32:M32)</x:f>
        <x:v>0</x:v>
      </x:c>
    </x:row>
    <x:row r="33">
      <x:c r="A33" s="110" t="str">
        <x:v>X. RÉSULTAT NET DE L'EXERCICE</x:v>
      </x:c>
      <x:c r="B33" s="113" t="n">
        <x:f>B29+B32</x:f>
        <x:v>370591675.1522473</x:v>
      </x:c>
      <x:c r="C33" s="113" t="n">
        <x:f>C29+C32</x:f>
        <x:v>488946648.1946472</x:v>
      </x:c>
      <x:c r="D33" s="113" t="n">
        <x:f>D29+D32</x:f>
        <x:v>471267258.0674473</x:v>
      </x:c>
      <x:c r="E33" s="113" t="n">
        <x:f>E29+E32</x:f>
        <x:v>493480828.6458475</x:v>
      </x:c>
      <x:c r="F33" s="113" t="n">
        <x:f>F29+F32</x:f>
        <x:v>465954412.14264756</x:v>
      </x:c>
      <x:c r="G33" s="113" t="n">
        <x:f>G29+G32</x:f>
        <x:v>315214446.1594473</x:v>
      </x:c>
      <x:c r="H33" s="113" t="n">
        <x:f>H29+H32</x:f>
        <x:v>501643231.44024736</x:v>
      </x:c>
      <x:c r="I33" s="113" t="n">
        <x:f>I29+I32</x:f>
        <x:v>517012173.37224734</x:v>
      </x:c>
      <x:c r="J33" s="113" t="n">
        <x:f>J29+J32</x:f>
        <x:v>367497016.85544723</x:v>
      </x:c>
      <x:c r="K33" s="113" t="n">
        <x:f>K29+K32</x:f>
        <x:v>399110382.56984735</x:v>
      </x:c>
      <x:c r="L33" s="113" t="n">
        <x:f>L29+L32</x:f>
        <x:v>451074131.3354473</x:v>
      </x:c>
      <x:c r="M33" s="113" t="n">
        <x:f>M29+M32</x:f>
        <x:v>350899885.7770472</x:v>
      </x:c>
      <x:c r="N33" s="113" t="n">
        <x:f>SUM(B33:M33)</x:f>
        <x:v>5192692089.712568</x:v>
      </x:c>
    </x:row>
    <x:row r="34">
      <x:c r="A34" t="str">
        <x:v>Marge nette</x:v>
      </x:c>
      <x:c r="B34" s="115" t="n">
        <x:f>IFERROR(B33/B5,0)</x:f>
        <x:v>0.22661005773437126</x:v>
      </x:c>
      <x:c r="C34" s="115" t="n">
        <x:f>IFERROR(C33/C5,0)</x:f>
        <x:v>0.27404717032992476</x:v>
      </x:c>
      <x:c r="D34" s="115" t="n">
        <x:f>IFERROR(D33/D5,0)</x:f>
        <x:v>0.26938155835988614</x:v>
      </x:c>
      <x:c r="E34" s="115" t="n">
        <x:f>IFERROR(E33/E5,0)</x:f>
        <x:v>0.273852588619084</x:v>
      </x:c>
      <x:c r="F34" s="115" t="n">
        <x:f>IFERROR(F33/F5,0)</x:f>
        <x:v>0.2675539570601792</x:v>
      </x:c>
      <x:c r="G34" s="115" t="n">
        <x:f>IFERROR(G33/G5,0)</x:f>
        <x:v>0.20393657419023453</x:v>
      </x:c>
      <x:c r="H34" s="115" t="n">
        <x:f>IFERROR(H33/H5,0)</x:f>
        <x:v>0.279433294496303</x:v>
      </x:c>
      <x:c r="I34" s="115" t="n">
        <x:f>IFERROR(I33/I5,0)</x:f>
        <x:v>0.279213152251185</x:v>
      </x:c>
      <x:c r="J34" s="115" t="n">
        <x:f>IFERROR(J33/J5,0)</x:f>
        <x:v>0.22255785492451216</x:v>
      </x:c>
      <x:c r="K34" s="115" t="n">
        <x:f>IFERROR(K33/K5,0)</x:f>
        <x:v>0.2365786452230083</x:v>
      </x:c>
      <x:c r="L34" s="115" t="n">
        <x:f>IFERROR(L33/L5,0)</x:f>
        <x:v>0.25900118129163646</x:v>
      </x:c>
      <x:c r="M34" s="115" t="n">
        <x:f>IFERROR(M33/M5,0)</x:f>
        <x:v>0.21619620190672686</x:v>
      </x:c>
      <x:c r="N34" s="115" t="n">
        <x:f>IFERROR(N33/N5,0)</x:f>
        <x:v>0.2519750893526705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</x:cols>
  <x:sheetData>
    <x:row r="1" ht="32" customHeight="1">
      <x:c r="A1" s="172" t="str">
        <x:v>Catégorie</x:v>
      </x:c>
      <x:c r="B1" s="172" t="str">
        <x:v>Nature</x:v>
      </x:c>
      <x:c r="C1" s="172" t="str">
        <x:v>Périmètre général</x:v>
      </x:c>
      <x:c r="D1" s="172" t="str">
        <x:v>Unité</x:v>
      </x:c>
      <x:c r="E1" s="172" t="str">
        <x:v>Janvier</x:v>
      </x:c>
      <x:c r="F1" s="172" t="str">
        <x:v>Février</x:v>
      </x:c>
      <x:c r="G1" s="172" t="str">
        <x:v>Mars</x:v>
      </x:c>
      <x:c r="H1" s="172" t="str">
        <x:v>Avril</x:v>
      </x:c>
      <x:c r="I1" s="172" t="str">
        <x:v>Mai</x:v>
      </x:c>
      <x:c r="J1" s="172" t="str">
        <x:v>Juin</x:v>
      </x:c>
      <x:c r="K1" s="172" t="str">
        <x:v>Juillet</x:v>
      </x:c>
      <x:c r="L1" s="172" t="str">
        <x:v>Août</x:v>
      </x:c>
      <x:c r="M1" s="172" t="str">
        <x:v>Septembre</x:v>
      </x:c>
      <x:c r="N1" s="172" t="str">
        <x:v>Octobre</x:v>
      </x:c>
      <x:c r="O1" s="172" t="str">
        <x:v>Novembre</x:v>
      </x:c>
      <x:c r="P1" s="172" t="str">
        <x:v>Décembre</x:v>
      </x:c>
      <x:c r="Q1" s="172" t="str">
        <x:v>Total annuel</x:v>
      </x:c>
    </x:row>
    <x:row r="2" ht="21" customHeight="1">
      <x:c r="A2" s="175" t="str">
        <x:v>AMORTISSEMENT</x:v>
      </x:c>
      <x:c r="B2" s="175" t="str">
        <x:v>DOT.AMORT.VEHICULE UTILITAIRE</x:v>
      </x:c>
      <x:c r="C2" s="175"/>
      <x:c r="D2" s="175" t="str">
        <x:v>MGA</x:v>
      </x:c>
      <x:c r="E2" s="176" t="n">
        <x:v>2386927.875</x:v>
      </x:c>
      <x:c r="F2" s="176" t="n">
        <x:v>2386927.875</x:v>
      </x:c>
      <x:c r="G2" s="176" t="n">
        <x:v>2386927.875</x:v>
      </x:c>
      <x:c r="H2" s="176" t="n">
        <x:v>2386927.875</x:v>
      </x:c>
      <x:c r="I2" s="176" t="n">
        <x:v>2386927.875</x:v>
      </x:c>
      <x:c r="J2" s="176" t="n">
        <x:v>2386927.875</x:v>
      </x:c>
      <x:c r="K2" s="176" t="n">
        <x:v>2386927.875</x:v>
      </x:c>
      <x:c r="L2" s="176" t="n">
        <x:v>2386927.875</x:v>
      </x:c>
      <x:c r="M2" s="176" t="n">
        <x:v>2386927.875</x:v>
      </x:c>
      <x:c r="N2" s="176" t="n">
        <x:v>2386927.875</x:v>
      </x:c>
      <x:c r="O2" s="176" t="n">
        <x:v>2386927.875</x:v>
      </x:c>
      <x:c r="P2" s="176" t="n">
        <x:v>2386927.875</x:v>
      </x:c>
      <x:c r="Q2" s="176" t="n">
        <x:v>28643134.5</x:v>
      </x:c>
    </x:row>
    <x:row r="3" ht="21" customHeight="1">
      <x:c r="A3" s="173" t="str">
        <x:v>AMORTISSEMENT</x:v>
      </x:c>
      <x:c r="B3" s="173" t="str">
        <x:v>Autres immobilisations 1</x:v>
      </x:c>
      <x:c r="C3" s="173"/>
      <x:c r="D3" s="173" t="str">
        <x:v>MGA</x:v>
      </x:c>
      <x:c r="E3" s="174" t="n">
        <x:v>0</x:v>
      </x:c>
      <x:c r="F3" s="174" t="n">
        <x:v>353333.3333333333</x:v>
      </x:c>
      <x:c r="G3" s="174" t="n">
        <x:v>353333.3333333333</x:v>
      </x:c>
      <x:c r="H3" s="174" t="n">
        <x:v>353333.3333333333</x:v>
      </x:c>
      <x:c r="I3" s="174" t="n">
        <x:v>353333.3333333333</x:v>
      </x:c>
      <x:c r="J3" s="174" t="n">
        <x:v>353333.3333333333</x:v>
      </x:c>
      <x:c r="K3" s="174" t="n">
        <x:v>353333.3333333333</x:v>
      </x:c>
      <x:c r="L3" s="174" t="n">
        <x:v>353333.3333333333</x:v>
      </x:c>
      <x:c r="M3" s="174" t="n">
        <x:v>353333.3333333333</x:v>
      </x:c>
      <x:c r="N3" s="174" t="n">
        <x:v>353333.3333333333</x:v>
      </x:c>
      <x:c r="O3" s="174" t="n">
        <x:v>353333.3333333333</x:v>
      </x:c>
      <x:c r="P3" s="174" t="n">
        <x:v>353333.3333333333</x:v>
      </x:c>
      <x:c r="Q3" s="174" t="n">
        <x:v>3886666.6666666665</x:v>
      </x:c>
    </x:row>
    <x:row r="4" ht="21" customHeight="1">
      <x:c r="A4" s="175" t="str">
        <x:v>AMORTISSEMENT</x:v>
      </x:c>
      <x:c r="B4" s="175" t="str">
        <x:v>DOT.AMORT Réparations toitures</x:v>
      </x:c>
      <x:c r="C4" s="175"/>
      <x:c r="D4" s="175" t="str">
        <x:v>MGA</x:v>
      </x:c>
      <x:c r="E4" s="176" t="n">
        <x:v>0</x:v>
      </x:c>
      <x:c r="F4" s="176" t="n">
        <x:v>5300000</x:v>
      </x:c>
      <x:c r="G4" s="176" t="n">
        <x:v>5300000</x:v>
      </x:c>
      <x:c r="H4" s="176" t="n">
        <x:v>5300000</x:v>
      </x:c>
      <x:c r="I4" s="176" t="n">
        <x:v>5300000</x:v>
      </x:c>
      <x:c r="J4" s="176" t="n">
        <x:v>5300000</x:v>
      </x:c>
      <x:c r="K4" s="176" t="n">
        <x:v>5300000</x:v>
      </x:c>
      <x:c r="L4" s="176" t="n">
        <x:v>5300000</x:v>
      </x:c>
      <x:c r="M4" s="176" t="n">
        <x:v>5300000</x:v>
      </x:c>
      <x:c r="N4" s="176" t="n">
        <x:v>5300000</x:v>
      </x:c>
      <x:c r="O4" s="176" t="n">
        <x:v>5300000</x:v>
      </x:c>
      <x:c r="P4" s="176" t="n">
        <x:v>5300000</x:v>
      </x:c>
      <x:c r="Q4" s="176" t="n">
        <x:v>58300000</x:v>
      </x:c>
    </x:row>
    <x:row r="5" ht="21" customHeight="1">
      <x:c r="A5" s="173" t="str">
        <x:v>AMORTISSEMENT</x:v>
      </x:c>
      <x:c r="B5" s="173" t="str">
        <x:v>Autres immobilisations 2</x:v>
      </x:c>
      <x:c r="C5" s="173"/>
      <x:c r="D5" s="173" t="str">
        <x:v>MGA</x:v>
      </x:c>
      <x:c r="E5" s="174" t="n">
        <x:v>0</x:v>
      </x:c>
      <x:c r="F5" s="174" t="n">
        <x:v>88333.33333333333</x:v>
      </x:c>
      <x:c r="G5" s="174" t="n">
        <x:v>88333.33333333333</x:v>
      </x:c>
      <x:c r="H5" s="174" t="n">
        <x:v>88333.33333333333</x:v>
      </x:c>
      <x:c r="I5" s="174" t="n">
        <x:v>88333.33333333333</x:v>
      </x:c>
      <x:c r="J5" s="174" t="n">
        <x:v>88333.33333333333</x:v>
      </x:c>
      <x:c r="K5" s="174" t="n">
        <x:v>88333.33333333333</x:v>
      </x:c>
      <x:c r="L5" s="174" t="n">
        <x:v>88333.33333333333</x:v>
      </x:c>
      <x:c r="M5" s="174" t="n">
        <x:v>88333.33333333333</x:v>
      </x:c>
      <x:c r="N5" s="174" t="n">
        <x:v>88333.33333333333</x:v>
      </x:c>
      <x:c r="O5" s="174" t="n">
        <x:v>88333.33333333333</x:v>
      </x:c>
      <x:c r="P5" s="174" t="n">
        <x:v>88333.33333333333</x:v>
      </x:c>
      <x:c r="Q5" s="174" t="n">
        <x:v>971666.6666666666</x:v>
      </x:c>
    </x:row>
    <x:row r="6" ht="21" customHeight="1">
      <x:c r="A6" s="175" t="str">
        <x:v>AMORTISSEMENT</x:v>
      </x:c>
      <x:c r="B6" s="175" t="str">
        <x:v>DOT.AMORT.AGENC AMENAG CONSTRUC</x:v>
      </x:c>
      <x:c r="C6" s="175"/>
      <x:c r="D6" s="175" t="str">
        <x:v>MGA</x:v>
      </x:c>
      <x:c r="E6" s="176" t="n">
        <x:v>0</x:v>
      </x:c>
      <x:c r="F6" s="176" t="n">
        <x:v>0</x:v>
      </x:c>
      <x:c r="G6" s="176" t="n">
        <x:v>0</x:v>
      </x:c>
      <x:c r="H6" s="176" t="n">
        <x:v>0</x:v>
      </x:c>
      <x:c r="I6" s="176" t="n">
        <x:v>0</x:v>
      </x:c>
      <x:c r="J6" s="176" t="n">
        <x:v>0</x:v>
      </x:c>
      <x:c r="K6" s="176" t="n">
        <x:v>0</x:v>
      </x:c>
      <x:c r="L6" s="176" t="n">
        <x:v>0</x:v>
      </x:c>
      <x:c r="M6" s="176" t="n">
        <x:v>0</x:v>
      </x:c>
      <x:c r="N6" s="176" t="n">
        <x:v>0</x:v>
      </x:c>
      <x:c r="O6" s="176" t="n">
        <x:v>0</x:v>
      </x:c>
      <x:c r="P6" s="176" t="n">
        <x:v>0</x:v>
      </x:c>
      <x:c r="Q6" s="176" t="n">
        <x:v>0</x:v>
      </x:c>
    </x:row>
    <x:row r="7" ht="21" customHeight="1">
      <x:c r="A7" s="173" t="str">
        <x:v>AMORTISSEMENT</x:v>
      </x:c>
      <x:c r="B7" s="173" t="str">
        <x:v>DOT.AMORT.AUTRES INSTALLATIONS</x:v>
      </x:c>
      <x:c r="C7" s="173"/>
      <x:c r="D7" s="173" t="str">
        <x:v>MGA</x:v>
      </x:c>
      <x:c r="E7" s="174" t="n">
        <x:v>12544.26525</x:v>
      </x:c>
      <x:c r="F7" s="174" t="n">
        <x:v>12544.26525</x:v>
      </x:c>
      <x:c r="G7" s="174" t="n">
        <x:v>12544.26525</x:v>
      </x:c>
      <x:c r="H7" s="174" t="n">
        <x:v>12544.26525</x:v>
      </x:c>
      <x:c r="I7" s="174" t="n">
        <x:v>12544.26525</x:v>
      </x:c>
      <x:c r="J7" s="174" t="n">
        <x:v>12544.26525</x:v>
      </x:c>
      <x:c r="K7" s="174" t="n">
        <x:v>12544.26525</x:v>
      </x:c>
      <x:c r="L7" s="174" t="n">
        <x:v>12544.26525</x:v>
      </x:c>
      <x:c r="M7" s="174" t="n">
        <x:v>12544.26525</x:v>
      </x:c>
      <x:c r="N7" s="174" t="n">
        <x:v>12544.26525</x:v>
      </x:c>
      <x:c r="O7" s="174" t="n">
        <x:v>12544.26525</x:v>
      </x:c>
      <x:c r="P7" s="174" t="n">
        <x:v>12544.26525</x:v>
      </x:c>
      <x:c r="Q7" s="174" t="n">
        <x:v>150531.18300000002</x:v>
      </x:c>
    </x:row>
    <x:row r="8" ht="21" customHeight="1">
      <x:c r="A8" s="175" t="str">
        <x:v>AMORTISSEMENT</x:v>
      </x:c>
      <x:c r="B8" s="175" t="str">
        <x:v>DOT.AMORT.MATERIEL DE BUREAU</x:v>
      </x:c>
      <x:c r="C8" s="175"/>
      <x:c r="D8" s="175" t="str">
        <x:v>MGA</x:v>
      </x:c>
      <x:c r="E8" s="176" t="n">
        <x:v>1980508.5202375</x:v>
      </x:c>
      <x:c r="F8" s="176" t="n">
        <x:v>1980508.5202375</x:v>
      </x:c>
      <x:c r="G8" s="176" t="n">
        <x:v>1980508.5202375</x:v>
      </x:c>
      <x:c r="H8" s="176" t="n">
        <x:v>1980508.5202375</x:v>
      </x:c>
      <x:c r="I8" s="176" t="n">
        <x:v>1980508.5202375</x:v>
      </x:c>
      <x:c r="J8" s="176" t="n">
        <x:v>1980508.5202375</x:v>
      </x:c>
      <x:c r="K8" s="176" t="n">
        <x:v>1980508.5202375</x:v>
      </x:c>
      <x:c r="L8" s="176" t="n">
        <x:v>1980508.5202375</x:v>
      </x:c>
      <x:c r="M8" s="176" t="n">
        <x:v>1980508.5202375</x:v>
      </x:c>
      <x:c r="N8" s="176" t="n">
        <x:v>1980508.5202375</x:v>
      </x:c>
      <x:c r="O8" s="176" t="n">
        <x:v>1980508.5202375</x:v>
      </x:c>
      <x:c r="P8" s="176" t="n">
        <x:v>1980508.5202375</x:v>
      </x:c>
      <x:c r="Q8" s="176" t="n">
        <x:v>23766102.242850002</x:v>
      </x:c>
    </x:row>
    <x:row r="9" ht="21" customHeight="1">
      <x:c r="A9" s="173" t="str">
        <x:v>AMORTISSEMENT</x:v>
      </x:c>
      <x:c r="B9" s="173" t="str">
        <x:v>DOT.AMORT.MATERIEL INFORMATIQUE</x:v>
      </x:c>
      <x:c r="C9" s="173"/>
      <x:c r="D9" s="173" t="str">
        <x:v>MGA</x:v>
      </x:c>
      <x:c r="E9" s="174" t="n">
        <x:v>170548.47160312493</x:v>
      </x:c>
      <x:c r="F9" s="174" t="n">
        <x:v>170548.47160312493</x:v>
      </x:c>
      <x:c r="G9" s="174" t="n">
        <x:v>170548.47160312493</x:v>
      </x:c>
      <x:c r="H9" s="174" t="n">
        <x:v>170548.47160312493</x:v>
      </x:c>
      <x:c r="I9" s="174" t="n">
        <x:v>170548.47160312493</x:v>
      </x:c>
      <x:c r="J9" s="174" t="n">
        <x:v>170548.47160312493</x:v>
      </x:c>
      <x:c r="K9" s="174" t="n">
        <x:v>170548.47160312493</x:v>
      </x:c>
      <x:c r="L9" s="174" t="n">
        <x:v>170548.47160312493</x:v>
      </x:c>
      <x:c r="M9" s="174" t="n">
        <x:v>170548.47160312493</x:v>
      </x:c>
      <x:c r="N9" s="174" t="n">
        <x:v>170548.47160312493</x:v>
      </x:c>
      <x:c r="O9" s="174" t="n">
        <x:v>170548.47160312493</x:v>
      </x:c>
      <x:c r="P9" s="174" t="n">
        <x:v>170548.47160312493</x:v>
      </x:c>
      <x:c r="Q9" s="174" t="n">
        <x:v>2046581.659237499</x:v>
      </x:c>
    </x:row>
    <x:row r="10" ht="21" customHeight="1">
      <x:c r="A10" s="175" t="str">
        <x:v>AMORTISSEMENT</x:v>
      </x:c>
      <x:c r="B10" s="175" t="str">
        <x:v>DOT.AMORT.MAT.&amp; MOB.DE LOGEMENT</x:v>
      </x:c>
      <x:c r="C10" s="175"/>
      <x:c r="D10" s="175" t="str">
        <x:v>MGA</x:v>
      </x:c>
      <x:c r="E10" s="176" t="n">
        <x:v>281576.03660026036</x:v>
      </x:c>
      <x:c r="F10" s="176" t="n">
        <x:v>281576.03660026036</x:v>
      </x:c>
      <x:c r="G10" s="176" t="n">
        <x:v>281576.03660026036</x:v>
      </x:c>
      <x:c r="H10" s="176" t="n">
        <x:v>281576.03660026036</x:v>
      </x:c>
      <x:c r="I10" s="176" t="n">
        <x:v>281576.03660026036</x:v>
      </x:c>
      <x:c r="J10" s="176" t="n">
        <x:v>281576.03660026036</x:v>
      </x:c>
      <x:c r="K10" s="176" t="n">
        <x:v>281576.03660026036</x:v>
      </x:c>
      <x:c r="L10" s="176" t="n">
        <x:v>281576.03660026036</x:v>
      </x:c>
      <x:c r="M10" s="176" t="n">
        <x:v>281576.03660026036</x:v>
      </x:c>
      <x:c r="N10" s="176" t="n">
        <x:v>281576.03660026036</x:v>
      </x:c>
      <x:c r="O10" s="176" t="n">
        <x:v>281576.03660026036</x:v>
      </x:c>
      <x:c r="P10" s="176" t="n">
        <x:v>281576.03660026036</x:v>
      </x:c>
      <x:c r="Q10" s="176" t="n">
        <x:v>3378912.4392031245</x:v>
      </x:c>
    </x:row>
    <x:row r="11" ht="21" customHeight="1">
      <x:c r="A11" s="173" t="str">
        <x:v>AMORTISSEMENT</x:v>
      </x:c>
      <x:c r="B11" s="173" t="str">
        <x:v>Autres amortissements</x:v>
      </x:c>
      <x:c r="C11" s="173"/>
      <x:c r="D11" s="173" t="str">
        <x:v>MGA</x:v>
      </x:c>
      <x:c r="E11" s="174" t="n">
        <x:v>0</x:v>
      </x:c>
      <x:c r="F11" s="174" t="n">
        <x:v>154583.33333333334</x:v>
      </x:c>
      <x:c r="G11" s="174" t="n">
        <x:v>154583.33333333334</x:v>
      </x:c>
      <x:c r="H11" s="174" t="n">
        <x:v>154583.33333333334</x:v>
      </x:c>
      <x:c r="I11" s="174" t="n">
        <x:v>154583.33333333334</x:v>
      </x:c>
      <x:c r="J11" s="174" t="n">
        <x:v>154583.33333333334</x:v>
      </x:c>
      <x:c r="K11" s="174" t="n">
        <x:v>154583.33333333334</x:v>
      </x:c>
      <x:c r="L11" s="174" t="n">
        <x:v>154583.33333333334</x:v>
      </x:c>
      <x:c r="M11" s="174" t="n">
        <x:v>154583.33333333334</x:v>
      </x:c>
      <x:c r="N11" s="174" t="n">
        <x:v>154583.33333333334</x:v>
      </x:c>
      <x:c r="O11" s="174" t="n">
        <x:v>154583.33333333334</x:v>
      </x:c>
      <x:c r="P11" s="174" t="n">
        <x:v>154583.33333333334</x:v>
      </x:c>
      <x:c r="Q11" s="174" t="n">
        <x:v>1700416.6666666667</x:v>
      </x:c>
    </x:row>
    <x:row r="12" ht="21" customHeight="1">
      <x:c r="A12" s="175"/>
      <x:c r="B12" s="175"/>
      <x:c r="C12" s="175"/>
      <x:c r="D12" s="175"/>
      <x:c r="E12" s="176"/>
      <x:c r="F12" s="176"/>
      <x:c r="G12" s="176"/>
      <x:c r="H12" s="176"/>
      <x:c r="I12" s="176"/>
      <x:c r="J12" s="176"/>
      <x:c r="K12" s="176"/>
      <x:c r="L12" s="176"/>
      <x:c r="M12" s="176"/>
      <x:c r="N12" s="176"/>
      <x:c r="O12" s="176"/>
      <x:c r="P12" s="176"/>
      <x:c r="Q12" s="176"/>
    </x:row>
    <x:row r="13" ht="21" customHeight="1">
      <x:c r="A13" s="173"/>
      <x:c r="B13" s="173"/>
      <x:c r="C13" s="173"/>
      <x:c r="D13" s="173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  <x:c r="Q13" s="174"/>
    </x:row>
    <x:row r="14" ht="21" customHeight="1">
      <x:c r="A14" s="175"/>
      <x:c r="B14" s="175"/>
      <x:c r="C14" s="175"/>
      <x:c r="D14" s="175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</x:row>
    <x:row r="15" ht="21" customHeight="1">
      <x:c r="A15" s="173"/>
      <x:c r="B15" s="173"/>
      <x:c r="C15" s="173"/>
      <x:c r="D15" s="173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  <x:c r="Q15" s="174"/>
    </x:row>
    <x:row r="16" ht="21" customHeight="1">
      <x:c r="A16" s="175"/>
      <x:c r="B16" s="175"/>
      <x:c r="C16" s="175"/>
      <x:c r="D16" s="175"/>
      <x:c r="E16" s="176"/>
      <x:c r="F16" s="176"/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  <x:c r="Q16" s="176"/>
    </x:row>
    <x:row r="17" ht="21" customHeight="1">
      <x:c r="A17" s="173"/>
      <x:c r="B17" s="173"/>
      <x:c r="C17" s="173"/>
      <x:c r="D17" s="173"/>
      <x:c r="E17" s="174"/>
      <x:c r="F17" s="174"/>
      <x:c r="G17" s="174"/>
      <x:c r="H17" s="174"/>
      <x:c r="I17" s="174"/>
      <x:c r="J17" s="174"/>
      <x:c r="K17" s="174"/>
      <x:c r="L17" s="174"/>
      <x:c r="M17" s="174"/>
      <x:c r="N17" s="174"/>
      <x:c r="O17" s="174"/>
      <x:c r="P17" s="174"/>
      <x:c r="Q17" s="174"/>
    </x:row>
    <x:row r="18" ht="21" customHeight="1">
      <x:c r="A18" s="175"/>
      <x:c r="B18" s="175"/>
      <x:c r="C18" s="175"/>
      <x:c r="D18" s="175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  <x:c r="Q18" s="176"/>
    </x:row>
    <x:row r="19" ht="21" customHeight="1">
      <x:c r="A19" s="173"/>
      <x:c r="B19" s="173"/>
      <x:c r="C19" s="173"/>
      <x:c r="D19" s="173"/>
      <x:c r="E19" s="174"/>
      <x:c r="F19" s="174"/>
      <x:c r="G19" s="174"/>
      <x:c r="H19" s="174"/>
      <x:c r="I19" s="174"/>
      <x:c r="J19" s="174"/>
      <x:c r="K19" s="174"/>
      <x:c r="L19" s="174"/>
      <x:c r="M19" s="174"/>
      <x:c r="N19" s="174"/>
      <x:c r="O19" s="174"/>
      <x:c r="P19" s="174"/>
      <x:c r="Q19" s="174"/>
    </x:row>
    <x:row r="20" ht="21" customHeight="1">
      <x:c r="A20" s="175"/>
      <x:c r="B20" s="175"/>
      <x:c r="C20" s="175"/>
      <x:c r="D20" s="175"/>
      <x:c r="E20" s="176"/>
      <x:c r="F20" s="176"/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  <x:c r="Q20" s="176"/>
    </x:row>
    <x:row r="21" ht="21" customHeight="1">
      <x:c r="A21" s="173"/>
      <x:c r="B21" s="173"/>
      <x:c r="C21" s="173"/>
      <x:c r="D21" s="173"/>
      <x:c r="E21" s="174"/>
      <x:c r="F21" s="174"/>
      <x:c r="G21" s="174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4"/>
    </x:row>
    <x:row r="22" ht="21" customHeight="1">
      <x:c r="A22" s="175"/>
      <x:c r="B22" s="175"/>
      <x:c r="C22" s="175"/>
      <x:c r="D22" s="175"/>
      <x:c r="E22" s="176"/>
      <x:c r="F22" s="176"/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6"/>
    </x:row>
    <x:row r="23" ht="21" customHeight="1">
      <x:c r="A23" s="173"/>
      <x:c r="B23" s="173"/>
      <x:c r="C23" s="173"/>
      <x:c r="D23" s="173"/>
      <x:c r="E23" s="174"/>
      <x:c r="F23" s="174"/>
      <x:c r="G23" s="174"/>
      <x:c r="H23" s="174"/>
      <x:c r="I23" s="174"/>
      <x:c r="J23" s="174"/>
      <x:c r="K23" s="174"/>
      <x:c r="L23" s="174"/>
      <x:c r="M23" s="174"/>
      <x:c r="N23" s="174"/>
      <x:c r="O23" s="174"/>
      <x:c r="P23" s="174"/>
      <x:c r="Q23" s="174"/>
    </x:row>
    <x:row r="24" ht="21" customHeight="1">
      <x:c r="A24" s="175"/>
      <x:c r="B24" s="175"/>
      <x:c r="C24" s="175"/>
      <x:c r="D24" s="175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</x:row>
    <x:row r="25" ht="21" customHeight="1">
      <x:c r="A25" s="173"/>
      <x:c r="B25" s="173"/>
      <x:c r="C25" s="173"/>
      <x:c r="D25" s="173"/>
      <x:c r="E25" s="174"/>
      <x:c r="F25" s="174"/>
      <x:c r="G25" s="174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4"/>
    </x:row>
    <x:row r="26" ht="21" customHeight="1">
      <x:c r="A26" s="175"/>
      <x:c r="B26" s="175"/>
      <x:c r="C26" s="175"/>
      <x:c r="D26" s="175"/>
      <x:c r="E26" s="176"/>
      <x:c r="F26" s="176"/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  <x:c r="Q26" s="176"/>
    </x:row>
    <x:row r="27" ht="21" customHeight="1">
      <x:c r="A27" s="173"/>
      <x:c r="B27" s="173"/>
      <x:c r="C27" s="173"/>
      <x:c r="D27" s="173"/>
      <x:c r="E27" s="174"/>
      <x:c r="F27" s="174"/>
      <x:c r="G27" s="174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4"/>
    </x:row>
    <x:row r="28" ht="21" customHeight="1">
      <x:c r="A28" s="175"/>
      <x:c r="B28" s="175"/>
      <x:c r="C28" s="175"/>
      <x:c r="D28" s="175"/>
      <x:c r="E28" s="176"/>
      <x:c r="F28" s="176"/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  <x:c r="Q28" s="176"/>
    </x:row>
    <x:row r="29" ht="21" customHeight="1">
      <x:c r="A29" s="173"/>
      <x:c r="B29" s="173"/>
      <x:c r="C29" s="173"/>
      <x:c r="D29" s="173"/>
      <x:c r="E29" s="174"/>
      <x:c r="F29" s="174"/>
      <x:c r="G29" s="174"/>
      <x:c r="H29" s="174"/>
      <x:c r="I29" s="174"/>
      <x:c r="J29" s="174"/>
      <x:c r="K29" s="174"/>
      <x:c r="L29" s="174"/>
      <x:c r="M29" s="174"/>
      <x:c r="N29" s="174"/>
      <x:c r="O29" s="174"/>
      <x:c r="P29" s="174"/>
      <x:c r="Q29" s="174"/>
    </x:row>
    <x:row r="30" ht="21" customHeight="1">
      <x:c r="A30" s="175"/>
      <x:c r="B30" s="175"/>
      <x:c r="C30" s="175"/>
      <x:c r="D30" s="175"/>
      <x:c r="E30" s="176"/>
      <x:c r="F30" s="176"/>
      <x:c r="G30" s="176"/>
      <x:c r="H30" s="176"/>
      <x:c r="I30" s="176"/>
      <x:c r="J30" s="176"/>
      <x:c r="K30" s="176"/>
      <x:c r="L30" s="176"/>
      <x:c r="M30" s="176"/>
      <x:c r="N30" s="176"/>
      <x:c r="O30" s="176"/>
      <x:c r="P30" s="176"/>
      <x:c r="Q30" s="176"/>
    </x:row>
    <x:row r="31" ht="21" customHeight="1">
      <x:c r="A31" s="173"/>
      <x:c r="B31" s="173"/>
      <x:c r="C31" s="173"/>
      <x:c r="D31" s="173"/>
      <x:c r="E31" s="174"/>
      <x:c r="F31" s="174"/>
      <x:c r="G31" s="174"/>
      <x:c r="H31" s="174"/>
      <x:c r="I31" s="174"/>
      <x:c r="J31" s="174"/>
      <x:c r="K31" s="174"/>
      <x:c r="L31" s="174"/>
      <x:c r="M31" s="174"/>
      <x:c r="N31" s="174"/>
      <x:c r="O31" s="174"/>
      <x:c r="P31" s="174"/>
      <x:c r="Q31" s="174"/>
    </x:row>
    <x:row r="32" ht="21" customHeight="1">
      <x:c r="A32" s="175"/>
      <x:c r="B32" s="175"/>
      <x:c r="C32" s="175"/>
      <x:c r="D32" s="175"/>
      <x:c r="E32" s="176"/>
      <x:c r="F32" s="176"/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  <x:c r="Q32" s="176"/>
    </x:row>
    <x:row r="33" ht="21" customHeight="1">
      <x:c r="A33" s="173"/>
      <x:c r="B33" s="173"/>
      <x:c r="C33" s="173"/>
      <x:c r="D33" s="173"/>
      <x:c r="E33" s="174"/>
      <x:c r="F33" s="174"/>
      <x:c r="G33" s="174"/>
      <x:c r="H33" s="174"/>
      <x:c r="I33" s="174"/>
      <x:c r="J33" s="174"/>
      <x:c r="K33" s="174"/>
      <x:c r="L33" s="174"/>
      <x:c r="M33" s="174"/>
      <x:c r="N33" s="174"/>
      <x:c r="O33" s="174"/>
      <x:c r="P33" s="174"/>
      <x:c r="Q33" s="174"/>
    </x:row>
    <x:row r="34" ht="21" customHeight="1">
      <x:c r="A34" s="175"/>
      <x:c r="B34" s="175"/>
      <x:c r="C34" s="175"/>
      <x:c r="D34" s="175"/>
      <x:c r="E34" s="176"/>
      <x:c r="F34" s="176"/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  <x:c r="Q34" s="176"/>
    </x:row>
    <x:row r="35" ht="21" customHeight="1">
      <x:c r="A35" s="173"/>
      <x:c r="B35" s="173"/>
      <x:c r="C35" s="173"/>
      <x:c r="D35" s="173"/>
      <x:c r="E35" s="174"/>
      <x:c r="F35" s="174"/>
      <x:c r="G35" s="174"/>
      <x:c r="H35" s="174"/>
      <x:c r="I35" s="174"/>
      <x:c r="J35" s="174"/>
      <x:c r="K35" s="174"/>
      <x:c r="L35" s="174"/>
      <x:c r="M35" s="174"/>
      <x:c r="N35" s="174"/>
      <x:c r="O35" s="174"/>
      <x:c r="P35" s="174"/>
      <x:c r="Q35" s="174"/>
    </x:row>
    <x:row r="36">
      <x:c r="C36"/>
    </x:row>
    <x:row r="37">
      <x:c r="C37"/>
    </x:row>
    <x:row r="38">
      <x:c r="C38"/>
    </x:row>
    <x:row r="39">
      <x:c r="C39"/>
    </x:row>
    <x:row r="40">
      <x:c r="C40"/>
    </x:row>
    <x:row r="41">
      <x:c r="C41"/>
    </x:row>
    <x:row r="42">
      <x:c r="C42"/>
    </x:row>
    <x:row r="43">
      <x:c r="C43"/>
    </x:row>
    <x:row r="44">
      <x:c r="C44"/>
    </x:row>
    <x:row r="45">
      <x:c r="C45"/>
    </x:row>
    <x:row r="46">
      <x:c r="C46"/>
    </x:row>
    <x:row r="47">
      <x:c r="C47"/>
    </x:row>
    <x:row r="48">
      <x:c r="C48"/>
    </x:row>
    <x:row r="49">
      <x:c r="C49"/>
    </x:row>
    <x:row r="50">
      <x:c r="C50"/>
    </x:row>
    <x:row r="51">
      <x:c r="C51"/>
    </x:row>
    <x:row r="52">
      <x:c r="C52"/>
    </x:row>
    <x:row r="53">
      <x:c r="C53"/>
    </x:row>
    <x:row r="54">
      <x:c r="C54"/>
    </x:row>
    <x:row r="55">
      <x:c r="C55"/>
    </x:row>
    <x:row r="56">
      <x:c r="C56"/>
    </x:row>
    <x:row r="57">
      <x:c r="C57"/>
    </x:row>
    <x:row r="58">
      <x:c r="C58"/>
    </x:row>
    <x:row r="59">
      <x:c r="C59"/>
    </x:row>
    <x:row r="60">
      <x:c r="C60"/>
    </x:row>
    <x:row r="61">
      <x:c r="C61"/>
    </x:row>
    <x:row r="62">
      <x:c r="C62"/>
    </x:row>
    <x:row r="63">
      <x:c r="C63"/>
    </x:row>
    <x:row r="64">
      <x:c r="C64"/>
    </x:row>
    <x:row r="65">
      <x:c r="C65"/>
    </x:row>
    <x:row r="66">
      <x:c r="C66"/>
    </x:row>
    <x:row r="67">
      <x:c r="C67"/>
    </x:row>
    <x:row r="68">
      <x:c r="C68"/>
    </x:row>
    <x:row r="69">
      <x:c r="C69"/>
    </x:row>
    <x:row r="70">
      <x:c r="C70"/>
    </x:row>
  </x:sheetData>
  <x:pageMargins left="0.7" right="0.7" top="0.75" bottom="0.75" header="0.3" footer="0.3"/>
</x:worksheet>
</file>