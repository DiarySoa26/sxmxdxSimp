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2a48cbef84b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 SOMIDA" sheetId="1" r:id="Rbd429818a06040f8"/>
    <x:sheet xmlns:r="http://schemas.openxmlformats.org/officeDocument/2006/relationships" name="Employes" sheetId="2" r:id="Rbfd58a5378524e68"/>
    <x:sheet xmlns:r="http://schemas.openxmlformats.org/officeDocument/2006/relationships" name="Production" sheetId="3" r:id="Rc3ee38d5b486477e"/>
    <x:sheet xmlns:r="http://schemas.openxmlformats.org/officeDocument/2006/relationships" name="Charges" sheetId="4" r:id="Rb005dedbd75a463a"/>
    <x:sheet xmlns:r="http://schemas.openxmlformats.org/officeDocument/2006/relationships" name="Exportations" sheetId="5" r:id="Rf806186233cd45bd"/>
    <x:sheet xmlns:r="http://schemas.openxmlformats.org/officeDocument/2006/relationships" name="Frais Export" sheetId="6" r:id="Ra0b67c2307994ef8"/>
    <x:sheet xmlns:r="http://schemas.openxmlformats.org/officeDocument/2006/relationships" name="Synthese" sheetId="7" r:id="R1ca6d092d7724abb"/>
    <x:sheet xmlns:r="http://schemas.openxmlformats.org/officeDocument/2006/relationships" name="CR" sheetId="8" r:id="Re11cab5e77074593"/>
    <x:sheet xmlns:r="http://schemas.openxmlformats.org/officeDocument/2006/relationships" name="Amortissements" sheetId="9" r:id="R501d112ec95542fc"/>
  </x:sheets>
</x:workbook>
</file>

<file path=xl/sharedStrings.xml><?xml version="1.0" encoding="utf-8"?>
<x:sst xmlns:x="http://schemas.openxmlformats.org/spreadsheetml/2006/main">
  <x:si>
    <x:t xml:space="preserve">DONNEES SOMIDA - PARAMETRES ET REFERENTIELS</x:t>
  </x:si>
  <x:si>
    <x:t xml:space="preserve">Paramètre</x:t>
  </x:si>
  <x:si>
    <x:t xml:space="preserve">Valeur</x:t>
  </x:si>
  <x:si>
    <x:t xml:space="preserve">Unité / devise</x:t>
  </x:si>
  <x:si>
    <x:t xml:space="preserve">Commentaire</x:t>
  </x:si>
  <x:si>
    <x:t xml:space="preserve">Exercice</x:t>
  </x:si>
  <x:si>
    <x:t xml:space="preserve">année</x:t>
  </x:si>
  <x:si>
    <x:t xml:space="preserve">Inflation annuelle</x:t>
  </x:si>
  <x:si>
    <x:t xml:space="preserve">%</x:t>
  </x:si>
  <x:si>
    <x:t xml:space="preserve">Taux USD/MGA</x:t>
  </x:si>
  <x:si>
    <x:t xml:space="preserve">MGA/USD</x:t>
  </x:si>
  <x:si>
    <x:t xml:space="preserve">Taux JPY/MGA</x:t>
  </x:si>
  <x:si>
    <x:t xml:space="preserve">MGA/JPY</x:t>
  </x:si>
  <x:si>
    <x:t xml:space="preserve">Augmentation salariale</x:t>
  </x:si>
  <x:si>
    <x:t xml:space="preserve">TVA</x:t>
  </x:si>
  <x:si>
    <x:t xml:space="preserve">Paramètre fiscal</x:t>
  </x:si>
  <x:si>
    <x:t xml:space="preserve">Site principal</x:t>
  </x:si>
  <x:si>
    <x:t xml:space="preserve">FORT DAUPHIN</x:t>
  </x:si>
  <x:si>
    <x:t xml:space="preserve">Administration / export</x:t>
  </x:si>
  <x:si>
    <x:t xml:space="preserve">Site production</x:t>
  </x:si>
  <x:si>
    <x:t xml:space="preserve">AMPANDRANDAVA</x:t>
  </x:si>
  <x:si>
    <x:t xml:space="preserve">Production</x:t>
  </x:si>
  <x:si>
    <x:t xml:space="preserve">MARCHES EXPORT</x:t>
  </x:si>
  <x:si>
    <x:t xml:space="preserve">Pays</x:t>
  </x:si>
  <x:si>
    <x:t xml:space="preserve">Entité représentatrice</x:t>
  </x:si>
  <x:si>
    <x:t xml:space="preserve">Devise</x:t>
  </x:si>
  <x:si>
    <x:t xml:space="preserve">Observation</x:t>
  </x:si>
  <x:si>
    <x:t xml:space="preserve">Japon</x:t>
  </x:si>
  <x:si>
    <x:t xml:space="preserve">GOODEIS</x:t>
  </x:si>
  <x:si>
    <x:t xml:space="preserve">JPY</x:t>
  </x:si>
  <x:si>
    <x:t xml:space="preserve">Russie</x:t>
  </x:si>
  <x:si>
    <x:t xml:space="preserve">ELINAR</x:t>
  </x:si>
  <x:si>
    <x:t xml:space="preserve">USD</x:t>
  </x:si>
  <x:si>
    <x:t xml:space="preserve">Chine</x:t>
  </x:si>
  <x:si>
    <x:t xml:space="preserve">Matricule</x:t>
  </x:si>
  <x:si>
    <x:t xml:space="preserve">Site</x:t>
  </x:si>
  <x:si>
    <x:t xml:space="preserve">Département</x:t>
  </x:si>
  <x:si>
    <x:t xml:space="preserve">Poste</x:t>
  </x:si>
  <x:si>
    <x:t xml:space="preserve">Salaire base mensuel (MGA)</x:t>
  </x:si>
  <x:si>
    <x:t xml:space="preserve">Prime mensuelle (MGA)</x:t>
  </x:si>
  <x:si>
    <x:t xml:space="preserve">Charges patronales (MGA)</x:t>
  </x:si>
  <x:si>
    <x:t xml:space="preserve">Coût mensuel total (MGA)</x:t>
  </x:si>
  <x:si>
    <x:t xml:space="preserve">Statut</x:t>
  </x:si>
  <x:si>
    <x:t xml:space="preserve">Produit</x:t>
  </x:si>
  <x:si>
    <x:t xml:space="preserve">Unité</x:t>
  </x:si>
  <x:si>
    <x:t xml:space="preserve">Janvier</x:t>
  </x:si>
  <x:si>
    <x:t xml:space="preserve">Février</x:t>
  </x:si>
  <x:si>
    <x:t xml:space="preserve">Mars</x:t>
  </x:si>
  <x:si>
    <x:t xml:space="preserve">Avril</x:t>
  </x:si>
  <x:si>
    <x:t xml:space="preserve">Mai</x:t>
  </x:si>
  <x:si>
    <x:t xml:space="preserve">Juin</x:t>
  </x:si>
  <x:si>
    <x:t xml:space="preserve">Juillet</x:t>
  </x:si>
  <x:si>
    <x:t xml:space="preserve">Août</x:t>
  </x:si>
  <x:si>
    <x:t xml:space="preserve">Septembre</x:t>
  </x:si>
  <x:si>
    <x:t xml:space="preserve">Octobre</x:t>
  </x:si>
  <x:si>
    <x:t xml:space="preserve">Novembre</x:t>
  </x:si>
  <x:si>
    <x:t xml:space="preserve">Décembre</x:t>
  </x:si>
  <x:si>
    <x:t xml:space="preserve">Total annuel</x:t>
  </x:si>
  <x:si>
    <x:t xml:space="preserve">ABR COUPE</x:t>
  </x:si>
  <x:si>
    <x:t xml:space="preserve">tonnes</x:t>
  </x:si>
  <x:si>
    <x:t xml:space="preserve">FP1 COUPE</x:t>
  </x:si>
  <x:si>
    <x:t xml:space="preserve">FP2 COUPE</x:t>
  </x:si>
  <x:si>
    <x:t xml:space="preserve">TRA</x:t>
  </x:si>
  <x:si>
    <x:t xml:space="preserve">BSA</x:t>
  </x:si>
  <x:si>
    <x:t xml:space="preserve">Pilotage DAF • Japon / Russie / Chine • Suivi mensuel des volumes, devises et chiffre d’affaires</x:t>
  </x:si>
  <x:si>
    <x:t xml:space="preserve">VOLUME EXPORTÉ (t)</x:t>
  </x:si>
  <x:si>
    <x:t xml:space="preserve">CA EXPORT (MGA)</x:t>
  </x:si>
  <x:si>
    <x:t xml:space="preserve">CA JAPON (MGA)</x:t>
  </x:si>
  <x:si>
    <x:t xml:space="preserve">CA RUSSIE (MGA)</x:t>
  </x:si>
  <x:si>
    <x:t xml:space="preserve">CA CHINE (MGA)</x:t>
  </x:si>
  <x:si>
    <x:t xml:space="preserve">MARCHÉS / DEVISES</x:t>
  </x:si>
  <x:si>
    <x:t xml:space="preserve">3 pays • JPY / USD</x:t>
  </x:si>
  <x:si>
    <x:t xml:space="preserve">DÉTAIL MENSUEL DES EXPORTATIONS PAR MARCHÉ, REPRÉSENTANT ET PRODUIT</x:t>
  </x:si>
  <x:si>
    <x:t xml:space="preserve">Indicateur</x:t>
  </x:si>
  <x:si>
    <x:t xml:space="preserve">Quantité exportée</x:t>
  </x:si>
  <x:si>
    <x:t xml:space="preserve">Chiffre d'affaires devise</x:t>
  </x:si>
  <x:si>
    <x:t xml:space="preserve">Chiffre d'affaires MGA</x:t>
  </x:si>
  <x:si>
    <x:t xml:space="preserve">MGA</x:t>
  </x:si>
  <x:si>
    <x:t xml:space="preserve">REPRESENTANT CHINE - A VALIDER</x:t>
  </x:si>
  <x:si>
    <x:t xml:space="preserve">Nature frais</x:t>
  </x:si>
  <x:si>
    <x:t xml:space="preserve">Transport local</x:t>
  </x:si>
  <x:si>
    <x:t xml:space="preserve">Transit &amp; documents</x:t>
  </x:si>
  <x:si>
    <x:t xml:space="preserve">Manutention portuaire</x:t>
  </x:si>
  <x:si>
    <x:t xml:space="preserve">Fret international</x:t>
  </x:si>
  <x:si>
    <x:t xml:space="preserve">Assurance transport</x:t>
  </x:si>
  <x:si>
    <x:t xml:space="preserve">Frais bancaires export</x:t>
  </x:si>
  <x:si>
    <x:t xml:space="preserve">CA export</x:t>
  </x:si>
  <x:si>
    <x:t xml:space="preserve">Charges exploitation</x:t>
  </x:si>
  <x:si>
    <x:t xml:space="preserve">Frais export</x:t>
  </x:si>
  <x:si>
    <x:t xml:space="preserve">Masse salariale</x:t>
  </x:si>
  <x:si>
    <x:t xml:space="preserve">Résultat opérationnel</x:t>
  </x:si>
  <x:si>
    <x:t xml:space="preserve">Marge opérationnelle</x:t>
  </x:si>
</x:sst>
</file>

<file path=xl/styles.xml><?xml version="1.0" encoding="utf-8"?>
<x:styleSheet xmlns:x="http://schemas.openxmlformats.org/spreadsheetml/2006/main">
  <x:numFmts count="8">
    <x:numFmt numFmtId="164" formatCode="0.0%"/>
    <x:numFmt numFmtId="165" formatCode="#,##0;[Red]\(#,##0\);\-"/>
    <x:numFmt numFmtId="166" formatCode="#,##0.00;[Red]\(#,##0.00\);\-"/>
    <x:numFmt numFmtId="167" formatCode="0.0%;[Red]\(0.0%\);\-"/>
    <x:numFmt numFmtId="168" formatCode="#,##0.00\ &quot;t&quot;;[Red]\(#,##0.00\);\-"/>
    <x:numFmt numFmtId="200" formatCode="#,##0;[Red](#,##0);-"/>
    <x:numFmt numFmtId="201" formatCode="0.00%;[Red](0.00%);-"/>
    <x:numFmt numFmtId="202" formatCode="#,##0;[Red](#,##0);–"/>
  </x:numFmts>
  <x:fonts count="1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9"/>
      <x:color rgb="FFFFFFFF"/>
      <x:name val="Carlito"/>
    </x:font>
    <x:font>
      <x:b/>
      <x:sz val="12"/>
      <x:color rgb="FF00000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name val="Carlito"/>
    </x:font>
    <x:font>
      <x:b/>
      <x:sz val="9"/>
      <x:color rgb="FF000000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rgb="FF243447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F9F9F9"/>
      </x:patternFill>
    </x:fill>
    <x:fill>
      <x:patternFill patternType="solid">
        <x:fgColor rgb="FFFFF9E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EDF3F9"/>
      </x:patternFill>
    </x:fill>
  </x:fills>
  <x:borders count="4">
    <x:border/>
    <x:border>
      <x:top style="medium">
        <x:color rgb="FF17365D"/>
      </x:top>
    </x:border>
    <x:border/>
    <x:border>
      <x:top style="medium">
        <x:color rgb="FF17365D"/>
      </x:top>
    </x:border>
  </x:borders>
  <x:cellStyleXfs count="1">
    <x:xf numFmtId="0" fontId="0" fillId="0" borderId="0"/>
  </x:cellStyleXfs>
  <x:cellXfs count="177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2" fillId="0" borderId="0" xfId="0" applyFont="1"/>
    <x:xf numFmtId="164" fontId="2" fillId="0" borderId="0" xfId="0" applyNumberFormat="1" applyFont="1"/>
    <x:xf numFmtId="165" fontId="0" fillId="0" borderId="0" xfId="0" applyNumberFormat="1"/>
    <x:xf numFmtId="166" fontId="0" fillId="0" borderId="0" xfId="0" applyNumberFormat="1"/>
    <x:xf numFmtId="167" fontId="0" fillId="0" borderId="0" xfId="0" applyNumberFormat="1"/>
    <x:xf numFmtId="0" fontId="5" fillId="7" borderId="0" xfId="0" applyFont="1" applyFill="1" applyAlignment="1">
      <x:alignment horizontal="center" vertical="center" wrapText="1"/>
    </x:xf>
    <x:xf numFmtId="0" fontId="9" fillId="8" borderId="1" xfId="0" applyFont="1" applyFill="1" applyBorder="1" applyAlignment="1">
      <x:alignment horizontal="left" vertical="center"/>
    </x:xf>
    <x:xf numFmtId="0" fontId="8" fillId="8" borderId="1" xfId="0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8" fillId="8" borderId="0" xfId="0" applyFont="1" applyFill="1" applyAlignment="1">
      <x:alignment horizontal="left" vertical="center"/>
    </x:xf>
    <x:xf numFmtId="0" fontId="10" fillId="8" borderId="0" xfId="0" applyFont="1" applyFill="1" applyAlignment="1">
      <x:alignment horizontal="left" vertical="center"/>
    </x:xf>
    <x:xf numFmtId="0" fontId="9" fillId="9" borderId="1" xfId="0" applyFont="1" applyFill="1" applyBorder="1" applyAlignment="1">
      <x:alignment horizontal="left" vertical="center"/>
    </x:xf>
    <x:xf numFmtId="0" fontId="8" fillId="9" borderId="1" xfId="0" applyFont="1" applyFill="1" applyBorder="1" applyAlignment="1">
      <x:alignment horizontal="left" vertical="center"/>
    </x:xf>
    <x:xf numFmtId="0" fontId="9" fillId="9" borderId="0" xfId="0" applyFont="1" applyFill="1" applyAlignment="1">
      <x:alignment horizontal="left" vertical="center"/>
    </x:xf>
    <x:xf numFmtId="0" fontId="8" fillId="9" borderId="0" xfId="0" applyFont="1" applyFill="1" applyAlignment="1">
      <x:alignment horizontal="left" vertical="center"/>
    </x:xf>
    <x:xf numFmtId="0" fontId="10" fillId="9" borderId="0" xfId="0" applyFont="1" applyFill="1" applyAlignment="1">
      <x:alignment horizontal="left" vertical="center"/>
    </x:xf>
    <x:xf numFmtId="0" fontId="9" fillId="10" borderId="1" xfId="0" applyFont="1" applyFill="1" applyBorder="1" applyAlignment="1">
      <x:alignment horizontal="left" vertical="center"/>
    </x:xf>
    <x:xf numFmtId="0" fontId="8" fillId="10" borderId="1" xfId="0" applyFont="1" applyFill="1" applyBorder="1" applyAlignment="1">
      <x:alignment horizontal="left" vertical="center"/>
    </x:xf>
    <x:xf numFmtId="0" fontId="9" fillId="10" borderId="0" xfId="0" applyFont="1" applyFill="1" applyAlignment="1">
      <x:alignment horizontal="left" vertical="center"/>
    </x:xf>
    <x:xf numFmtId="0" fontId="8" fillId="10" borderId="0" xfId="0" applyFont="1" applyFill="1" applyAlignment="1">
      <x:alignment horizontal="left" vertical="center"/>
    </x:xf>
    <x:xf numFmtId="0" fontId="10" fillId="10" borderId="0" xfId="0" applyFont="1" applyFill="1" applyAlignment="1">
      <x:alignment horizontal="left" vertical="center"/>
    </x:xf>
    <x:xf numFmtId="166" fontId="5" fillId="7" borderId="0" xfId="0" applyNumberFormat="1" applyFont="1" applyFill="1" applyAlignment="1">
      <x:alignment horizontal="right" vertical="center" wrapText="1"/>
    </x:xf>
    <x:xf numFmtId="166" fontId="8" fillId="8" borderId="1" xfId="0" applyNumberFormat="1" applyFont="1" applyFill="1" applyBorder="1" applyAlignment="1">
      <x:alignment horizontal="right" vertical="center"/>
    </x:xf>
    <x:xf numFmtId="166" fontId="8" fillId="8" borderId="0" xfId="0" applyNumberFormat="1" applyFont="1" applyFill="1" applyAlignment="1">
      <x:alignment horizontal="right" vertical="center"/>
    </x:xf>
    <x:xf numFmtId="166" fontId="10" fillId="8" borderId="0" xfId="0" applyNumberFormat="1" applyFont="1" applyFill="1" applyAlignment="1">
      <x:alignment horizontal="right" vertical="center"/>
    </x:xf>
    <x:xf numFmtId="166" fontId="8" fillId="9" borderId="1" xfId="0" applyNumberFormat="1" applyFont="1" applyFill="1" applyBorder="1" applyAlignment="1">
      <x:alignment horizontal="right" vertical="center"/>
    </x:xf>
    <x:xf numFmtId="166" fontId="8" fillId="9" borderId="0" xfId="0" applyNumberFormat="1" applyFont="1" applyFill="1" applyAlignment="1">
      <x:alignment horizontal="right" vertical="center"/>
    </x:xf>
    <x:xf numFmtId="166" fontId="10" fillId="9" borderId="0" xfId="0" applyNumberFormat="1" applyFont="1" applyFill="1" applyAlignment="1">
      <x:alignment horizontal="right" vertical="center"/>
    </x:xf>
    <x:xf numFmtId="166" fontId="8" fillId="10" borderId="1" xfId="0" applyNumberFormat="1" applyFont="1" applyFill="1" applyBorder="1" applyAlignment="1">
      <x:alignment horizontal="right" vertical="center"/>
    </x:xf>
    <x:xf numFmtId="166" fontId="8" fillId="10" borderId="0" xfId="0" applyNumberFormat="1" applyFont="1" applyFill="1" applyAlignment="1">
      <x:alignment horizontal="right" vertical="center"/>
    </x:xf>
    <x:xf numFmtId="166" fontId="10" fillId="10" borderId="0" xfId="0" applyNumberFormat="1" applyFont="1" applyFill="1" applyAlignment="1">
      <x:alignment horizontal="right" vertical="center"/>
    </x:xf>
    <x:xf numFmtId="0" fontId="1" fillId="2" borderId="0" xfId="0" applyFont="1" applyFill="1" applyAlignment="1">
      <x:alignment horizontal="center" vertical="center" wrapText="1"/>
    </x:xf>
    <x:xf numFmtId="166" fontId="6" fillId="6" borderId="0" xfId="0" applyNumberFormat="1" applyFont="1" applyFill="1" applyAlignment="1">
      <x:alignment horizontal="center" vertical="center"/>
    </x:xf>
    <x:xf numFmtId="0" fontId="7" fillId="3" borderId="0" xfId="0" applyFont="1" applyFill="1" applyAlignment="1">
      <x:alignment horizontal="left"/>
    </x:xf>
    <x:xf numFmtId="166" fontId="7" fillId="3" borderId="0" xfId="0" applyNumberFormat="1" applyFont="1" applyFill="1" applyAlignment="1">
      <x:alignment horizontal="left"/>
    </x:xf>
    <x:xf numFmtId="168" fontId="6" fillId="6" borderId="0" xfId="0" applyNumberFormat="1" applyFont="1" applyFill="1" applyAlignment="1">
      <x:alignment horizontal="center" vertical="center"/>
    </x:xf>
    <x:xf numFmtId="0" fontId="6" fillId="6" borderId="0" xfId="0" applyFont="1" applyFill="1" applyAlignment="1">
      <x:alignment horizontal="center" vertical="center"/>
    </x:xf>
    <x:xf numFmtId="165" fontId="6" fillId="6" borderId="0" xfId="0" applyNumberFormat="1" applyFont="1" applyFill="1" applyAlignment="1">
      <x:alignment horizontal="center" vertical="center"/>
    </x:xf>
    <x:xf numFmtId="0" fontId="3" fillId="3" borderId="0" xfId="0" applyFont="1" applyFill="1" applyAlignment="1">
      <x:alignment horizontal="left" vertical="center" wrapText="1"/>
    </x:xf>
    <x:xf numFmtId="0" fontId="4" fillId="4" borderId="0" xfId="0" applyFont="1" applyFill="1" applyAlignment="1">
      <x:alignment horizontal="left"/>
    </x:xf>
    <x:xf numFmtId="166" fontId="4" fillId="4" borderId="0" xfId="0" applyNumberFormat="1" applyFont="1" applyFill="1" applyAlignment="1">
      <x:alignment horizontal="left"/>
    </x:xf>
    <x:xf numFmtId="0" fontId="5" fillId="5" borderId="0" xfId="0" applyFont="1" applyFill="1" applyAlignment="1">
      <x:alignment horizontal="center" vertical="center" wrapText="1"/>
    </x:xf>
    <x:xf numFmtId="166" fontId="5" fillId="5" borderId="0" xfId="0" applyNumberFormat="1" applyFont="1" applyFill="1" applyAlignment="1">
      <x:alignment horizontal="center" vertical="center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/>
    <x:xf numFmtId="164" fontId="2" fillId="0" borderId="2" xfId="0" applyNumberFormat="1" applyFont="1" applyFill="1" applyBorder="1"/>
    <x:xf numFmtId="165" fontId="0" fillId="0" borderId="2" xfId="0" applyNumberFormat="1" applyFont="1" applyFill="1" applyBorder="1"/>
    <x:xf numFmtId="166" fontId="0" fillId="0" borderId="2" xfId="0" applyNumberFormat="1" applyFont="1" applyFill="1" applyBorder="1"/>
    <x:xf numFmtId="167" fontId="0" fillId="0" borderId="2" xfId="0" applyNumberFormat="1" applyFont="1" applyFill="1" applyBorder="1"/>
    <x:xf numFmtId="0" fontId="5" fillId="7" borderId="2" xfId="0" applyNumberFormat="1" applyFont="1" applyFill="1" applyBorder="1" applyAlignment="1">
      <x:alignment horizontal="center" vertical="center" wrapText="1"/>
    </x:xf>
    <x:xf numFmtId="0" fontId="9" fillId="8" borderId="3" xfId="0" applyNumberFormat="1" applyFont="1" applyFill="1" applyBorder="1" applyAlignment="1">
      <x:alignment horizontal="left" vertical="center"/>
    </x:xf>
    <x:xf numFmtId="0" fontId="8" fillId="8" borderId="3" xfId="0" applyNumberFormat="1" applyFont="1" applyFill="1" applyBorder="1" applyAlignment="1">
      <x:alignment horizontal="left" vertical="center"/>
    </x:xf>
    <x:xf numFmtId="0" fontId="9" fillId="8" borderId="2" xfId="0" applyNumberFormat="1" applyFont="1" applyFill="1" applyBorder="1" applyAlignment="1">
      <x:alignment horizontal="left" vertical="center"/>
    </x:xf>
    <x:xf numFmtId="0" fontId="8" fillId="8" borderId="2" xfId="0" applyNumberFormat="1" applyFont="1" applyFill="1" applyBorder="1" applyAlignment="1">
      <x:alignment horizontal="left" vertical="center"/>
    </x:xf>
    <x:xf numFmtId="0" fontId="10" fillId="8" borderId="2" xfId="0" applyNumberFormat="1" applyFont="1" applyFill="1" applyBorder="1" applyAlignment="1">
      <x:alignment horizontal="left" vertical="center"/>
    </x:xf>
    <x:xf numFmtId="0" fontId="9" fillId="9" borderId="3" xfId="0" applyNumberFormat="1" applyFont="1" applyFill="1" applyBorder="1" applyAlignment="1">
      <x:alignment horizontal="left" vertical="center"/>
    </x:xf>
    <x:xf numFmtId="0" fontId="8" fillId="9" borderId="3" xfId="0" applyNumberFormat="1" applyFont="1" applyFill="1" applyBorder="1" applyAlignment="1">
      <x:alignment horizontal="left" vertical="center"/>
    </x:xf>
    <x:xf numFmtId="0" fontId="9" fillId="9" borderId="2" xfId="0" applyNumberFormat="1" applyFont="1" applyFill="1" applyBorder="1" applyAlignment="1">
      <x:alignment horizontal="left" vertical="center"/>
    </x:xf>
    <x:xf numFmtId="0" fontId="8" fillId="9" borderId="2" xfId="0" applyNumberFormat="1" applyFont="1" applyFill="1" applyBorder="1" applyAlignment="1">
      <x:alignment horizontal="left" vertical="center"/>
    </x:xf>
    <x:xf numFmtId="0" fontId="10" fillId="9" borderId="2" xfId="0" applyNumberFormat="1" applyFont="1" applyFill="1" applyBorder="1" applyAlignment="1">
      <x:alignment horizontal="left" vertical="center"/>
    </x:xf>
    <x:xf numFmtId="0" fontId="9" fillId="10" borderId="3" xfId="0" applyNumberFormat="1" applyFont="1" applyFill="1" applyBorder="1" applyAlignment="1">
      <x:alignment horizontal="left" vertical="center"/>
    </x:xf>
    <x:xf numFmtId="0" fontId="8" fillId="10" borderId="3" xfId="0" applyNumberFormat="1" applyFont="1" applyFill="1" applyBorder="1" applyAlignment="1">
      <x:alignment horizontal="left" vertical="center"/>
    </x:xf>
    <x:xf numFmtId="0" fontId="9" fillId="10" borderId="2" xfId="0" applyNumberFormat="1" applyFont="1" applyFill="1" applyBorder="1" applyAlignment="1">
      <x:alignment horizontal="left" vertical="center"/>
    </x:xf>
    <x:xf numFmtId="0" fontId="8" fillId="10" borderId="2" xfId="0" applyNumberFormat="1" applyFont="1" applyFill="1" applyBorder="1" applyAlignment="1">
      <x:alignment horizontal="left" vertical="center"/>
    </x:xf>
    <x:xf numFmtId="0" fontId="10" fillId="10" borderId="2" xfId="0" applyNumberFormat="1" applyFont="1" applyFill="1" applyBorder="1" applyAlignment="1">
      <x:alignment horizontal="left" vertical="center"/>
    </x:xf>
    <x:xf numFmtId="166" fontId="5" fillId="7" borderId="2" xfId="0" applyNumberFormat="1" applyFont="1" applyFill="1" applyBorder="1" applyAlignment="1">
      <x:alignment horizontal="right" vertical="center" wrapText="1"/>
    </x:xf>
    <x:xf numFmtId="166" fontId="8" fillId="8" borderId="3" xfId="0" applyNumberFormat="1" applyFont="1" applyFill="1" applyBorder="1" applyAlignment="1">
      <x:alignment horizontal="right" vertical="center"/>
    </x:xf>
    <x:xf numFmtId="166" fontId="8" fillId="8" borderId="2" xfId="0" applyNumberFormat="1" applyFont="1" applyFill="1" applyBorder="1" applyAlignment="1">
      <x:alignment horizontal="right" vertical="center"/>
    </x:xf>
    <x:xf numFmtId="166" fontId="10" fillId="8" borderId="2" xfId="0" applyNumberFormat="1" applyFont="1" applyFill="1" applyBorder="1" applyAlignment="1">
      <x:alignment horizontal="right" vertical="center"/>
    </x:xf>
    <x:xf numFmtId="166" fontId="8" fillId="9" borderId="3" xfId="0" applyNumberFormat="1" applyFont="1" applyFill="1" applyBorder="1" applyAlignment="1">
      <x:alignment horizontal="right" vertical="center"/>
    </x:xf>
    <x:xf numFmtId="166" fontId="8" fillId="9" borderId="2" xfId="0" applyNumberFormat="1" applyFont="1" applyFill="1" applyBorder="1" applyAlignment="1">
      <x:alignment horizontal="right" vertical="center"/>
    </x:xf>
    <x:xf numFmtId="166" fontId="10" fillId="9" borderId="2" xfId="0" applyNumberFormat="1" applyFont="1" applyFill="1" applyBorder="1" applyAlignment="1">
      <x:alignment horizontal="right" vertical="center"/>
    </x:xf>
    <x:xf numFmtId="166" fontId="8" fillId="10" borderId="3" xfId="0" applyNumberFormat="1" applyFont="1" applyFill="1" applyBorder="1" applyAlignment="1">
      <x:alignment horizontal="right" vertical="center"/>
    </x:xf>
    <x:xf numFmtId="166" fontId="8" fillId="10" borderId="2" xfId="0" applyNumberFormat="1" applyFont="1" applyFill="1" applyBorder="1" applyAlignment="1">
      <x:alignment horizontal="right" vertical="center"/>
    </x:xf>
    <x:xf numFmtId="166" fontId="10" fillId="10" borderId="2" xfId="0" applyNumberFormat="1" applyFont="1" applyFill="1" applyBorder="1" applyAlignment="1">
      <x:alignment horizontal="right" vertical="center"/>
    </x:xf>
    <x:xf numFmtId="166" fontId="6" fillId="6" borderId="2" xfId="0" applyNumberFormat="1" applyFont="1" applyFill="1" applyBorder="1" applyAlignment="1">
      <x:alignment horizontal="center" vertical="center"/>
    </x:xf>
    <x:xf numFmtId="0" fontId="7" fillId="2" borderId="2" xfId="0" applyNumberFormat="1" applyFont="1" applyFill="1" applyBorder="1" applyAlignment="1">
      <x:alignment horizontal="left"/>
    </x:xf>
    <x:xf numFmtId="166" fontId="7" fillId="2" borderId="2" xfId="0" applyNumberFormat="1" applyFont="1" applyFill="1" applyBorder="1" applyAlignment="1">
      <x:alignment horizontal="left"/>
    </x:xf>
    <x:xf numFmtId="168" fontId="6" fillId="6" borderId="2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horizontal="center" vertical="center"/>
    </x:xf>
    <x:xf numFmtId="165" fontId="6" fillId="6" borderId="2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left" vertical="center" wrapText="1"/>
    </x:xf>
    <x:xf numFmtId="0" fontId="4" fillId="4" borderId="2" xfId="0" applyNumberFormat="1" applyFont="1" applyFill="1" applyBorder="1" applyAlignment="1">
      <x:alignment horizontal="left"/>
    </x:xf>
    <x:xf numFmtId="166" fontId="4" fillId="4" borderId="2" xfId="0" applyNumberFormat="1" applyFont="1" applyFill="1" applyBorder="1" applyAlignment="1">
      <x:alignment horizontal="left"/>
    </x:xf>
    <x:xf numFmtId="0" fontId="5" fillId="5" borderId="2" xfId="0" applyNumberFormat="1" applyFont="1" applyFill="1" applyBorder="1" applyAlignment="1">
      <x:alignment horizontal="center" vertical="center" wrapText="1"/>
    </x:xf>
    <x:xf numFmtId="166" fontId="5" fillId="5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0" fontId="0" fillId="11" borderId="0" xfId="0" applyNumberFormat="1" applyFont="1" applyFill="1" applyBorder="1"/>
    <x:xf numFmtId="200" fontId="11" fillId="11" borderId="0" xfId="0" applyNumberFormat="1" applyFont="1" applyFill="1" applyBorder="1"/>
    <x:xf numFmtId="200" fontId="0" fillId="11" borderId="2" xfId="0" applyNumberFormat="1" applyFont="1" applyFill="1" applyBorder="1"/>
    <x:xf numFmtId="200" fontId="11" fillId="11" borderId="2" xfId="0" applyNumberFormat="1" applyFont="1" applyFill="1" applyBorder="1"/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center"/>
    </x:xf>
    <x:xf numFmtId="0" fontId="0" fillId="12" borderId="2" xfId="0" applyNumberFormat="1" applyFont="1" applyFill="1" applyBorder="1"/>
    <x:xf numFmtId="0" fontId="12" fillId="12" borderId="2" xfId="0" applyNumberFormat="1" applyFont="1" applyFill="1" applyBorder="1"/>
    <x:xf numFmtId="0" fontId="12" fillId="12" borderId="2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0" fillId="13" borderId="2" xfId="0" applyNumberFormat="1" applyFont="1" applyFill="1" applyBorder="1"/>
    <x:xf numFmtId="0" fontId="1" fillId="13" borderId="2" xfId="0" applyNumberFormat="1" applyFont="1" applyFill="1" applyBorder="1"/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0" fillId="11" borderId="2" xfId="0" applyNumberFormat="1" applyFont="1" applyFill="1" applyBorder="1"/>
    <x:xf numFmtId="0" fontId="11" fillId="11" borderId="2" xfId="0" applyNumberFormat="1" applyFont="1" applyFill="1" applyBorder="1"/>
    <x:xf numFmtId="0" fontId="11" fillId="12" borderId="0" xfId="0" applyNumberFormat="1" applyFont="1" applyFill="1" applyBorder="1"/>
    <x:xf numFmtId="0" fontId="1" fillId="12" borderId="0" xfId="0" applyNumberFormat="1" applyFont="1" applyFill="1" applyBorder="1"/>
    <x:xf numFmtId="0" fontId="11" fillId="12" borderId="2" xfId="0" applyNumberFormat="1" applyFont="1" applyFill="1" applyBorder="1"/>
    <x:xf numFmtId="0" fontId="1" fillId="12" borderId="2" xfId="0" applyNumberFormat="1" applyFont="1" applyFill="1" applyBorder="1"/>
    <x:xf numFmtId="200" fontId="1" fillId="12" borderId="0" xfId="0" applyNumberFormat="1" applyFont="1" applyFill="1" applyBorder="1"/>
    <x:xf numFmtId="200" fontId="1" fillId="12" borderId="2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164" fontId="2" fillId="0" borderId="0" xfId="0" applyNumberFormat="1" applyFont="1" applyFill="1" applyBorder="1"/>
    <x:xf numFmtId="165" fontId="0" fillId="0" borderId="0" xfId="0" applyNumberFormat="1" applyFont="1" applyFill="1" applyBorder="1"/>
    <x:xf numFmtId="166" fontId="0" fillId="0" borderId="0" xfId="0" applyNumberFormat="1" applyFont="1" applyFill="1" applyBorder="1"/>
    <x:xf numFmtId="167" fontId="0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horizontal="left" vertical="center"/>
    </x:xf>
    <x:xf numFmtId="0" fontId="8" fillId="8" borderId="1" xfId="0" applyNumberFormat="1" applyFont="1" applyFill="1" applyBorder="1" applyAlignment="1">
      <x:alignment horizontal="left" vertical="center"/>
    </x:xf>
    <x:xf numFmtId="0" fontId="9" fillId="8" borderId="0" xfId="0" applyNumberFormat="1" applyFont="1" applyFill="1" applyBorder="1" applyAlignment="1">
      <x:alignment horizontal="left" vertical="center"/>
    </x:xf>
    <x:xf numFmtId="0" fontId="8" fillId="8" borderId="0" xfId="0" applyNumberFormat="1" applyFont="1" applyFill="1" applyBorder="1" applyAlignment="1">
      <x:alignment horizontal="left" vertical="center"/>
    </x:xf>
    <x:xf numFmtId="0" fontId="10" fillId="8" borderId="0" xfId="0" applyNumberFormat="1" applyFont="1" applyFill="1" applyBorder="1" applyAlignment="1">
      <x:alignment horizontal="left" vertical="center"/>
    </x:xf>
    <x:xf numFmtId="0" fontId="9" fillId="9" borderId="1" xfId="0" applyNumberFormat="1" applyFont="1" applyFill="1" applyBorder="1" applyAlignment="1">
      <x:alignment horizontal="left" vertical="center"/>
    </x:xf>
    <x:xf numFmtId="0" fontId="8" fillId="9" borderId="1" xfId="0" applyNumberFormat="1" applyFont="1" applyFill="1" applyBorder="1" applyAlignment="1">
      <x:alignment horizontal="left" vertical="center"/>
    </x:xf>
    <x:xf numFmtId="0" fontId="9" fillId="9" borderId="0" xfId="0" applyNumberFormat="1" applyFont="1" applyFill="1" applyBorder="1" applyAlignment="1">
      <x:alignment horizontal="left" vertical="center"/>
    </x:xf>
    <x:xf numFmtId="0" fontId="8" fillId="9" borderId="0" xfId="0" applyNumberFormat="1" applyFont="1" applyFill="1" applyBorder="1" applyAlignment="1">
      <x:alignment horizontal="left" vertical="center"/>
    </x:xf>
    <x:xf numFmtId="0" fontId="10" fillId="9" borderId="0" xfId="0" applyNumberFormat="1" applyFont="1" applyFill="1" applyBorder="1" applyAlignment="1">
      <x:alignment horizontal="left" vertical="center"/>
    </x:xf>
    <x:xf numFmtId="0" fontId="9" fillId="10" borderId="1" xfId="0" applyNumberFormat="1" applyFont="1" applyFill="1" applyBorder="1" applyAlignment="1">
      <x:alignment horizontal="left" vertical="center"/>
    </x:xf>
    <x:xf numFmtId="0" fontId="8" fillId="10" borderId="1" xfId="0" applyNumberFormat="1" applyFont="1" applyFill="1" applyBorder="1" applyAlignment="1">
      <x:alignment horizontal="left" vertical="center"/>
    </x:xf>
    <x:xf numFmtId="0" fontId="9" fillId="10" borderId="0" xfId="0" applyNumberFormat="1" applyFont="1" applyFill="1" applyBorder="1" applyAlignment="1">
      <x:alignment horizontal="left" vertical="center"/>
    </x:xf>
    <x:xf numFmtId="0" fontId="8" fillId="10" borderId="0" xfId="0" applyNumberFormat="1" applyFont="1" applyFill="1" applyBorder="1" applyAlignment="1">
      <x:alignment horizontal="left" vertical="center"/>
    </x:xf>
    <x:xf numFmtId="0" fontId="10" fillId="10" borderId="0" xfId="0" applyNumberFormat="1" applyFont="1" applyFill="1" applyBorder="1" applyAlignment="1">
      <x:alignment horizontal="left" vertical="center"/>
    </x:xf>
    <x:xf numFmtId="166" fontId="5" fillId="7" borderId="0" xfId="0" applyNumberFormat="1" applyFont="1" applyFill="1" applyBorder="1" applyAlignment="1">
      <x:alignment horizontal="right" vertical="center" wrapText="1"/>
    </x:xf>
    <x:xf numFmtId="166" fontId="8" fillId="8" borderId="0" xfId="0" applyNumberFormat="1" applyFont="1" applyFill="1" applyBorder="1" applyAlignment="1">
      <x:alignment horizontal="right" vertical="center"/>
    </x:xf>
    <x:xf numFmtId="166" fontId="10" fillId="8" borderId="0" xfId="0" applyNumberFormat="1" applyFont="1" applyFill="1" applyBorder="1" applyAlignment="1">
      <x:alignment horizontal="right" vertical="center"/>
    </x:xf>
    <x:xf numFmtId="166" fontId="8" fillId="9" borderId="0" xfId="0" applyNumberFormat="1" applyFont="1" applyFill="1" applyBorder="1" applyAlignment="1">
      <x:alignment horizontal="right" vertical="center"/>
    </x:xf>
    <x:xf numFmtId="166" fontId="10" fillId="9" borderId="0" xfId="0" applyNumberFormat="1" applyFont="1" applyFill="1" applyBorder="1" applyAlignment="1">
      <x:alignment horizontal="right" vertical="center"/>
    </x:xf>
    <x:xf numFmtId="166" fontId="8" fillId="10" borderId="0" xfId="0" applyNumberFormat="1" applyFont="1" applyFill="1" applyBorder="1" applyAlignment="1">
      <x:alignment horizontal="right" vertical="center"/>
    </x:xf>
    <x:xf numFmtId="166" fontId="10" fillId="10" borderId="0" xfId="0" applyNumberFormat="1" applyFont="1" applyFill="1" applyBorder="1" applyAlignment="1">
      <x:alignment horizontal="right" vertical="center"/>
    </x:xf>
    <x:xf numFmtId="166" fontId="6" fillId="6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left"/>
    </x:xf>
    <x:xf numFmtId="166" fontId="7" fillId="2" borderId="0" xfId="0" applyNumberFormat="1" applyFont="1" applyFill="1" applyBorder="1" applyAlignment="1">
      <x:alignment horizontal="left"/>
    </x:xf>
    <x:xf numFmtId="168" fontId="6" fillId="6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165" fontId="6" fillId="6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left"/>
    </x:xf>
    <x:xf numFmtId="166" fontId="4" fillId="4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center" vertical="center" wrapText="1"/>
    </x:xf>
    <x:xf numFmtId="166" fontId="5" fillId="5" borderId="0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/>
    <x:xf numFmtId="200" fontId="11" fillId="4" borderId="0" xfId="0" applyNumberFormat="1" applyFont="1" applyFill="1" applyBorder="1"/>
    <x:xf numFmtId="0" fontId="0" fillId="2" borderId="0" xfId="0" applyNumberFormat="1" applyFont="1" applyFill="1" applyBorder="1"/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4" borderId="0" xfId="0" applyNumberFormat="1" applyFont="1" applyFill="1" applyBorder="1"/>
    <x:xf numFmtId="0" fontId="11" fillId="4" borderId="0" xfId="0" applyNumberFormat="1" applyFont="1" applyFill="1" applyBorder="1"/>
    <x:xf numFmtId="0" fontId="11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202" fontId="0" fillId="0" borderId="0" xfId="0" applyNumberFormat="1" applyFont="1" applyFill="1" applyBorder="1"/>
    <x:xf numFmtId="0" fontId="13" fillId="15" borderId="0" xfId="0" applyNumberFormat="1" applyFont="1" applyFill="1" applyBorder="1"/>
    <x:xf numFmtId="202" fontId="0" fillId="1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123eeb569940d2" /><Relationship Type="http://schemas.openxmlformats.org/officeDocument/2006/relationships/theme" Target="/xl/theme/theme1.xml" Id="Re4a4d6f5c8ea44a4" /><Relationship Type="http://schemas.openxmlformats.org/officeDocument/2006/relationships/sharedStrings" Target="/xl/sharedStrings.xml" Id="R31f880af3435478f" /><Relationship Type="http://schemas.openxmlformats.org/officeDocument/2006/relationships/worksheet" Target="/xl/worksheets/sheet1.xml" Id="Rbd429818a06040f8" /><Relationship Type="http://schemas.openxmlformats.org/officeDocument/2006/relationships/worksheet" Target="/xl/worksheets/sheet2.xml" Id="Rbfd58a5378524e68" /><Relationship Type="http://schemas.openxmlformats.org/officeDocument/2006/relationships/worksheet" Target="/xl/worksheets/sheet3.xml" Id="Rc3ee38d5b486477e" /><Relationship Type="http://schemas.openxmlformats.org/officeDocument/2006/relationships/worksheet" Target="/xl/worksheets/sheet4.xml" Id="Rb005dedbd75a463a" /><Relationship Type="http://schemas.openxmlformats.org/officeDocument/2006/relationships/worksheet" Target="/xl/worksheets/sheet5.xml" Id="Rf806186233cd45bd" /><Relationship Type="http://schemas.openxmlformats.org/officeDocument/2006/relationships/worksheet" Target="/xl/worksheets/sheet6.xml" Id="Ra0b67c2307994ef8" /><Relationship Type="http://schemas.openxmlformats.org/officeDocument/2006/relationships/worksheet" Target="/xl/worksheets/sheet7.xml" Id="R1ca6d092d7724abb" /><Relationship Type="http://schemas.openxmlformats.org/officeDocument/2006/relationships/worksheet" Target="/xl/worksheets/sheet8.xml" Id="Re11cab5e77074593" /><Relationship Type="http://schemas.openxmlformats.org/officeDocument/2006/relationships/worksheet" Target="/xl/worksheets/sheet9.xml" Id="R501d112ec95542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8" customWidth="1"/>
    <x:col min="2" max="2" width="26.1640625" customWidth="1"/>
    <x:col min="3" max="3" width="11.1640625" customWidth="1"/>
    <x:col min="4" max="4" width="40" customWidth="1"/>
  </x:cols>
  <x:sheetData>
    <x:row r="1" ht="15">
      <x:c r="A1" s="33" t="s">
        <x:v>0</x:v>
      </x:c>
      <x:c r="B1" s="33"/>
      <x:c r="C1" s="33"/>
      <x:c r="D1" s="33"/>
    </x:row>
    <x:row r="2" ht="32">
      <x:c r="A2" s="1" t="s">
        <x:v>1</x:v>
      </x:c>
      <x:c r="B2" s="1" t="s">
        <x:v>2</x:v>
      </x:c>
      <x:c r="C2" s="1" t="s">
        <x:v>3</x:v>
      </x:c>
      <x:c r="D2" s="1" t="s">
        <x:v>4</x:v>
      </x:c>
    </x:row>
    <x:row r="3">
      <x:c r="A3" t="s">
        <x:v>5</x:v>
      </x:c>
      <x:c r="B3" s="2" t="n">
        <x:v>2019</x:v>
      </x:c>
      <x:c r="C3" t="s">
        <x:v>6</x:v>
      </x:c>
      <x:c r="D3" t="str">
        <x:v>Exercice</x:v>
      </x:c>
    </x:row>
    <x:row r="4">
      <x:c r="A4" t="s">
        <x:v>7</x:v>
      </x:c>
      <x:c r="B4" s="3" t="n">
        <x:v>0.056</x:v>
      </x:c>
      <x:c r="C4" t="s">
        <x:v>8</x:v>
      </x:c>
      <x:c r="D4" t="str">
        <x:v>Paramètre annuel</x:v>
      </x:c>
    </x:row>
    <x:row r="5">
      <x:c r="A5" t="s">
        <x:v>9</x:v>
      </x:c>
      <x:c r="B5" s="2" t="n">
        <x:v>3650</x:v>
      </x:c>
      <x:c r="C5" t="s">
        <x:v>10</x:v>
      </x:c>
      <x:c r="D5" t="str">
        <x:v>Taux de change</x:v>
      </x:c>
    </x:row>
    <x:row r="6">
      <x:c r="A6" t="s">
        <x:v>11</x:v>
      </x:c>
      <x:c r="B6" s="2" t="n">
        <x:v>33.5</x:v>
      </x:c>
      <x:c r="C6" t="s">
        <x:v>12</x:v>
      </x:c>
      <x:c r="D6" t="str">
        <x:v>Taux de change</x:v>
      </x:c>
    </x:row>
    <x:row r="7">
      <x:c r="A7" t="s">
        <x:v>13</x:v>
      </x:c>
      <x:c r="B7" s="3" t="n">
        <x:v>0.05</x:v>
      </x:c>
      <x:c r="C7" t="s">
        <x:v>8</x:v>
      </x:c>
      <x:c r="D7" t="str">
        <x:v>Évolution salariale</x:v>
      </x:c>
    </x:row>
    <x:row r="8">
      <x:c r="A8" t="s">
        <x:v>14</x:v>
      </x:c>
      <x:c r="B8" s="3">
        <x:v>0.2</x:v>
      </x:c>
      <x:c r="C8" t="s">
        <x:v>8</x:v>
      </x:c>
      <x:c r="D8" t="s">
        <x:v>15</x:v>
      </x:c>
    </x:row>
    <x:row r="9">
      <x:c r="A9" t="s">
        <x:v>16</x:v>
      </x:c>
      <x:c r="B9" t="s">
        <x:v>17</x:v>
      </x:c>
      <x:c r="D9" t="s">
        <x:v>18</x:v>
      </x:c>
    </x:row>
    <x:row r="10">
      <x:c r="A10" t="s">
        <x:v>19</x:v>
      </x:c>
      <x:c r="B10" t="s">
        <x:v>20</x:v>
      </x:c>
      <x:c r="D10" t="s">
        <x:v>21</x:v>
      </x:c>
    </x:row>
    <x:row r="12" ht="16">
      <x:c r="A12" s="1" t="s">
        <x:v>22</x:v>
      </x:c>
      <x:c r="B12" s="1"/>
      <x:c r="C12" s="1"/>
      <x:c r="D12" s="1"/>
    </x:row>
    <x:row r="13" ht="16">
      <x:c r="A13" s="1" t="s">
        <x:v>23</x:v>
      </x:c>
      <x:c r="B13" s="1" t="s">
        <x:v>24</x:v>
      </x:c>
      <x:c r="C13" s="1" t="s">
        <x:v>25</x:v>
      </x:c>
      <x:c r="D13" s="1" t="s">
        <x:v>26</x:v>
      </x:c>
    </x:row>
    <x:row r="14">
      <x:c r="A14" t="s">
        <x:v>27</x:v>
      </x:c>
      <x:c r="B14" t="s">
        <x:v>28</x:v>
      </x:c>
      <x:c r="C14" t="s">
        <x:v>29</x:v>
      </x:c>
      <x:c r="D14" t="str">
        <x:v>Marché export</x:v>
      </x:c>
    </x:row>
    <x:row r="15">
      <x:c r="A15" t="s">
        <x:v>30</x:v>
      </x:c>
      <x:c r="B15" t="s">
        <x:v>31</x:v>
      </x:c>
      <x:c r="C15" t="s">
        <x:v>32</x:v>
      </x:c>
      <x:c r="D15" t="str">
        <x:v>Marché export</x:v>
      </x:c>
    </x:row>
    <x:row r="16">
      <x:c r="A16" t="s">
        <x:v>33</x:v>
      </x:c>
      <x:c r="B16" t="str">
        <x:v>REPRESENTANT CHINE</x:v>
      </x:c>
      <x:c r="C16" t="s">
        <x:v>32</x:v>
      </x:c>
      <x:c r="D16" t="str">
        <x:v>Marché export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7.83203125" customWidth="1"/>
    <x:col min="2" max="2" width="18" customWidth="1"/>
    <x:col min="3" max="3" width="14.6640625" customWidth="1"/>
    <x:col min="4" max="4" width="11.6640625" customWidth="1"/>
    <x:col min="5" max="5" width="26" customWidth="1"/>
    <x:col min="6" max="6" width="22" customWidth="1"/>
    <x:col min="7" max="7" width="18.6640625" customWidth="1"/>
    <x:col min="8" max="9" width="20.5" customWidth="1"/>
    <x:col min="10" max="10" width="5.1640625" customWidth="1"/>
  </x:cols>
  <x:sheetData>
    <x:row r="1" ht="32">
      <x:c r="A1" s="1" t="s">
        <x:v>34</x:v>
      </x:c>
      <x:c r="B1" s="1" t="str">
        <x:v>Nom</x:v>
      </x:c>
      <x:c r="C1" s="1" t="s">
        <x:v>35</x:v>
      </x:c>
      <x:c r="D1" s="1" t="s">
        <x:v>36</x:v>
      </x:c>
      <x:c r="E1" s="1" t="s">
        <x:v>37</x:v>
      </x:c>
      <x:c r="F1" s="1" t="s">
        <x:v>38</x:v>
      </x:c>
      <x:c r="G1" s="1" t="s">
        <x:v>39</x:v>
      </x:c>
      <x:c r="H1" s="1" t="s">
        <x:v>40</x:v>
      </x:c>
      <x:c r="I1" s="1" t="s">
        <x:v>41</x:v>
      </x:c>
      <x:c r="J1" s="1" t="s">
        <x:v>42</x:v>
      </x:c>
    </x:row>
    <x:row r="2">
      <x:c r="A2" t="str">
        <x:v>EMP-001</x:v>
      </x:c>
      <x:c r="B2" t="str">
        <x:v>RABE Hery</x:v>
      </x:c>
      <x:c r="C2" t="str">
        <x:v>FORT DAUPHIN</x:v>
      </x:c>
      <x:c r="D2" t="str">
        <x:v>Direction</x:v>
      </x:c>
      <x:c r="E2" t="str">
        <x:v>Directeur Général</x:v>
      </x:c>
      <x:c r="F2" s="4" t="n">
        <x:v>9827600</x:v>
      </x:c>
      <x:c r="G2" s="4" t="n">
        <x:v>982760</x:v>
      </x:c>
      <x:c r="H2" s="4" t="n">
        <x:v>1768810</x:v>
      </x:c>
      <x:c r="I2" s="4" t="n">
        <x:f>SUM(F2:H2)</x:f>
        <x:v>12579170</x:v>
      </x:c>
      <x:c r="J2" t="str">
        <x:v>Actif</x:v>
      </x:c>
    </x:row>
    <x:row r="3">
      <x:c r="A3" t="str">
        <x:v>EMP-002</x:v>
      </x:c>
      <x:c r="B3" t="str">
        <x:v>RAKOTO Miora</x:v>
      </x:c>
      <x:c r="C3" t="str">
        <x:v>AMPANDRANDAVA</x:v>
      </x:c>
      <x:c r="D3" t="str">
        <x:v>Direction</x:v>
      </x:c>
      <x:c r="E3" t="str">
        <x:v>DAF</x:v>
      </x:c>
      <x:c r="F3" s="4" t="n">
        <x:v>7362800</x:v>
      </x:c>
      <x:c r="G3" s="4" t="n">
        <x:v>736280</x:v>
      </x:c>
      <x:c r="H3" s="4" t="n">
        <x:v>1325620</x:v>
      </x:c>
      <x:c r="I3" s="4" t="n">
        <x:f>SUM(F3:H3)</x:f>
        <x:v>9424700</x:v>
      </x:c>
      <x:c r="J3" t="str">
        <x:v>Actif</x:v>
      </x:c>
    </x:row>
    <x:row r="4">
      <x:c r="A4" t="str">
        <x:v>EMP-003</x:v>
      </x:c>
      <x:c r="B4" t="str">
        <x:v>ANDRIA Fanja</x:v>
      </x:c>
      <x:c r="C4" t="str">
        <x:v>FORT DAUPHIN</x:v>
      </x:c>
      <x:c r="D4" t="str">
        <x:v>Finance</x:v>
      </x:c>
      <x:c r="E4" t="str">
        <x:v>Chef comptable</x:v>
      </x:c>
      <x:c r="F4" s="4" t="n">
        <x:v>4194900</x:v>
      </x:c>
      <x:c r="G4" s="4" t="n">
        <x:v>503230</x:v>
      </x:c>
      <x:c r="H4" s="4" t="n">
        <x:v>755240</x:v>
      </x:c>
      <x:c r="I4" s="4" t="n">
        <x:f>SUM(F4:H4)</x:f>
        <x:v>5453370</x:v>
      </x:c>
      <x:c r="J4" t="str">
        <x:v>Actif</x:v>
      </x:c>
    </x:row>
    <x:row r="5">
      <x:c r="A5" t="str">
        <x:v>EMP-004</x:v>
      </x:c>
      <x:c r="B5" t="str">
        <x:v>RAZAFY Toky</x:v>
      </x:c>
      <x:c r="C5" t="str">
        <x:v>FORT DAUPHIN</x:v>
      </x:c>
      <x:c r="D5" t="str">
        <x:v>Finance</x:v>
      </x:c>
      <x:c r="E5" t="str">
        <x:v>Comptable</x:v>
      </x:c>
      <x:c r="F5" s="4" t="n">
        <x:v>2693900</x:v>
      </x:c>
      <x:c r="G5" s="4" t="n">
        <x:v>215670</x:v>
      </x:c>
      <x:c r="H5" s="4" t="n">
        <x:v>485060</x:v>
      </x:c>
      <x:c r="I5" s="4" t="n">
        <x:f>SUM(F5:H5)</x:f>
        <x:v>3394630</x:v>
      </x:c>
      <x:c r="J5" t="str">
        <x:v>Actif</x:v>
      </x:c>
    </x:row>
    <x:row r="6">
      <x:c r="A6" t="str">
        <x:v>EMP-005</x:v>
      </x:c>
      <x:c r="B6" t="str">
        <x:v>RANDRIA Nirina</x:v>
      </x:c>
      <x:c r="C6" t="str">
        <x:v>AMPANDRANDAVA</x:v>
      </x:c>
      <x:c r="D6" t="str">
        <x:v>Finance</x:v>
      </x:c>
      <x:c r="E6" t="str">
        <x:v>Assistant comptable</x:v>
      </x:c>
      <x:c r="F6" s="4" t="n">
        <x:v>1793300</x:v>
      </x:c>
      <x:c r="G6" s="4" t="n">
        <x:v>90060</x:v>
      </x:c>
      <x:c r="H6" s="4" t="n">
        <x:v>323110</x:v>
      </x:c>
      <x:c r="I6" s="4" t="n">
        <x:f>SUM(F6:H6)</x:f>
        <x:v>2206470</x:v>
      </x:c>
      <x:c r="J6" t="str">
        <x:v>Actif</x:v>
      </x:c>
    </x:row>
    <x:row r="7">
      <x:c r="A7" t="str">
        <x:v>EMP-006</x:v>
      </x:c>
      <x:c r="B7" t="str">
        <x:v>RATSIM Lova</x:v>
      </x:c>
      <x:c r="C7" t="str">
        <x:v>AMPANDRANDAVA</x:v>
      </x:c>
      <x:c r="D7" t="str">
        <x:v>RH</x:v>
      </x:c>
      <x:c r="E7" t="str">
        <x:v>Responsable RH</x:v>
      </x:c>
      <x:c r="F7" s="4" t="n">
        <x:v>3752500</x:v>
      </x:c>
      <x:c r="G7" s="4" t="n">
        <x:v>300200</x:v>
      </x:c>
      <x:c r="H7" s="4" t="n">
        <x:v>675450</x:v>
      </x:c>
      <x:c r="I7" s="4" t="n">
        <x:f>SUM(F7:H7)</x:f>
        <x:v>4728150</x:v>
      </x:c>
      <x:c r="J7" t="str">
        <x:v>Actif</x:v>
      </x:c>
    </x:row>
    <x:row r="8">
      <x:c r="A8" t="str">
        <x:v>EMP-007</x:v>
      </x:c>
      <x:c r="B8" t="str">
        <x:v>RAJAO Aina</x:v>
      </x:c>
      <x:c r="C8" t="str">
        <x:v>AMPANDRANDAVA</x:v>
      </x:c>
      <x:c r="D8" t="str">
        <x:v>Commercial</x:v>
      </x:c>
      <x:c r="E8" t="str">
        <x:v>Responsable commercial export</x:v>
      </x:c>
      <x:c r="F8" s="4" t="n">
        <x:v>4258100</x:v>
      </x:c>
      <x:c r="G8" s="4" t="n">
        <x:v>340490</x:v>
      </x:c>
      <x:c r="H8" s="4" t="n">
        <x:v>766300</x:v>
      </x:c>
      <x:c r="I8" s="4" t="n">
        <x:f>SUM(F8:H8)</x:f>
        <x:v>5364890</x:v>
      </x:c>
      <x:c r="J8" t="str">
        <x:v>Actif</x:v>
      </x:c>
    </x:row>
    <x:row r="9">
      <x:c r="A9" t="str">
        <x:v>EMP-008</x:v>
      </x:c>
      <x:c r="B9" t="str">
        <x:v>RAMAN Tiana</x:v>
      </x:c>
      <x:c r="C9" t="str">
        <x:v>AMPANDRANDAVA</x:v>
      </x:c>
      <x:c r="D9" t="str">
        <x:v>Commercial</x:v>
      </x:c>
      <x:c r="E9" t="str">
        <x:v>Agent export</x:v>
      </x:c>
      <x:c r="F9" s="4" t="n">
        <x:v>2425300</x:v>
      </x:c>
      <x:c r="G9" s="4" t="n">
        <x:v>121660</x:v>
      </x:c>
      <x:c r="H9" s="4" t="n">
        <x:v>436870</x:v>
      </x:c>
      <x:c r="I9" s="4" t="n">
        <x:f>SUM(F9:H9)</x:f>
        <x:v>2983830</x:v>
      </x:c>
      <x:c r="J9" t="str">
        <x:v>Actif</x:v>
      </x:c>
    </x:row>
    <x:row r="10">
      <x:c r="A10" t="str">
        <x:v>EMP-010</x:v>
      </x:c>
      <x:c r="B10" t="str">
        <x:v>RAZAN Mamy</x:v>
      </x:c>
      <x:c r="C10" t="str">
        <x:v>FORT DAUPHIN</x:v>
      </x:c>
      <x:c r="D10" t="str">
        <x:v>Production</x:v>
      </x:c>
      <x:c r="E10" t="str">
        <x:v>Chef d'atelier</x:v>
      </x:c>
      <x:c r="F10" s="4" t="n">
        <x:v>2622800</x:v>
      </x:c>
      <x:c r="G10" s="4" t="n">
        <x:v>262280</x:v>
      </x:c>
      <x:c r="H10" s="4" t="n">
        <x:v>472420</x:v>
      </x:c>
      <x:c r="I10" s="4" t="n">
        <x:f>SUM(F10:H10)</x:f>
        <x:v>3357500</x:v>
      </x:c>
      <x:c r="J10" t="str">
        <x:v>Actif</x:v>
      </x:c>
    </x:row>
    <x:row r="11">
      <x:c r="A11" t="str">
        <x:v>EMP-011</x:v>
      </x:c>
      <x:c r="B11" t="str">
        <x:v>RABARY Lalaina</x:v>
      </x:c>
      <x:c r="C11" t="str">
        <x:v>FORT DAUPHIN</x:v>
      </x:c>
      <x:c r="D11" t="str">
        <x:v>Production</x:v>
      </x:c>
      <x:c r="E11" t="str">
        <x:v>Contrôleur qualité</x:v>
      </x:c>
      <x:c r="F11" s="4" t="n">
        <x:v>2006600</x:v>
      </x:c>
      <x:c r="G11" s="4" t="n">
        <x:v>160370</x:v>
      </x:c>
      <x:c r="H11" s="4" t="n">
        <x:v>361030</x:v>
      </x:c>
      <x:c r="I11" s="4" t="n">
        <x:f>SUM(F11:H11)</x:f>
        <x:v>2528000</x:v>
      </x:c>
      <x:c r="J11" t="str">
        <x:v>Actif</x:v>
      </x:c>
    </x:row>
    <x:row r="12">
      <x:c r="A12" t="str">
        <x:v>EMP-012</x:v>
      </x:c>
      <x:c r="B12" t="str">
        <x:v>RAKOTOMALALA Tahina</x:v>
      </x:c>
      <x:c r="C12" t="str">
        <x:v>TRANOMARO</x:v>
      </x:c>
      <x:c r="D12" t="str">
        <x:v>Production</x:v>
      </x:c>
      <x:c r="E12" t="str">
        <x:v>Opérateur traitement</x:v>
      </x:c>
      <x:c r="F12" s="4" t="n">
        <x:v>1327200</x:v>
      </x:c>
      <x:c r="G12" s="4" t="n">
        <x:v>105860</x:v>
      </x:c>
      <x:c r="H12" s="4" t="n">
        <x:v>238580</x:v>
      </x:c>
      <x:c r="I12" s="4" t="n">
        <x:f>SUM(F12:H12)</x:f>
        <x:v>1671640</x:v>
      </x:c>
      <x:c r="J12" t="str">
        <x:v>Actif</x:v>
      </x:c>
    </x:row>
    <x:row r="13">
      <x:c r="A13" t="str">
        <x:v>EMP-013</x:v>
      </x:c>
      <x:c r="B13" t="str">
        <x:v>ANDRIAMANANA Soa</x:v>
      </x:c>
      <x:c r="C13" t="str">
        <x:v>FORT DAUPHIN</x:v>
      </x:c>
      <x:c r="D13" t="str">
        <x:v>Production</x:v>
      </x:c>
      <x:c r="E13" t="str">
        <x:v>Coupeuse / trieuse</x:v>
      </x:c>
      <x:c r="F13" s="4" t="n">
        <x:v>1011200</x:v>
      </x:c>
      <x:c r="G13" s="4" t="n">
        <x:v>80580</x:v>
      </x:c>
      <x:c r="H13" s="4" t="n">
        <x:v>181700</x:v>
      </x:c>
      <x:c r="I13" s="4" t="n">
        <x:f>SUM(F13:H13)</x:f>
        <x:v>1273480</x:v>
      </x:c>
      <x:c r="J13" t="str">
        <x:v>Actif</x:v>
      </x:c>
    </x:row>
    <x:row r="14">
      <x:c r="A14" t="str">
        <x:v>EMP-014</x:v>
      </x:c>
      <x:c r="B14" t="str">
        <x:v>RAZAFINDRAKOTO Nomena</x:v>
      </x:c>
      <x:c r="C14" t="str">
        <x:v>AMBOASARY</x:v>
      </x:c>
      <x:c r="D14" t="str">
        <x:v>Logistique</x:v>
      </x:c>
      <x:c r="E14" t="str">
        <x:v>Responsable logistique</x:v>
      </x:c>
      <x:c r="F14" s="4" t="n">
        <x:v>3017800</x:v>
      </x:c>
      <x:c r="G14" s="4" t="n">
        <x:v>150890</x:v>
      </x:c>
      <x:c r="H14" s="4" t="n">
        <x:v>543520</x:v>
      </x:c>
      <x:c r="I14" s="4" t="n">
        <x:f>SUM(F14:H14)</x:f>
        <x:v>3712210</x:v>
      </x:c>
      <x:c r="J14" t="str">
        <x:v>Actif</x:v>
      </x:c>
    </x:row>
    <x:row r="15">
      <x:c r="A15" t="str">
        <x:v>EMP-015</x:v>
      </x:c>
      <x:c r="B15" t="str">
        <x:v>RANDRIAMBOLOLONA Finaritra</x:v>
      </x:c>
      <x:c r="C15" t="str">
        <x:v>AMPANDRANDAVA</x:v>
      </x:c>
      <x:c r="D15" t="str">
        <x:v>Logistique</x:v>
      </x:c>
      <x:c r="E15" t="str">
        <x:v>Magasinier</x:v>
      </x:c>
      <x:c r="F15" s="4" t="n">
        <x:v>1256100</x:v>
      </x:c>
      <x:c r="G15" s="4" t="n">
        <x:v>125610</x:v>
      </x:c>
      <x:c r="H15" s="4" t="n">
        <x:v>225940</x:v>
      </x:c>
      <x:c r="I15" s="4" t="n">
        <x:f>SUM(F15:H15)</x:f>
        <x:v>1607650</x:v>
      </x:c>
      <x:c r="J15" t="str">
        <x:v>Actif</x:v>
      </x:c>
    </x:row>
    <x:row r="16">
      <x:c r="A16" t="str">
        <x:v>EMP-016</x:v>
      </x:c>
      <x:c r="B16" t="str">
        <x:v>RASOLO Harena</x:v>
      </x:c>
      <x:c r="C16" t="str">
        <x:v>AMPANDRANDAVA</x:v>
      </x:c>
      <x:c r="D16" t="str">
        <x:v>Maintenance</x:v>
      </x:c>
      <x:c r="E16" t="str">
        <x:v>Technicien maintenance</x:v>
      </x:c>
      <x:c r="F16" s="4" t="n">
        <x:v>1840700</x:v>
      </x:c>
      <x:c r="G16" s="4" t="n">
        <x:v>221200</x:v>
      </x:c>
      <x:c r="H16" s="4" t="n">
        <x:v>331010</x:v>
      </x:c>
      <x:c r="I16" s="4" t="n">
        <x:f>SUM(F16:H16)</x:f>
        <x:v>2392910</x:v>
      </x:c>
      <x:c r="J16" t="str">
        <x:v>Actif</x:v>
      </x:c>
    </x:row>
    <x:row r="17">
      <x:c r="A17" t="str">
        <x:v>EMP-017</x:v>
      </x:c>
      <x:c r="B17" t="str">
        <x:v>RATSIMBAZAFY Faniry</x:v>
      </x:c>
      <x:c r="C17" t="str">
        <x:v>FORT DAUPHIN</x:v>
      </x:c>
      <x:c r="D17" t="str">
        <x:v>Sécurité</x:v>
      </x:c>
      <x:c r="E17" t="str">
        <x:v>Agent de sécurité</x:v>
      </x:c>
      <x:c r="F17" s="4" t="n">
        <x:v>924300</x:v>
      </x:c>
      <x:c r="G17" s="4" t="n">
        <x:v>74260</x:v>
      </x:c>
      <x:c r="H17" s="4" t="n">
        <x:v>166690</x:v>
      </x:c>
      <x:c r="I17" s="4" t="n">
        <x:f>SUM(F17:H17)</x:f>
        <x:v>1165250</x:v>
      </x:c>
      <x:c r="J17" t="str">
        <x:v>Actif</x:v>
      </x:c>
    </x:row>
    <x:row r="18">
      <x:c r="A18" t="str">
        <x:v>EMP-018</x:v>
      </x:c>
      <x:c r="B18" t="str">
        <x:v>RAKOTONDRABE Tsiory</x:v>
      </x:c>
      <x:c r="C18" t="str">
        <x:v>FORT DAUPHIN</x:v>
      </x:c>
      <x:c r="D18" t="str">
        <x:v>Administration</x:v>
      </x:c>
      <x:c r="E18" t="str">
        <x:v>Assistant administratif</x:v>
      </x:c>
      <x:c r="F18" s="4" t="n">
        <x:v>1493100</x:v>
      </x:c>
      <x:c r="G18" s="4" t="n">
        <x:v>119290</x:v>
      </x:c>
      <x:c r="H18" s="4" t="n">
        <x:v>268600</x:v>
      </x:c>
      <x:c r="I18" s="4" t="n">
        <x:f>SUM(F18:H18)</x:f>
        <x:v>1880990</x:v>
      </x:c>
      <x:c r="J18" t="str">
        <x:v>Actif</x:v>
      </x:c>
    </x:row>
    <x:row r="19">
      <x:c r="A19" t="str">
        <x:v>EMP-019</x:v>
      </x:c>
      <x:c r="B19" t="str">
        <x:v>ANDRIANIRINA Mamy</x:v>
      </x:c>
      <x:c r="C19" t="str">
        <x:v>TRANOMARO</x:v>
      </x:c>
      <x:c r="D19" t="str">
        <x:v>Production</x:v>
      </x:c>
      <x:c r="E19" t="str">
        <x:v>Coupeuse / trieuse</x:v>
      </x:c>
      <x:c r="F19" s="4" t="n">
        <x:v>9867100</x:v>
      </x:c>
      <x:c r="G19" s="4" t="n">
        <x:v>789210</x:v>
      </x:c>
      <x:c r="H19" s="4" t="n">
        <x:v>1775920</x:v>
      </x:c>
      <x:c r="I19" s="4" t="n">
        <x:f>SUM(F19:H19)</x:f>
        <x:v>12432230</x:v>
      </x:c>
      <x:c r="J19" t="str">
        <x:v>Actif</x:v>
      </x:c>
    </x:row>
    <x:row r="20">
      <x:c r="A20" t="str">
        <x:v>EMP-020</x:v>
      </x:c>
      <x:c r="B20" t="str">
        <x:v>RABENJA Felana</x:v>
      </x:c>
      <x:c r="C20" t="str">
        <x:v>TRANOMARO</x:v>
      </x:c>
      <x:c r="D20" t="str">
        <x:v>Production</x:v>
      </x:c>
      <x:c r="E20" t="str">
        <x:v>Coupeuse / trieuse</x:v>
      </x:c>
      <x:c r="F20" s="4" t="n">
        <x:v>7252200</x:v>
      </x:c>
      <x:c r="G20" s="4" t="n">
        <x:v>725220</x:v>
      </x:c>
      <x:c r="H20" s="4" t="n">
        <x:v>1305080</x:v>
      </x:c>
      <x:c r="I20" s="4" t="n">
        <x:f>SUM(F20:H20)</x:f>
        <x:v>9282500</x:v>
      </x:c>
      <x:c r="J20" t="str">
        <x:v>Actif</x:v>
      </x:c>
    </x:row>
    <x:row r="21">
      <x:c r="A21" t="str">
        <x:v>EMP-021</x:v>
      </x:c>
      <x:c r="B21" t="str">
        <x:v>RAJAONARIVELO Faly</x:v>
      </x:c>
      <x:c r="C21" t="str">
        <x:v>TRANOMARO</x:v>
      </x:c>
      <x:c r="D21" t="str">
        <x:v>Production</x:v>
      </x:c>
      <x:c r="E21" t="str">
        <x:v>Coupeuse / trieuse</x:v>
      </x:c>
      <x:c r="F21" s="4" t="n">
        <x:v>4439800</x:v>
      </x:c>
      <x:c r="G21" s="4" t="n">
        <x:v>532460</x:v>
      </x:c>
      <x:c r="H21" s="4" t="n">
        <x:v>799480</x:v>
      </x:c>
      <x:c r="I21" s="4" t="n">
        <x:f>SUM(F21:H21)</x:f>
        <x:v>5771740</x:v>
      </x:c>
      <x:c r="J21" t="str">
        <x:v>Actif</x:v>
      </x:c>
    </x:row>
    <x:row r="22">
      <x:c r="A22" t="str">
        <x:v>EMP-022</x:v>
      </x:c>
      <x:c r="B22" t="str">
        <x:v>RANORO Haja</x:v>
      </x:c>
      <x:c r="C22" t="str">
        <x:v>ANIVORANO</x:v>
      </x:c>
      <x:c r="D22" t="str">
        <x:v>Production</x:v>
      </x:c>
      <x:c r="E22" t="str">
        <x:v>Coupeuse / trieuse</x:v>
      </x:c>
      <x:c r="F22" s="4" t="n">
        <x:v>2765000</x:v>
      </x:c>
      <x:c r="G22" s="4" t="n">
        <x:v>221200</x:v>
      </x:c>
      <x:c r="H22" s="4" t="n">
        <x:v>497700</x:v>
      </x:c>
      <x:c r="I22" s="4" t="n">
        <x:f>SUM(F22:H22)</x:f>
        <x:v>3483900</x:v>
      </x:c>
      <x:c r="J22" t="str">
        <x:v>Actif</x:v>
      </x:c>
    </x:row>
    <x:row r="23">
      <x:c r="A23" t="str">
        <x:v>EMP-023</x:v>
      </x:c>
      <x:c r="B23" t="str">
        <x:v>RAKOTOARISOA Tsanta</x:v>
      </x:c>
      <x:c r="C23" t="str">
        <x:v>ANIVORANO</x:v>
      </x:c>
      <x:c r="D23" t="str">
        <x:v>Production</x:v>
      </x:c>
      <x:c r="E23" t="str">
        <x:v>Coupeuse / trieuse</x:v>
      </x:c>
      <x:c r="F23" s="4" t="n">
        <x:v>1659000</x:v>
      </x:c>
      <x:c r="G23" s="4" t="n">
        <x:v>82950</x:v>
      </x:c>
      <x:c r="H23" s="4" t="n">
        <x:v>298620</x:v>
      </x:c>
      <x:c r="I23" s="4" t="n">
        <x:f>SUM(F23:H23)</x:f>
        <x:v>2040570</x:v>
      </x:c>
      <x:c r="J23" t="str">
        <x:v>Actif</x:v>
      </x:c>
    </x:row>
    <x:row r="24">
      <x:c r="A24" t="str">
        <x:v>EMP-024</x:v>
      </x:c>
      <x:c r="B24" t="str">
        <x:v>RASOANIRINA Lova</x:v>
      </x:c>
      <x:c r="C24" t="str">
        <x:v>ANIVORANO</x:v>
      </x:c>
      <x:c r="D24" t="str">
        <x:v>Production</x:v>
      </x:c>
      <x:c r="E24" t="str">
        <x:v>Coupeuse / trieuse</x:v>
      </x:c>
      <x:c r="F24" s="4" t="n">
        <x:v>3665600</x:v>
      </x:c>
      <x:c r="G24" s="4" t="n">
        <x:v>183280</x:v>
      </x:c>
      <x:c r="H24" s="4" t="n">
        <x:v>659650</x:v>
      </x:c>
      <x:c r="I24" s="4" t="n">
        <x:f>SUM(F24:H24)</x:f>
        <x:v>4508530</x:v>
      </x:c>
      <x:c r="J24" t="str">
        <x:v>Actif</x:v>
      </x:c>
    </x:row>
    <x:row r="25">
      <x:c r="A25" t="str">
        <x:v>EMP-025</x:v>
      </x:c>
      <x:c r="B25" t="str">
        <x:v>ANDRIAMAHENINA Onja</x:v>
      </x:c>
      <x:c r="C25" t="str">
        <x:v>ANIVORANO</x:v>
      </x:c>
      <x:c r="D25" t="str">
        <x:v>Production</x:v>
      </x:c>
      <x:c r="E25" t="str">
        <x:v>Coupeuse / trieuse</x:v>
      </x:c>
      <x:c r="F25" s="4" t="n">
        <x:v>4068500</x:v>
      </x:c>
      <x:c r="G25" s="4" t="n">
        <x:v>325480</x:v>
      </x:c>
      <x:c r="H25" s="4" t="n">
        <x:v>732330</x:v>
      </x:c>
      <x:c r="I25" s="4" t="n">
        <x:f>SUM(F25:H25)</x:f>
        <x:v>5126310</x:v>
      </x:c>
      <x:c r="J25" t="str">
        <x:v>Actif</x:v>
      </x:c>
    </x:row>
    <x:row r="26">
      <x:c r="A26" t="str">
        <x:v>EMP-026</x:v>
      </x:c>
      <x:c r="B26" t="str">
        <x:v>RAKOTOMANGA Fitia</x:v>
      </x:c>
      <x:c r="C26" t="str">
        <x:v>ANIVORANO</x:v>
      </x:c>
      <x:c r="D26" t="str">
        <x:v>Production</x:v>
      </x:c>
      <x:c r="E26" t="str">
        <x:v>Coupeuse / trieuse</x:v>
      </x:c>
      <x:c r="F26" s="4" t="n">
        <x:v>2140900</x:v>
      </x:c>
      <x:c r="G26" s="4" t="n">
        <x:v>214090</x:v>
      </x:c>
      <x:c r="H26" s="4" t="n">
        <x:v>385520</x:v>
      </x:c>
      <x:c r="I26" s="4" t="n">
        <x:f>SUM(F26:H26)</x:f>
        <x:v>2740510</x:v>
      </x:c>
      <x:c r="J26" t="str">
        <x:v>Actif</x:v>
      </x:c>
    </x:row>
    <x:row r="27">
      <x:c r="A27" t="str">
        <x:v>EMP-027</x:v>
      </x:c>
      <x:c r="B27" t="str">
        <x:v>RAKOTOVAO Tovo</x:v>
      </x:c>
      <x:c r="C27" t="str">
        <x:v>ANIVORANO</x:v>
      </x:c>
      <x:c r="D27" t="str">
        <x:v>Production</x:v>
      </x:c>
      <x:c r="E27" t="str">
        <x:v>Coupeuse / trieuse</x:v>
      </x:c>
      <x:c r="F27" s="4" t="n">
        <x:v>4084300</x:v>
      </x:c>
      <x:c r="G27" s="4" t="n">
        <x:v>408430</x:v>
      </x:c>
      <x:c r="H27" s="4" t="n">
        <x:v>735490</x:v>
      </x:c>
      <x:c r="I27" s="4" t="n">
        <x:f>SUM(F27:H27)</x:f>
        <x:v>5228220</x:v>
      </x:c>
      <x:c r="J27" t="str">
        <x:v>Actif</x:v>
      </x:c>
    </x:row>
    <x:row r="28">
      <x:c r="A28" t="str">
        <x:v>EMP-028</x:v>
      </x:c>
      <x:c r="B28" t="str">
        <x:v>RANDRIANASOLO Mendrika</x:v>
      </x:c>
      <x:c r="C28" t="str">
        <x:v>ANIVORANO</x:v>
      </x:c>
      <x:c r="D28" t="str">
        <x:v>Production</x:v>
      </x:c>
      <x:c r="E28" t="str">
        <x:v>Coupeuse / trieuse</x:v>
      </x:c>
      <x:c r="F28" s="4" t="n">
        <x:v>2678100</x:v>
      </x:c>
      <x:c r="G28" s="4" t="n">
        <x:v>321530</x:v>
      </x:c>
      <x:c r="H28" s="4" t="n">
        <x:v>481900</x:v>
      </x:c>
      <x:c r="I28" s="4" t="n">
        <x:f>SUM(F28:H28)</x:f>
        <x:v>3481530</x:v>
      </x:c>
      <x:c r="J28" t="str">
        <x:v>Actif</x:v>
      </x:c>
    </x:row>
    <x:row r="29">
      <x:c r="A29" t="str">
        <x:v>EMP-029</x:v>
      </x:c>
      <x:c r="B29" t="str">
        <x:v>RAVELO Aro</x:v>
      </x:c>
      <x:c r="C29" t="str">
        <x:v>FORT DAUPHIN</x:v>
      </x:c>
      <x:c r="D29" t="str">
        <x:v>Production</x:v>
      </x:c>
      <x:c r="E29" t="str">
        <x:v>Coupeuse / trieuse</x:v>
      </x:c>
      <x:c r="F29" s="4" t="n">
        <x:v>1911800</x:v>
      </x:c>
      <x:c r="G29" s="4" t="n">
        <x:v>191180</x:v>
      </x:c>
      <x:c r="H29" s="4" t="n">
        <x:v>344440</x:v>
      </x:c>
      <x:c r="I29" s="4" t="n">
        <x:f>SUM(F29:H29)</x:f>
        <x:v>2447420</x:v>
      </x:c>
      <x:c r="J29" t="str">
        <x:v>Actif</x:v>
      </x:c>
    </x:row>
    <x:row r="30">
      <x:c r="A30" t="str">
        <x:v>EMP-030</x:v>
      </x:c>
      <x:c r="B30" t="str">
        <x:v>RAZAFIMAHATRATRA Vola</x:v>
      </x:c>
      <x:c r="C30" t="str">
        <x:v>FORT DAUPHIN</x:v>
      </x:c>
      <x:c r="D30" t="str">
        <x:v>Production</x:v>
      </x:c>
      <x:c r="E30" t="str">
        <x:v>Coupeuse / trieuse</x:v>
      </x:c>
      <x:c r="F30" s="4" t="n">
        <x:v>1358800</x:v>
      </x:c>
      <x:c r="G30" s="4" t="n">
        <x:v>135880</x:v>
      </x:c>
      <x:c r="H30" s="4" t="n">
        <x:v>244900</x:v>
      </x:c>
      <x:c r="I30" s="4" t="n">
        <x:f>SUM(F30:H30)</x:f>
        <x:v>1739580</x:v>
      </x:c>
      <x:c r="J30" t="str">
        <x:v>Actif</x:v>
      </x:c>
    </x:row>
    <x:row r="31">
      <x:c r="A31" t="str">
        <x:v>EMP-031</x:v>
      </x:c>
      <x:c r="B31" t="str">
        <x:v>RAKOTOVOLOLONA Rado</x:v>
      </x:c>
      <x:c r="C31" t="str">
        <x:v>FORT DAUPHIN</x:v>
      </x:c>
      <x:c r="D31" t="str">
        <x:v>Production</x:v>
      </x:c>
      <x:c r="E31" t="str">
        <x:v>Coupeuse / trieuse</x:v>
      </x:c>
      <x:c r="F31" s="4" t="n">
        <x:v>1027000</x:v>
      </x:c>
      <x:c r="G31" s="4" t="n">
        <x:v>82160</x:v>
      </x:c>
      <x:c r="H31" s="4" t="n">
        <x:v>184860</x:v>
      </x:c>
      <x:c r="I31" s="4" t="n">
        <x:f>SUM(F31:H31)</x:f>
        <x:v>1294020</x:v>
      </x:c>
      <x:c r="J31" t="str">
        <x:v>Actif</x:v>
      </x:c>
    </x:row>
    <x:row r="32">
      <x:c r="A32" t="str">
        <x:v>EMP-032</x:v>
      </x:c>
      <x:c r="B32" t="str">
        <x:v>RABEMANANJARA Hery</x:v>
      </x:c>
      <x:c r="C32" t="str">
        <x:v>FORT DAUPHIN</x:v>
      </x:c>
      <x:c r="D32" t="str">
        <x:v>Production</x:v>
      </x:c>
      <x:c r="E32" t="str">
        <x:v>Coupeuse / trieuse</x:v>
      </x:c>
      <x:c r="F32" s="4" t="n">
        <x:v>2994100</x:v>
      </x:c>
      <x:c r="G32" s="4" t="n">
        <x:v>239370</x:v>
      </x:c>
      <x:c r="H32" s="4" t="n">
        <x:v>538780</x:v>
      </x:c>
      <x:c r="I32" s="4" t="n">
        <x:f>SUM(F32:H32)</x:f>
        <x:v>3772250</x:v>
      </x:c>
      <x:c r="J32" t="str">
        <x:v>Actif</x:v>
      </x:c>
    </x:row>
    <x:row r="33">
      <x:c r="A33" t="str">
        <x:v>EMP-033</x:v>
      </x:c>
      <x:c r="B33" t="str">
        <x:v>RAKOTOZAFY Mialy</x:v>
      </x:c>
      <x:c r="C33" t="str">
        <x:v>FORT DAUPHIN</x:v>
      </x:c>
      <x:c r="D33" t="str">
        <x:v>Production</x:v>
      </x:c>
      <x:c r="E33" t="str">
        <x:v>Coupeuse / trieuse</x:v>
      </x:c>
      <x:c r="F33" s="4" t="n">
        <x:v>1358800</x:v>
      </x:c>
      <x:c r="G33" s="4" t="n">
        <x:v>67940</x:v>
      </x:c>
      <x:c r="H33" s="4" t="n">
        <x:v>244900</x:v>
      </x:c>
      <x:c r="I33" s="4" t="n">
        <x:f>SUM(F33:H33)</x:f>
        <x:v>1671640</x:v>
      </x:c>
      <x:c r="J33" t="str">
        <x:v>Actif</x:v>
      </x:c>
    </x:row>
    <x:row r="34">
      <x:c r="A34" t="str">
        <x:v>EMP-034</x:v>
      </x:c>
      <x:c r="B34" t="str">
        <x:v>RAZAFINDRAKOTOA Ando</x:v>
      </x:c>
      <x:c r="C34" t="str">
        <x:v>FORT DAUPHIN</x:v>
      </x:c>
      <x:c r="D34" t="str">
        <x:v>Production</x:v>
      </x:c>
      <x:c r="E34" t="str">
        <x:v>Coupeuse / trieuse</x:v>
      </x:c>
      <x:c r="F34" s="4" t="n">
        <x:v>1943400</x:v>
      </x:c>
      <x:c r="G34" s="4" t="n">
        <x:v>233050</x:v>
      </x:c>
      <x:c r="H34" s="4" t="n">
        <x:v>349970</x:v>
      </x:c>
      <x:c r="I34" s="4" t="n">
        <x:f>SUM(F34:H34)</x:f>
        <x:v>2526420</x:v>
      </x:c>
      <x:c r="J34" t="str">
        <x:v>Actif</x:v>
      </x:c>
    </x:row>
    <x:row r="35">
      <x:c r="A35" t="str">
        <x:v>EMP-035</x:v>
      </x:c>
      <x:c r="B35" t="str">
        <x:v>RANAIVO Nantenaina</x:v>
      </x:c>
      <x:c r="C35" t="str">
        <x:v>FORT DAUPHIN</x:v>
      </x:c>
      <x:c r="D35" t="str">
        <x:v>Production</x:v>
      </x:c>
      <x:c r="E35" t="str">
        <x:v>Coupeuse / trieuse</x:v>
      </x:c>
      <x:c r="F35" s="4" t="n">
        <x:v>979600</x:v>
      </x:c>
      <x:c r="G35" s="4" t="n">
        <x:v>48980</x:v>
      </x:c>
      <x:c r="H35" s="4" t="n">
        <x:v>176170</x:v>
      </x:c>
      <x:c r="I35" s="4" t="n">
        <x:f>SUM(F35:H35)</x:f>
        <x:v>1204750</x:v>
      </x:c>
      <x:c r="J35" t="str">
        <x:v>Actif</x:v>
      </x:c>
    </x:row>
    <x:row r="36">
      <x:c r="A36" t="str">
        <x:v>EMP-036</x:v>
      </x:c>
      <x:c r="B36" t="str">
        <x:v>RABEHARISOA Nirina</x:v>
      </x:c>
      <x:c r="C36" t="str">
        <x:v>AMPANDRANDAVA</x:v>
      </x:c>
      <x:c r="D36" t="str">
        <x:v>Production</x:v>
      </x:c>
      <x:c r="E36" t="str">
        <x:v>Coupeuse / trieuse</x:v>
      </x:c>
      <x:c r="F36" s="4" t="n">
        <x:v>1390400</x:v>
      </x:c>
      <x:c r="G36" s="4" t="n">
        <x:v>111390</x:v>
      </x:c>
      <x:c r="H36" s="4" t="n">
        <x:v>250430</x:v>
      </x:c>
      <x:c r="I36" s="4" t="n">
        <x:f>SUM(F36:H36)</x:f>
        <x:v>1752220</x:v>
      </x:c>
      <x:c r="J36" t="str">
        <x:v>Actif</x:v>
      </x:c>
    </x:row>
    <x:row r="37">
      <x:c r="A37" t="str">
        <x:v>EMP-037</x:v>
      </x:c>
      <x:c r="B37" t="str">
        <x:v>RAKOTOMIARANA Toky</x:v>
      </x:c>
      <x:c r="C37" t="str">
        <x:v>AMPANDRANDAVA</x:v>
      </x:c>
      <x:c r="D37" t="str">
        <x:v>Production</x:v>
      </x:c>
      <x:c r="E37" t="str">
        <x:v>Coupeuse / trieuse</x:v>
      </x:c>
      <x:c r="F37" s="4" t="n">
        <x:v>9416800</x:v>
      </x:c>
      <x:c r="G37" s="4" t="n">
        <x:v>470840</x:v>
      </x:c>
      <x:c r="H37" s="4" t="n">
        <x:v>1695340</x:v>
      </x:c>
      <x:c r="I37" s="4" t="n">
        <x:f>SUM(F37:H37)</x:f>
        <x:v>11582980</x:v>
      </x:c>
      <x:c r="J37" t="str">
        <x:v>Actif</x:v>
      </x:c>
    </x:row>
    <x:row r="38">
      <x:c r="A38" t="str">
        <x:v>EMP-038</x:v>
      </x:c>
      <x:c r="B38" t="str">
        <x:v>ANDRIATSIMBA Tiana</x:v>
      </x:c>
      <x:c r="C38" t="str">
        <x:v>AMPANDRANDAVA</x:v>
      </x:c>
      <x:c r="D38" t="str">
        <x:v>Production</x:v>
      </x:c>
      <x:c r="E38" t="str">
        <x:v>Coupeuse / trieuse</x:v>
      </x:c>
      <x:c r="F38" s="4" t="n">
        <x:v>6738700</x:v>
      </x:c>
      <x:c r="G38" s="4" t="n">
        <x:v>808960</x:v>
      </x:c>
      <x:c r="H38" s="4" t="n">
        <x:v>1212650</x:v>
      </x:c>
      <x:c r="I38" s="4" t="n">
        <x:f>SUM(F38:H38)</x:f>
        <x:v>8760310</x:v>
      </x:c>
      <x:c r="J38" t="str">
        <x:v>Actif</x:v>
      </x:c>
    </x:row>
    <x:row r="39">
      <x:c r="A39" t="str">
        <x:v>EMP-039</x:v>
      </x:c>
      <x:c r="B39" t="str">
        <x:v>RASOAMALALA Sitraka</x:v>
      </x:c>
      <x:c r="C39" t="str">
        <x:v>AMPANDRANDAVA</x:v>
      </x:c>
      <x:c r="D39" t="str">
        <x:v>Production</x:v>
      </x:c>
      <x:c r="E39" t="str">
        <x:v>Coupeuse / trieuse</x:v>
      </x:c>
      <x:c r="F39" s="4" t="n">
        <x:v>4258100</x:v>
      </x:c>
      <x:c r="G39" s="4" t="n">
        <x:v>340490</x:v>
      </x:c>
      <x:c r="H39" s="4" t="n">
        <x:v>766300</x:v>
      </x:c>
      <x:c r="I39" s="4" t="n">
        <x:f>SUM(F39:H39)</x:f>
        <x:v>5364890</x:v>
      </x:c>
      <x:c r="J39" t="str">
        <x:v>Actif</x:v>
      </x:c>
    </x:row>
    <x:row r="40">
      <x:c r="A40" t="str">
        <x:v>EMP-040</x:v>
      </x:c>
      <x:c r="B40" t="str">
        <x:v>RAZAFINDRABE Aina</x:v>
      </x:c>
      <x:c r="C40" t="str">
        <x:v>AMPANDRANDAVA</x:v>
      </x:c>
      <x:c r="D40" t="str">
        <x:v>Production</x:v>
      </x:c>
      <x:c r="E40" t="str">
        <x:v>Coupeuse / trieuse</x:v>
      </x:c>
      <x:c r="F40" s="4" t="n">
        <x:v>2733400</x:v>
      </x:c>
      <x:c r="G40" s="4" t="n">
        <x:v>136670</x:v>
      </x:c>
      <x:c r="H40" s="4" t="n">
        <x:v>492170</x:v>
      </x:c>
      <x:c r="I40" s="4" t="n">
        <x:f>SUM(F40:H40)</x:f>
        <x:v>3362240</x:v>
      </x:c>
      <x:c r="J40" t="str">
        <x:v>Actif</x:v>
      </x:c>
    </x:row>
    <x:row r="41">
      <x:c r="A41" t="str">
        <x:v>EMP-041</x:v>
      </x:c>
      <x:c r="B41" t="str">
        <x:v>RATSIMANDRESY Fanja</x:v>
      </x:c>
      <x:c r="C41" t="str">
        <x:v>AMPANDRANDAVA</x:v>
      </x:c>
      <x:c r="D41" t="str">
        <x:v>Production</x:v>
      </x:c>
      <x:c r="E41" t="str">
        <x:v>Coupeuse / trieuse</x:v>
      </x:c>
      <x:c r="F41" s="4" t="n">
        <x:v>1753800</x:v>
      </x:c>
      <x:c r="G41" s="4" t="n">
        <x:v>175380</x:v>
      </x:c>
      <x:c r="H41" s="4" t="n">
        <x:v>316000</x:v>
      </x:c>
      <x:c r="I41" s="4" t="n">
        <x:f>SUM(F41:H41)</x:f>
        <x:v>2245180</x:v>
      </x:c>
      <x:c r="J41" t="str">
        <x:v>Actif</x:v>
      </x:c>
    </x:row>
    <x:row r="42">
      <x:c r="A42" t="str">
        <x:v>EMP-042</x:v>
      </x:c>
      <x:c r="B42" t="str">
        <x:v>RAKOTONIRINA Miora</x:v>
      </x:c>
      <x:c r="C42" t="str">
        <x:v>AMPANDRANDAVA</x:v>
      </x:c>
      <x:c r="D42" t="str">
        <x:v>Production</x:v>
      </x:c>
      <x:c r="E42" t="str">
        <x:v>Coupeuse / trieuse</x:v>
      </x:c>
      <x:c r="F42" s="4" t="n">
        <x:v>3357500</x:v>
      </x:c>
      <x:c r="G42" s="4" t="n">
        <x:v>268600</x:v>
      </x:c>
      <x:c r="H42" s="4" t="n">
        <x:v>604350</x:v>
      </x:c>
      <x:c r="I42" s="4" t="n">
        <x:f>SUM(F42:H42)</x:f>
        <x:v>4230450</x:v>
      </x:c>
      <x:c r="J42" t="str">
        <x:v>Actif</x:v>
      </x:c>
    </x:row>
    <x:row r="43">
      <x:c r="A43" t="str">
        <x:v>EMP-043</x:v>
      </x:c>
      <x:c r="B43" t="str">
        <x:v>RANDRIAMIHAMINA Hasina</x:v>
      </x:c>
      <x:c r="C43" t="str">
        <x:v>TRANOMARO</x:v>
      </x:c>
      <x:c r="D43" t="str">
        <x:v>Production</x:v>
      </x:c>
      <x:c r="E43" t="str">
        <x:v>Coupeuse / trieuse</x:v>
      </x:c>
      <x:c r="F43" s="4" t="n">
        <x:v>4194900</x:v>
      </x:c>
      <x:c r="G43" s="4" t="n">
        <x:v>335750</x:v>
      </x:c>
      <x:c r="H43" s="4" t="n">
        <x:v>755240</x:v>
      </x:c>
      <x:c r="I43" s="4" t="n">
        <x:f>SUM(F43:H43)</x:f>
        <x:v>5285890</x:v>
      </x:c>
      <x:c r="J43" t="str">
        <x:v>Actif</x:v>
      </x:c>
    </x:row>
    <x:row r="44">
      <x:c r="A44" t="str">
        <x:v>EMP-044</x:v>
      </x:c>
      <x:c r="B44" t="str">
        <x:v>RABEZAFY Feno</x:v>
      </x:c>
      <x:c r="C44" t="str">
        <x:v>TRANOMARO</x:v>
      </x:c>
      <x:c r="D44" t="str">
        <x:v>Production</x:v>
      </x:c>
      <x:c r="E44" t="str">
        <x:v>Coupeuse / trieuse</x:v>
      </x:c>
      <x:c r="F44" s="4" t="n">
        <x:v>2346300</x:v>
      </x:c>
      <x:c r="G44" s="4" t="n">
        <x:v>281240</x:v>
      </x:c>
      <x:c r="H44" s="4" t="n">
        <x:v>422650</x:v>
      </x:c>
      <x:c r="I44" s="4" t="n">
        <x:f>SUM(F44:H44)</x:f>
        <x:v>3050190</x:v>
      </x:c>
      <x:c r="J44" t="str">
        <x:v>Actif</x:v>
      </x:c>
    </x:row>
    <x:row r="45">
      <x:c r="A45" t="str">
        <x:v>EMP-045</x:v>
      </x:c>
      <x:c r="B45" t="str">
        <x:v>RANOMENJANAHARY Kanto</x:v>
      </x:c>
      <x:c r="C45" t="str">
        <x:v>TRANOMARO</x:v>
      </x:c>
      <x:c r="D45" t="str">
        <x:v>Production</x:v>
      </x:c>
      <x:c r="E45" t="str">
        <x:v>Coupeuse / trieuse</x:v>
      </x:c>
      <x:c r="F45" s="4" t="n">
        <x:v>3981600</x:v>
      </x:c>
      <x:c r="G45" s="4" t="n">
        <x:v>477950</x:v>
      </x:c>
      <x:c r="H45" s="4" t="n">
        <x:v>716530</x:v>
      </x:c>
      <x:c r="I45" s="4" t="n">
        <x:f>SUM(F45:H45)</x:f>
        <x:v>5176080</x:v>
      </x:c>
      <x:c r="J45" t="str">
        <x:v>Actif</x:v>
      </x:c>
    </x:row>
    <x:row r="46">
      <x:c r="A46" t="str">
        <x:v>EMP-046</x:v>
      </x:c>
      <x:c r="B46" t="str">
        <x:v>RAKOTONIAINA Mamy</x:v>
      </x:c>
      <x:c r="C46" t="str">
        <x:v>TRANOMARO</x:v>
      </x:c>
      <x:c r="D46" t="str">
        <x:v>Production</x:v>
      </x:c>
      <x:c r="E46" t="str">
        <x:v>Coupeuse / trieuse</x:v>
      </x:c>
      <x:c r="F46" s="4" t="n">
        <x:v>2662300</x:v>
      </x:c>
      <x:c r="G46" s="4" t="n">
        <x:v>213300</x:v>
      </x:c>
      <x:c r="H46" s="4" t="n">
        <x:v>479530</x:v>
      </x:c>
      <x:c r="I46" s="4" t="n">
        <x:f>SUM(F46:H46)</x:f>
        <x:v>3355130</x:v>
      </x:c>
      <x:c r="J46" t="str">
        <x:v>Actif</x:v>
      </x:c>
    </x:row>
    <x:row r="47">
      <x:c r="A47" t="str">
        <x:v>EMP-047</x:v>
      </x:c>
      <x:c r="B47" t="str">
        <x:v>RASOARIMALALA Tafita</x:v>
      </x:c>
      <x:c r="C47" t="str">
        <x:v>TRANOMARO</x:v>
      </x:c>
      <x:c r="D47" t="str">
        <x:v>Production</x:v>
      </x:c>
      <x:c r="E47" t="str">
        <x:v>Coupeuse / trieuse</x:v>
      </x:c>
      <x:c r="F47" s="4" t="n">
        <x:v>2172500</x:v>
      </x:c>
      <x:c r="G47" s="4" t="n">
        <x:v>260700</x:v>
      </x:c>
      <x:c r="H47" s="4" t="n">
        <x:v>391050</x:v>
      </x:c>
      <x:c r="I47" s="4" t="n">
        <x:f>SUM(F47:H47)</x:f>
        <x:v>2824250</x:v>
      </x:c>
      <x:c r="J47" t="str">
        <x:v>Actif</x:v>
      </x:c>
    </x:row>
    <x:row r="48">
      <x:c r="A48" t="str">
        <x:v>EMP-048</x:v>
      </x:c>
      <x:c r="B48" t="str">
        <x:v>ANDRIANJAFY Rija</x:v>
      </x:c>
      <x:c r="C48" t="str">
        <x:v>TRANOMARO</x:v>
      </x:c>
      <x:c r="D48" t="str">
        <x:v>Production</x:v>
      </x:c>
      <x:c r="E48" t="str">
        <x:v>Coupeuse / trieuse</x:v>
      </x:c>
      <x:c r="F48" s="4" t="n">
        <x:v>1264000</x:v>
      </x:c>
      <x:c r="G48" s="4" t="n">
        <x:v>101120</x:v>
      </x:c>
      <x:c r="H48" s="4" t="n">
        <x:v>227520</x:v>
      </x:c>
      <x:c r="I48" s="4" t="n">
        <x:f>SUM(F48:H48)</x:f>
        <x:v>1592640</x:v>
      </x:c>
      <x:c r="J48" t="str">
        <x:v>Actif</x:v>
      </x:c>
    </x:row>
    <x:row r="49">
      <x:c r="A49" t="str">
        <x:v>EMP-049</x:v>
      </x:c>
      <x:c r="B49" t="str">
        <x:v>RAKOTOMAHERY Vero</x:v>
      </x:c>
      <x:c r="C49" t="str">
        <x:v>TRANOMARO</x:v>
      </x:c>
      <x:c r="D49" t="str">
        <x:v>Production</x:v>
      </x:c>
      <x:c r="E49" t="str">
        <x:v>Coupeuse / trieuse</x:v>
      </x:c>
      <x:c r="F49" s="4" t="n">
        <x:v>1011200</x:v>
      </x:c>
      <x:c r="G49" s="4" t="n">
        <x:v>80580</x:v>
      </x:c>
      <x:c r="H49" s="4" t="n">
        <x:v>181700</x:v>
      </x:c>
      <x:c r="I49" s="4" t="n">
        <x:f>SUM(F49:H49)</x:f>
        <x:v>1273480</x:v>
      </x:c>
      <x:c r="J49" t="str">
        <x:v>Actif</x:v>
      </x:c>
    </x:row>
    <x:row r="50">
      <x:c r="A50" t="str">
        <x:v>EMP-050</x:v>
      </x:c>
      <x:c r="B50" t="str">
        <x:v>RAKOTONDRAJAO Lanto</x:v>
      </x:c>
      <x:c r="C50" t="str">
        <x:v>ANIVORANO</x:v>
      </x:c>
      <x:c r="D50" t="str">
        <x:v>Production</x:v>
      </x:c>
      <x:c r="E50" t="str">
        <x:v>Coupeuse / trieuse</x:v>
      </x:c>
      <x:c r="F50" s="4" t="n">
        <x:v>3254800</x:v>
      </x:c>
      <x:c r="G50" s="4" t="n">
        <x:v>162740</x:v>
      </x:c>
      <x:c r="H50" s="4" t="n">
        <x:v>586180</x:v>
      </x:c>
      <x:c r="I50" s="4" t="n">
        <x:f>SUM(F50:H50)</x:f>
        <x:v>4003720</x:v>
      </x:c>
      <x:c r="J50" t="str">
        <x:v>Actif</x:v>
      </x:c>
    </x:row>
    <x:row r="51">
      <x:c r="A51" t="str">
        <x:v>EMP-051</x:v>
      </x:c>
      <x:c r="B51" t="str">
        <x:v>RANDRIANANTENAINA Rindra</x:v>
      </x:c>
      <x:c r="C51" t="str">
        <x:v>ANIVORANO</x:v>
      </x:c>
      <x:c r="D51" t="str">
        <x:v>Production</x:v>
      </x:c>
      <x:c r="E51" t="str">
        <x:v>Contrôleur qualité</x:v>
      </x:c>
      <x:c r="F51" s="4" t="n">
        <x:v>1200800</x:v>
      </x:c>
      <x:c r="G51" s="4" t="n">
        <x:v>96380</x:v>
      </x:c>
      <x:c r="H51" s="4" t="n">
        <x:v>216460</x:v>
      </x:c>
      <x:c r="I51" s="4" t="n">
        <x:f>SUM(F51:H51)</x:f>
        <x:v>1513640</x:v>
      </x:c>
      <x:c r="J51" t="str">
        <x:v>Actif</x:v>
      </x:c>
    </x:row>
    <x:row r="52">
      <x:c r="A52" t="str">
        <x:v>EMP-052</x:v>
      </x:c>
      <x:c r="B52" t="str">
        <x:v>RAVAOARISOA Miary</x:v>
      </x:c>
      <x:c r="C52" t="str">
        <x:v>ANIVORANO</x:v>
      </x:c>
      <x:c r="D52" t="str">
        <x:v>Production</x:v>
      </x:c>
      <x:c r="E52" t="str">
        <x:v>Contrôleur qualité</x:v>
      </x:c>
      <x:c r="F52" s="4" t="n">
        <x:v>1793300</x:v>
      </x:c>
      <x:c r="G52" s="4" t="n">
        <x:v>90060</x:v>
      </x:c>
      <x:c r="H52" s="4" t="n">
        <x:v>323110</x:v>
      </x:c>
      <x:c r="I52" s="4" t="n">
        <x:f>SUM(F52:H52)</x:f>
        <x:v>2206470</x:v>
      </x:c>
      <x:c r="J52" t="str">
        <x:v>Actif</x:v>
      </x:c>
    </x:row>
    <x:row r="53">
      <x:c r="A53" t="str">
        <x:v>EMP-053</x:v>
      </x:c>
      <x:c r="B53" t="str">
        <x:v>RAZAFIMANANTSOA Solo</x:v>
      </x:c>
      <x:c r="C53" t="str">
        <x:v>ANIVORANO</x:v>
      </x:c>
      <x:c r="D53" t="str">
        <x:v>Production</x:v>
      </x:c>
      <x:c r="E53" t="str">
        <x:v>Contrôleur qualité</x:v>
      </x:c>
      <x:c r="F53" s="4" t="n">
        <x:v>940100</x:v>
      </x:c>
      <x:c r="G53" s="4" t="n">
        <x:v>112970</x:v>
      </x:c>
      <x:c r="H53" s="4" t="n">
        <x:v>169060</x:v>
      </x:c>
      <x:c r="I53" s="4" t="n">
        <x:f>SUM(F53:H53)</x:f>
        <x:v>1222130</x:v>
      </x:c>
      <x:c r="J53" t="str">
        <x:v>Actif</x:v>
      </x:c>
    </x:row>
    <x:row r="54">
      <x:c r="A54" t="str">
        <x:v>EMP-054</x:v>
      </x:c>
      <x:c r="B54" t="str">
        <x:v>RAKOTONANAHARY Noro</x:v>
      </x:c>
      <x:c r="C54" t="str">
        <x:v>ANIVORANO</x:v>
      </x:c>
      <x:c r="D54" t="str">
        <x:v>Production</x:v>
      </x:c>
      <x:c r="E54" t="str">
        <x:v>Contrôleur qualité</x:v>
      </x:c>
      <x:c r="F54" s="4" t="n">
        <x:v>1390400</x:v>
      </x:c>
      <x:c r="G54" s="4" t="n">
        <x:v>139040</x:v>
      </x:c>
      <x:c r="H54" s="4" t="n">
        <x:v>250430</x:v>
      </x:c>
      <x:c r="I54" s="4" t="n">
        <x:f>SUM(F54:H54)</x:f>
        <x:v>1779870</x:v>
      </x:c>
      <x:c r="J54" t="str">
        <x:v>Actif</x:v>
      </x:c>
    </x:row>
    <x:row r="55">
      <x:c r="A55" t="str">
        <x:v>EMP-055</x:v>
      </x:c>
      <x:c r="B55" t="str">
        <x:v>RABEFENO Rina</x:v>
      </x:c>
      <x:c r="C55" t="str">
        <x:v>ANIVORANO</x:v>
      </x:c>
      <x:c r="D55" t="str">
        <x:v>Production</x:v>
      </x:c>
      <x:c r="E55" t="str">
        <x:v>Contrôleur qualité</x:v>
      </x:c>
      <x:c r="F55" s="4" t="n">
        <x:v>9622200</x:v>
      </x:c>
      <x:c r="G55" s="4" t="n">
        <x:v>962220</x:v>
      </x:c>
      <x:c r="H55" s="4" t="n">
        <x:v>1731680</x:v>
      </x:c>
      <x:c r="I55" s="4" t="n">
        <x:f>SUM(F55:H55)</x:f>
        <x:v>12316100</x:v>
      </x:c>
      <x:c r="J55" t="str">
        <x:v>Actif</x:v>
      </x:c>
    </x:row>
    <x:row r="56">
      <x:c r="A56" t="str">
        <x:v>EMP-056</x:v>
      </x:c>
      <x:c r="B56" t="str">
        <x:v>RAKOTOMANANA Tina</x:v>
      </x:c>
      <x:c r="C56" t="str">
        <x:v>ANIVORANO</x:v>
      </x:c>
      <x:c r="D56" t="str">
        <x:v>Production</x:v>
      </x:c>
      <x:c r="E56" t="str">
        <x:v>Contrôleur qualité</x:v>
      </x:c>
      <x:c r="F56" s="4" t="n">
        <x:v>6722900</x:v>
      </x:c>
      <x:c r="G56" s="4" t="n">
        <x:v>336540</x:v>
      </x:c>
      <x:c r="H56" s="4" t="n">
        <x:v>1210280</x:v>
      </x:c>
      <x:c r="I56" s="4" t="n">
        <x:f>SUM(F56:H56)</x:f>
        <x:v>8269720</x:v>
      </x:c>
      <x:c r="J56" t="str">
        <x:v>Actif</x:v>
      </x:c>
    </x:row>
    <x:row r="57">
      <x:c r="A57" t="str">
        <x:v>EMP-058</x:v>
      </x:c>
      <x:c r="B57" t="str">
        <x:v>RANDRIATSARA Rado</x:v>
      </x:c>
      <x:c r="C57" t="str">
        <x:v>FORT DAUPHIN</x:v>
      </x:c>
      <x:c r="D57" t="str">
        <x:v>Production</x:v>
      </x:c>
      <x:c r="E57" t="str">
        <x:v>Contrôleur qualité</x:v>
      </x:c>
      <x:c r="F57" s="4" t="n">
        <x:v>2528000</x:v>
      </x:c>
      <x:c r="G57" s="4" t="n">
        <x:v>126400</x:v>
      </x:c>
      <x:c r="H57" s="4" t="n">
        <x:v>455040</x:v>
      </x:c>
      <x:c r="I57" s="4" t="n">
        <x:f>SUM(F57:H57)</x:f>
        <x:v>3109440</x:v>
      </x:c>
      <x:c r="J57" t="str">
        <x:v>Actif</x:v>
      </x:c>
    </x:row>
    <x:row r="58">
      <x:c r="A58" t="str">
        <x:v>EMP-059</x:v>
      </x:c>
      <x:c r="B58" t="str">
        <x:v>RASOLOFONIAINA Fetra</x:v>
      </x:c>
      <x:c r="C58" t="str">
        <x:v>FORT DAUPHIN</x:v>
      </x:c>
      <x:c r="D58" t="str">
        <x:v>Production</x:v>
      </x:c>
      <x:c r="E58" t="str">
        <x:v>Contrôleur qualité</x:v>
      </x:c>
      <x:c r="F58" s="4" t="n">
        <x:v>1682700</x:v>
      </x:c>
      <x:c r="G58" s="4" t="n">
        <x:v>168270</x:v>
      </x:c>
      <x:c r="H58" s="4" t="n">
        <x:v>302570</x:v>
      </x:c>
      <x:c r="I58" s="4" t="n">
        <x:f>SUM(F58:H58)</x:f>
        <x:v>2153540</x:v>
      </x:c>
      <x:c r="J58" t="str">
        <x:v>Actif</x:v>
      </x:c>
    </x:row>
    <x:row r="59">
      <x:c r="A59" t="str">
        <x:v>EMP-060</x:v>
      </x:c>
      <x:c r="B59" t="str">
        <x:v>RAKOTOVONINA Rova</x:v>
      </x:c>
      <x:c r="C59" t="str">
        <x:v>FORT DAUPHIN</x:v>
      </x:c>
      <x:c r="D59" t="str">
        <x:v>Production</x:v>
      </x:c>
      <x:c r="E59" t="str">
        <x:v>Manutentionnaire</x:v>
      </x:c>
      <x:c r="F59" s="4" t="n">
        <x:v>3397000</x:v>
      </x:c>
      <x:c r="G59" s="4" t="n">
        <x:v>407640</x:v>
      </x:c>
      <x:c r="H59" s="4" t="n">
        <x:v>611460</x:v>
      </x:c>
      <x:c r="I59" s="4" t="n">
        <x:f>SUM(F59:H59)</x:f>
        <x:v>4416100</x:v>
      </x:c>
      <x:c r="J59" t="str">
        <x:v>Actif</x:v>
      </x:c>
    </x:row>
    <x:row r="60">
      <x:c r="A60" t="str">
        <x:v>EMP-061</x:v>
      </x:c>
      <x:c r="B60" t="str">
        <x:v>RAKOTOBE Feno</x:v>
      </x:c>
      <x:c r="C60" t="str">
        <x:v>FORT DAUPHIN</x:v>
      </x:c>
      <x:c r="D60" t="str">
        <x:v>Production</x:v>
      </x:c>
      <x:c r="E60" t="str">
        <x:v>Manutentionnaire</x:v>
      </x:c>
      <x:c r="F60" s="4" t="n">
        <x:v>439000</x:v>
      </x:c>
      <x:c r="G60" s="4" t="n">
        <x:v>35000</x:v>
      </x:c>
      <x:c r="H60" s="4" t="n">
        <x:v>61000</x:v>
      </x:c>
      <x:c r="I60" s="4" t="n">
        <x:f>SUM(F60:H60)</x:f>
        <x:v>535000</x:v>
      </x:c>
      <x:c r="J60" t="str">
        <x:v>Actif</x:v>
      </x:c>
    </x:row>
    <x:row r="61">
      <x:c r="A61" t="str">
        <x:v>EMP-062</x:v>
      </x:c>
      <x:c r="B61" t="str">
        <x:v>RANDRIANARISOA Rindra</x:v>
      </x:c>
      <x:c r="C61" t="str">
        <x:v>FORT DAUPHIN</x:v>
      </x:c>
      <x:c r="D61" t="str">
        <x:v>Production</x:v>
      </x:c>
      <x:c r="E61" t="str">
        <x:v>Manutentionnaire</x:v>
      </x:c>
      <x:c r="F61" s="4" t="n">
        <x:v>439000</x:v>
      </x:c>
      <x:c r="G61" s="4" t="n">
        <x:v>35000</x:v>
      </x:c>
      <x:c r="H61" s="4" t="n">
        <x:v>61000</x:v>
      </x:c>
      <x:c r="I61" s="4" t="n">
        <x:f>SUM(F61:H61)</x:f>
        <x:v>535000</x:v>
      </x:c>
      <x:c r="J61" t="str">
        <x:v>Actif</x:v>
      </x:c>
    </x:row>
    <x:row r="62">
      <x:c r="A62" t="str">
        <x:v>EMP-063</x:v>
      </x:c>
      <x:c r="B62" t="str">
        <x:v>RAZAFITSARA Aina</x:v>
      </x:c>
      <x:c r="C62" t="str">
        <x:v>FORT DAUPHIN</x:v>
      </x:c>
      <x:c r="D62" t="str">
        <x:v>Production</x:v>
      </x:c>
      <x:c r="E62" t="str">
        <x:v>Manutentionnaire</x:v>
      </x:c>
      <x:c r="F62" t="n">
        <x:v>439000</x:v>
      </x:c>
      <x:c r="G62" t="n">
        <x:v>35000</x:v>
      </x:c>
      <x:c r="H62" t="n">
        <x:v>61000</x:v>
      </x:c>
      <x:c r="I62" t="n">
        <x:f>SUM(F62:H62)</x:f>
        <x:v>535000</x:v>
      </x:c>
      <x:c r="J62" t="str">
        <x:v>Actif</x:v>
      </x:c>
    </x:row>
    <x:row r="63">
      <x:c r="A63" t="str">
        <x:v>EMP-064</x:v>
      </x:c>
      <x:c r="B63" t="str">
        <x:v>RABENARIVO Tiana</x:v>
      </x:c>
      <x:c r="C63" t="str">
        <x:v>AMPANDRANDAVA</x:v>
      </x:c>
      <x:c r="D63" t="str">
        <x:v>Production</x:v>
      </x:c>
      <x:c r="E63" t="str">
        <x:v>Manutentionnaire</x:v>
      </x:c>
      <x:c r="F63" t="n">
        <x:v>439000</x:v>
      </x:c>
      <x:c r="G63" t="n">
        <x:v>35000</x:v>
      </x:c>
      <x:c r="H63" t="n">
        <x:v>61000</x:v>
      </x:c>
      <x:c r="I63" t="n">
        <x:f>SUM(F63:H63)</x:f>
        <x:v>535000</x:v>
      </x:c>
      <x:c r="J63" t="str">
        <x:v>Actif</x:v>
      </x:c>
    </x:row>
    <x:row r="64">
      <x:c r="A64" t="str">
        <x:v>EMP-065</x:v>
      </x:c>
      <x:c r="B64" t="str">
        <x:v>RAKOTOFENO Lova</x:v>
      </x:c>
      <x:c r="C64" t="str">
        <x:v>AMPANDRANDAVA</x:v>
      </x:c>
      <x:c r="D64" t="str">
        <x:v>Production</x:v>
      </x:c>
      <x:c r="E64" t="str">
        <x:v>Manutentionnaire</x:v>
      </x:c>
      <x:c r="F64" t="n">
        <x:v>439000</x:v>
      </x:c>
      <x:c r="G64" t="n">
        <x:v>35000</x:v>
      </x:c>
      <x:c r="H64" t="n">
        <x:v>61000</x:v>
      </x:c>
      <x:c r="I64" t="n">
        <x:f>SUM(F64:H64)</x:f>
        <x:v>535000</x:v>
      </x:c>
      <x:c r="J64" t="str">
        <x:v>Actif</x:v>
      </x:c>
    </x:row>
    <x:row r="65">
      <x:c r="A65" t="str">
        <x:v>EMP-066</x:v>
      </x:c>
      <x:c r="B65" t="str">
        <x:v>ANDRIANJAKA Hery</x:v>
      </x:c>
      <x:c r="C65" t="str">
        <x:v>AMPANDRANDAVA</x:v>
      </x:c>
      <x:c r="D65" t="str">
        <x:v>Production</x:v>
      </x:c>
      <x:c r="E65" t="str">
        <x:v>Manutentionnaire</x:v>
      </x:c>
      <x:c r="F65" t="n">
        <x:v>439000</x:v>
      </x:c>
      <x:c r="G65" t="n">
        <x:v>35000</x:v>
      </x:c>
      <x:c r="H65" t="n">
        <x:v>61000</x:v>
      </x:c>
      <x:c r="I65" t="n">
        <x:f>SUM(F65:H65)</x:f>
        <x:v>535000</x:v>
      </x:c>
      <x:c r="J65" t="str">
        <x:v>Actif</x:v>
      </x:c>
    </x:row>
    <x:row r="66">
      <x:c r="A66" t="str">
        <x:v>EMP-067</x:v>
      </x:c>
      <x:c r="B66" t="str">
        <x:v>RATSIMANIRY Miora</x:v>
      </x:c>
      <x:c r="C66" t="str">
        <x:v>AMPANDRANDAVA</x:v>
      </x:c>
      <x:c r="D66" t="str">
        <x:v>Production</x:v>
      </x:c>
      <x:c r="E66" t="str">
        <x:v>Manutentionnaire</x:v>
      </x:c>
      <x:c r="F66" t="n">
        <x:v>439000</x:v>
      </x:c>
      <x:c r="G66" t="n">
        <x:v>35000</x:v>
      </x:c>
      <x:c r="H66" t="n">
        <x:v>61000</x:v>
      </x:c>
      <x:c r="I66" t="n">
        <x:f>SUM(F66:H66)</x:f>
        <x:v>535000</x:v>
      </x:c>
      <x:c r="J66" t="str">
        <x:v>Actif</x:v>
      </x:c>
    </x:row>
    <x:row r="67">
      <x:c r="A67" t="str">
        <x:v>EMP-068</x:v>
      </x:c>
      <x:c r="B67" t="str">
        <x:v>RAJAOMANANA Fanja</x:v>
      </x:c>
      <x:c r="C67" t="str">
        <x:v>AMPANDRANDAVA</x:v>
      </x:c>
      <x:c r="D67" t="str">
        <x:v>Production</x:v>
      </x:c>
      <x:c r="E67" t="str">
        <x:v>Collecteur de mica</x:v>
      </x:c>
      <x:c r="F67" t="n">
        <x:v>439000</x:v>
      </x:c>
      <x:c r="G67" t="n">
        <x:v>35000</x:v>
      </x:c>
      <x:c r="H67" t="n">
        <x:v>61000</x:v>
      </x:c>
      <x:c r="I67" t="n">
        <x:f>SUM(F67:H67)</x:f>
        <x:v>535000</x:v>
      </x:c>
      <x:c r="J67" t="str">
        <x:v>Actif</x:v>
      </x:c>
    </x:row>
    <x:row r="68">
      <x:c r="A68" t="str">
        <x:v>EMP-069</x:v>
      </x:c>
      <x:c r="B68" t="str">
        <x:v>RAKOTOHARISOA Tovo</x:v>
      </x:c>
      <x:c r="C68" t="str">
        <x:v>AMPANDRANDAVA</x:v>
      </x:c>
      <x:c r="D68" t="str">
        <x:v>Production</x:v>
      </x:c>
      <x:c r="E68" t="str">
        <x:v>Collecteur de mica</x:v>
      </x:c>
      <x:c r="F68" t="n">
        <x:v>439000</x:v>
      </x:c>
      <x:c r="G68" t="n">
        <x:v>35000</x:v>
      </x:c>
      <x:c r="H68" t="n">
        <x:v>61000</x:v>
      </x:c>
      <x:c r="I68" t="n">
        <x:f>SUM(F68:H68)</x:f>
        <x:v>535000</x:v>
      </x:c>
      <x:c r="J68" t="str">
        <x:v>Actif</x:v>
      </x:c>
    </x:row>
    <x:row r="69">
      <x:c r="A69" t="str">
        <x:v>EMP-070</x:v>
      </x:c>
      <x:c r="B69" t="str">
        <x:v>RASOLOMANGA Soa</x:v>
      </x:c>
      <x:c r="C69" t="str">
        <x:v>AMPANDRANDAVA</x:v>
      </x:c>
      <x:c r="D69" t="str">
        <x:v>Production</x:v>
      </x:c>
      <x:c r="E69" t="str">
        <x:v>Collecteur de mica</x:v>
      </x:c>
      <x:c r="F69" t="n">
        <x:v>439000</x:v>
      </x:c>
      <x:c r="G69" t="n">
        <x:v>35000</x:v>
      </x:c>
      <x:c r="H69" t="n">
        <x:v>61000</x:v>
      </x:c>
      <x:c r="I69" t="n">
        <x:f>SUM(F69:H69)</x:f>
        <x:v>535000</x:v>
      </x:c>
      <x:c r="J69" t="str">
        <x:v>Actif</x:v>
      </x:c>
    </x:row>
    <x:row r="70">
      <x:c r="A70" t="str">
        <x:v>EMP-071</x:v>
      </x:c>
      <x:c r="B70" t="str">
        <x:v>RAKOTONIAINA Tahina</x:v>
      </x:c>
      <x:c r="C70" t="str">
        <x:v>TRANOMARO</x:v>
      </x:c>
      <x:c r="D70" t="str">
        <x:v>Production</x:v>
      </x:c>
      <x:c r="E70" t="str">
        <x:v>Collecteur de mica</x:v>
      </x:c>
      <x:c r="F70" t="n">
        <x:v>439000</x:v>
      </x:c>
      <x:c r="G70" t="n">
        <x:v>35000</x:v>
      </x:c>
      <x:c r="H70" t="n">
        <x:v>61000</x:v>
      </x:c>
      <x:c r="I70" t="n">
        <x:f>SUM(F70:H70)</x:f>
        <x:v>535000</x:v>
      </x:c>
      <x:c r="J70" t="str">
        <x:v>Actif</x:v>
      </x:c>
    </x:row>
    <x:row r="71">
      <x:c r="A71" t="str">
        <x:v>EMP-072</x:v>
      </x:c>
      <x:c r="B71" t="str">
        <x:v>RAVOAHANGY Noro</x:v>
      </x:c>
      <x:c r="C71" t="str">
        <x:v>TRANOMARO</x:v>
      </x:c>
      <x:c r="D71" t="str">
        <x:v>Production</x:v>
      </x:c>
      <x:c r="E71" t="str">
        <x:v>Collecteur de mica</x:v>
      </x:c>
      <x:c r="F71" t="n">
        <x:v>439000</x:v>
      </x:c>
      <x:c r="G71" t="n">
        <x:v>35000</x:v>
      </x:c>
      <x:c r="H71" t="n">
        <x:v>61000</x:v>
      </x:c>
      <x:c r="I71" t="n">
        <x:f>SUM(F71:H71)</x:f>
        <x:v>535000</x:v>
      </x:c>
      <x:c r="J71" t="str">
        <x:v>Actif</x:v>
      </x:c>
    </x:row>
    <x:row r="72">
      <x:c r="A72" t="str">
        <x:v>EMP-073</x:v>
      </x:c>
      <x:c r="B72" t="str">
        <x:v>RABESOA Rija</x:v>
      </x:c>
      <x:c r="C72" t="str">
        <x:v>TRANOMARO</x:v>
      </x:c>
      <x:c r="D72" t="str">
        <x:v>Production</x:v>
      </x:c>
      <x:c r="E72" t="str">
        <x:v>Collecteur de mica</x:v>
      </x:c>
      <x:c r="F72" t="n">
        <x:v>439000</x:v>
      </x:c>
      <x:c r="G72" t="n">
        <x:v>35000</x:v>
      </x:c>
      <x:c r="H72" t="n">
        <x:v>61000</x:v>
      </x:c>
      <x:c r="I72" t="n">
        <x:f>SUM(F72:H72)</x:f>
        <x:v>535000</x:v>
      </x:c>
      <x:c r="J72" t="str">
        <x:v>Actif</x:v>
      </x:c>
    </x:row>
    <x:row r="73">
      <x:c r="A73" t="str">
        <x:v>EMP-074</x:v>
      </x:c>
      <x:c r="B73" t="str">
        <x:v>RAKOTOMIRANA Hasina</x:v>
      </x:c>
      <x:c r="C73" t="str">
        <x:v>TRANOMARO</x:v>
      </x:c>
      <x:c r="D73" t="str">
        <x:v>Production</x:v>
      </x:c>
      <x:c r="E73" t="str">
        <x:v>Collecteur de mica</x:v>
      </x:c>
      <x:c r="F73" t="n">
        <x:v>439000</x:v>
      </x:c>
      <x:c r="G73" t="n">
        <x:v>35000</x:v>
      </x:c>
      <x:c r="H73" t="n">
        <x:v>61000</x:v>
      </x:c>
      <x:c r="I73" t="n">
        <x:f>SUM(F73:H73)</x:f>
        <x:v>535000</x:v>
      </x:c>
      <x:c r="J73" t="str">
        <x:v>Actif</x:v>
      </x:c>
    </x:row>
    <x:row r="74">
      <x:c r="A74" t="str">
        <x:v>EMP-075</x:v>
      </x:c>
      <x:c r="B74" t="str">
        <x:v>RATSIMANANA Nirina</x:v>
      </x:c>
      <x:c r="C74" t="str">
        <x:v>TRANOMARO</x:v>
      </x:c>
      <x:c r="D74" t="str">
        <x:v>Production</x:v>
      </x:c>
      <x:c r="E74" t="str">
        <x:v>Collecteur de mica</x:v>
      </x:c>
      <x:c r="F74" t="n">
        <x:v>439000</x:v>
      </x:c>
      <x:c r="G74" t="n">
        <x:v>35000</x:v>
      </x:c>
      <x:c r="H74" t="n">
        <x:v>61000</x:v>
      </x:c>
      <x:c r="I74" t="n">
        <x:f>SUM(F74:H74)</x:f>
        <x:v>535000</x:v>
      </x:c>
      <x:c r="J74" t="str">
        <x:v>Actif</x:v>
      </x:c>
    </x:row>
    <x:row r="75">
      <x:c r="A75" t="str">
        <x:v>EMP-076</x:v>
      </x:c>
      <x:c r="B75" t="str">
        <x:v>ANDRIAMALALA Toky</x:v>
      </x:c>
      <x:c r="C75" t="str">
        <x:v>TRANOMARO</x:v>
      </x:c>
      <x:c r="D75" t="str">
        <x:v>Production</x:v>
      </x:c>
      <x:c r="E75" t="str">
        <x:v>Aide collecteur</x:v>
      </x:c>
      <x:c r="F75" t="n">
        <x:v>439000</x:v>
      </x:c>
      <x:c r="G75" t="n">
        <x:v>35000</x:v>
      </x:c>
      <x:c r="H75" t="n">
        <x:v>61000</x:v>
      </x:c>
      <x:c r="I75" t="n">
        <x:f>SUM(F75:H75)</x:f>
        <x:v>535000</x:v>
      </x:c>
      <x:c r="J75" t="str">
        <x:v>Actif</x:v>
      </x:c>
    </x:row>
    <x:row r="76">
      <x:c r="A76" t="str">
        <x:v>EMP-077</x:v>
      </x:c>
      <x:c r="B76" t="str">
        <x:v>RAZAFIMANANA Kanto</x:v>
      </x:c>
      <x:c r="C76" t="str">
        <x:v>TRANOMARO</x:v>
      </x:c>
      <x:c r="D76" t="str">
        <x:v>Production</x:v>
      </x:c>
      <x:c r="E76" t="str">
        <x:v>Aide collecteur</x:v>
      </x:c>
      <x:c r="F76" t="n">
        <x:v>439000</x:v>
      </x:c>
      <x:c r="G76" t="n">
        <x:v>35000</x:v>
      </x:c>
      <x:c r="H76" t="n">
        <x:v>61000</x:v>
      </x:c>
      <x:c r="I76" t="n">
        <x:f>SUM(F76:H76)</x:f>
        <x:v>535000</x:v>
      </x:c>
      <x:c r="J76" t="str">
        <x:v>Actif</x:v>
      </x:c>
    </x:row>
    <x:row r="77">
      <x:c r="A77" t="str">
        <x:v>EMP-078</x:v>
      </x:c>
      <x:c r="B77" t="str">
        <x:v>RAKOTONDRINA Rado</x:v>
      </x:c>
      <x:c r="C77" t="str">
        <x:v>ANIVORANO</x:v>
      </x:c>
      <x:c r="D77" t="str">
        <x:v>Production</x:v>
      </x:c>
      <x:c r="E77" t="str">
        <x:v>Aide collecteur</x:v>
      </x:c>
      <x:c r="F77" t="n">
        <x:v>439000</x:v>
      </x:c>
      <x:c r="G77" t="n">
        <x:v>35000</x:v>
      </x:c>
      <x:c r="H77" t="n">
        <x:v>61000</x:v>
      </x:c>
      <x:c r="I77" t="n">
        <x:f>SUM(F77:H77)</x:f>
        <x:v>535000</x:v>
      </x:c>
      <x:c r="J77" t="str">
        <x:v>Actif</x:v>
      </x:c>
    </x:row>
    <x:row r="78">
      <x:c r="A78" t="str">
        <x:v>EMP-079</x:v>
      </x:c>
      <x:c r="B78" t="str">
        <x:v>RANDRIATSARA Miary</x:v>
      </x:c>
      <x:c r="C78" t="str">
        <x:v>ANIVORANO</x:v>
      </x:c>
      <x:c r="D78" t="str">
        <x:v>Production</x:v>
      </x:c>
      <x:c r="E78" t="str">
        <x:v>Aide collecteur</x:v>
      </x:c>
      <x:c r="F78" t="n">
        <x:v>439000</x:v>
      </x:c>
      <x:c r="G78" t="n">
        <x:v>35000</x:v>
      </x:c>
      <x:c r="H78" t="n">
        <x:v>61000</x:v>
      </x:c>
      <x:c r="I78" t="n">
        <x:f>SUM(F78:H78)</x:f>
        <x:v>535000</x:v>
      </x:c>
      <x:c r="J78" t="str">
        <x:v>Actif</x:v>
      </x:c>
    </x:row>
    <x:row r="79">
      <x:c r="A79" t="str">
        <x:v>EMP-080</x:v>
      </x:c>
      <x:c r="B79" t="str">
        <x:v>RAKOTOMAHERY Mamy</x:v>
      </x:c>
      <x:c r="C79" t="str">
        <x:v>ANIVORANO</x:v>
      </x:c>
      <x:c r="D79" t="str">
        <x:v>Production</x:v>
      </x:c>
      <x:c r="E79" t="str">
        <x:v>Aide collecteur</x:v>
      </x:c>
      <x:c r="F79" t="n">
        <x:v>439000</x:v>
      </x:c>
      <x:c r="G79" t="n">
        <x:v>35000</x:v>
      </x:c>
      <x:c r="H79" t="n">
        <x:v>61000</x:v>
      </x:c>
      <x:c r="I79" t="n">
        <x:f>SUM(F79:H79)</x:f>
        <x:v>535000</x:v>
      </x:c>
      <x:c r="J79" t="str">
        <x:v>Actif</x:v>
      </x:c>
    </x:row>
    <x:row r="80">
      <x:c r="A80" t="str">
        <x:v>EMP-081</x:v>
      </x:c>
      <x:c r="B80" t="str">
        <x:v>RAKOTOFALY Faniry</x:v>
      </x:c>
      <x:c r="C80" t="str">
        <x:v>ANIVORANO</x:v>
      </x:c>
      <x:c r="D80" t="str">
        <x:v>Production</x:v>
      </x:c>
      <x:c r="E80" t="str">
        <x:v>Aide collecteur</x:v>
      </x:c>
      <x:c r="F80" t="n">
        <x:v>439000</x:v>
      </x:c>
      <x:c r="G80" t="n">
        <x:v>35000</x:v>
      </x:c>
      <x:c r="H80" t="n">
        <x:v>61000</x:v>
      </x:c>
      <x:c r="I80" t="n">
        <x:f>SUM(F80:H80)</x:f>
        <x:v>535000</x:v>
      </x:c>
      <x:c r="J80" t="str">
        <x:v>Actif</x:v>
      </x:c>
    </x:row>
    <x:row r="81">
      <x:c r="A81" t="str">
        <x:v>EMP-082</x:v>
      </x:c>
      <x:c r="B81" t="str">
        <x:v>RABENIRINA Onja</x:v>
      </x:c>
      <x:c r="C81" t="str">
        <x:v>ANIVORANO</x:v>
      </x:c>
      <x:c r="D81" t="str">
        <x:v>Production</x:v>
      </x:c>
      <x:c r="E81" t="str">
        <x:v>Aide collecteur</x:v>
      </x:c>
      <x:c r="F81" t="n">
        <x:v>439000</x:v>
      </x:c>
      <x:c r="G81" t="n">
        <x:v>35000</x:v>
      </x:c>
      <x:c r="H81" t="n">
        <x:v>61000</x:v>
      </x:c>
      <x:c r="I81" t="n">
        <x:f>SUM(F81:H81)</x:f>
        <x:v>535000</x:v>
      </x:c>
      <x:c r="J81" t="str">
        <x:v>Actif</x:v>
      </x:c>
    </x:row>
    <x:row r="82">
      <x:c r="A82" t="str">
        <x:v>EMP-083</x:v>
      </x:c>
      <x:c r="B82" t="str">
        <x:v>RATSIMBAZAFY Fetra</x:v>
      </x:c>
      <x:c r="C82" t="str">
        <x:v>ANIVORANO</x:v>
      </x:c>
      <x:c r="D82" t="str">
        <x:v>Exploitation</x:v>
      </x:c>
      <x:c r="E82" t="str">
        <x:v>Agent de sécurité</x:v>
      </x:c>
      <x:c r="F82" t="n">
        <x:v>439000</x:v>
      </x:c>
      <x:c r="G82" t="n">
        <x:v>35000</x:v>
      </x:c>
      <x:c r="H82" t="n">
        <x:v>61000</x:v>
      </x:c>
      <x:c r="I82" t="n">
        <x:f>SUM(F82:H82)</x:f>
        <x:v>535000</x:v>
      </x:c>
      <x:c r="J82" t="str">
        <x:v>Actif</x:v>
      </x:c>
    </x:row>
    <x:row r="83">
      <x:c r="A83" t="str">
        <x:v>EMP-084</x:v>
      </x:c>
      <x:c r="B83" t="str">
        <x:v>RAKOTONANTSOA Rova</x:v>
      </x:c>
      <x:c r="C83" t="str">
        <x:v>ANIVORANO</x:v>
      </x:c>
      <x:c r="D83" t="str">
        <x:v>Exploitation</x:v>
      </x:c>
      <x:c r="E83" t="str">
        <x:v>Agent de sécurité</x:v>
      </x:c>
      <x:c r="F83" t="n">
        <x:v>439000</x:v>
      </x:c>
      <x:c r="G83" t="n">
        <x:v>35000</x:v>
      </x:c>
      <x:c r="H83" t="n">
        <x:v>61000</x:v>
      </x:c>
      <x:c r="I83" t="n">
        <x:f>SUM(F83:H83)</x:f>
        <x:v>535000</x:v>
      </x:c>
      <x:c r="J83" t="str">
        <x:v>Actif</x:v>
      </x:c>
    </x:row>
    <x:row r="84">
      <x:c r="A84" t="str">
        <x:v>EMP-085</x:v>
      </x:c>
      <x:c r="B84" t="str">
        <x:v>RAZAFINDRAVOLA Felana</x:v>
      </x:c>
      <x:c r="C84" t="str">
        <x:v>FORT DAUPHIN</x:v>
      </x:c>
      <x:c r="D84" t="str">
        <x:v>Exploitation</x:v>
      </x:c>
      <x:c r="E84" t="str">
        <x:v>Agent de sécurité</x:v>
      </x:c>
      <x:c r="F84" t="n">
        <x:v>439000</x:v>
      </x:c>
      <x:c r="G84" t="n">
        <x:v>35000</x:v>
      </x:c>
      <x:c r="H84" t="n">
        <x:v>61000</x:v>
      </x:c>
      <x:c r="I84" t="n">
        <x:f>SUM(F84:H84)</x:f>
        <x:v>535000</x:v>
      </x:c>
      <x:c r="J84" t="str">
        <x:v>Actif</x:v>
      </x:c>
    </x:row>
    <x:row r="85">
      <x:c r="A85" t="str">
        <x:v>EMP-086</x:v>
      </x:c>
      <x:c r="B85" t="str">
        <x:v>RABEARISOA Ando</x:v>
      </x:c>
      <x:c r="C85" t="str">
        <x:v>FORT DAUPHIN</x:v>
      </x:c>
      <x:c r="D85" t="str">
        <x:v>Exploitation</x:v>
      </x:c>
      <x:c r="E85" t="str">
        <x:v>Agent de sécurité</x:v>
      </x:c>
      <x:c r="F85" t="n">
        <x:v>439000</x:v>
      </x:c>
      <x:c r="G85" t="n">
        <x:v>35000</x:v>
      </x:c>
      <x:c r="H85" t="n">
        <x:v>61000</x:v>
      </x:c>
      <x:c r="I85" t="n">
        <x:f>SUM(F85:H85)</x:f>
        <x:v>535000</x:v>
      </x:c>
      <x:c r="J85" t="str">
        <x:v>Actif</x:v>
      </x:c>
    </x:row>
    <x:row r="86">
      <x:c r="A86" t="str">
        <x:v>EMP-087</x:v>
      </x:c>
      <x:c r="B86" t="str">
        <x:v>RAKOTOMIALY Tsiory</x:v>
      </x:c>
      <x:c r="C86" t="str">
        <x:v>FORT DAUPHIN</x:v>
      </x:c>
      <x:c r="D86" t="str">
        <x:v>Exploitation</x:v>
      </x:c>
      <x:c r="E86" t="str">
        <x:v>Agent de sécurité</x:v>
      </x:c>
      <x:c r="F86" t="n">
        <x:v>439000</x:v>
      </x:c>
      <x:c r="G86" t="n">
        <x:v>35000</x:v>
      </x:c>
      <x:c r="H86" t="n">
        <x:v>61000</x:v>
      </x:c>
      <x:c r="I86" t="n">
        <x:f>SUM(F86:H86)</x:f>
        <x:v>535000</x:v>
      </x:c>
      <x:c r="J86" t="str">
        <x:v>Actif</x:v>
      </x:c>
    </x:row>
    <x:row r="87">
      <x:c r="A87" t="str">
        <x:v>EMP-088</x:v>
      </x:c>
      <x:c r="B87" t="str">
        <x:v>ANDRIANJAFY Faly</x:v>
      </x:c>
      <x:c r="C87" t="str">
        <x:v>FORT DAUPHIN</x:v>
      </x:c>
      <x:c r="D87" t="str">
        <x:v>Exploitation</x:v>
      </x:c>
      <x:c r="E87" t="str">
        <x:v>Agent d’entretien</x:v>
      </x:c>
      <x:c r="F87" t="n">
        <x:v>439000</x:v>
      </x:c>
      <x:c r="G87" t="n">
        <x:v>35000</x:v>
      </x:c>
      <x:c r="H87" t="n">
        <x:v>61000</x:v>
      </x:c>
      <x:c r="I87" t="n">
        <x:f>SUM(F87:H87)</x:f>
        <x:v>535000</x:v>
      </x:c>
      <x:c r="J87" t="str">
        <x:v>Actif</x:v>
      </x:c>
    </x:row>
    <x:row r="88">
      <x:c r="A88" t="str">
        <x:v>EMP-089</x:v>
      </x:c>
      <x:c r="B88" t="str">
        <x:v>RASOLOFONIAINA Tsanta</x:v>
      </x:c>
      <x:c r="C88" t="str">
        <x:v>FORT DAUPHIN</x:v>
      </x:c>
      <x:c r="D88" t="str">
        <x:v>Exploitation</x:v>
      </x:c>
      <x:c r="E88" t="str">
        <x:v>Agent d’entretien</x:v>
      </x:c>
      <x:c r="F88" t="n">
        <x:v>439000</x:v>
      </x:c>
      <x:c r="G88" t="n">
        <x:v>35000</x:v>
      </x:c>
      <x:c r="H88" t="n">
        <x:v>61000</x:v>
      </x:c>
      <x:c r="I88" t="n">
        <x:f>SUM(F88:H88)</x:f>
        <x:v>535000</x:v>
      </x:c>
      <x:c r="J88" t="str">
        <x:v>Actif</x:v>
      </x:c>
    </x:row>
    <x:row r="89">
      <x:c r="A89" t="str">
        <x:v>EMP-090</x:v>
      </x:c>
      <x:c r="B89" t="str">
        <x:v>RAKOTOMENDRIKA Haja</x:v>
      </x:c>
      <x:c r="C89" t="str">
        <x:v>FORT DAUPHIN</x:v>
      </x:c>
      <x:c r="D89" t="str">
        <x:v>Exploitation</x:v>
      </x:c>
      <x:c r="E89" t="str">
        <x:v>Agent d’entretien</x:v>
      </x:c>
      <x:c r="F89" t="n">
        <x:v>439000</x:v>
      </x:c>
      <x:c r="G89" t="n">
        <x:v>35000</x:v>
      </x:c>
      <x:c r="H89" t="n">
        <x:v>61000</x:v>
      </x:c>
      <x:c r="I89" t="n">
        <x:f>SUM(F89:H89)</x:f>
        <x:v>535000</x:v>
      </x:c>
      <x:c r="J89" t="str">
        <x:v>Actif</x:v>
      </x:c>
    </x:row>
    <x:row r="90">
      <x:c r="A90" t="str">
        <x:v>EMP-091</x:v>
      </x:c>
      <x:c r="B90" t="str">
        <x:v>RAKOTOVAO Nomena</x:v>
      </x:c>
      <x:c r="C90" t="str">
        <x:v>FORT DAUPHIN</x:v>
      </x:c>
      <x:c r="D90" t="str">
        <x:v>Exploitation</x:v>
      </x:c>
      <x:c r="E90" t="str">
        <x:v>Agent d’entretien</x:v>
      </x:c>
      <x:c r="F90" t="n">
        <x:v>634000</x:v>
      </x:c>
      <x:c r="G90" t="n">
        <x:v>51000</x:v>
      </x:c>
      <x:c r="H90" t="n">
        <x:v>89000</x:v>
      </x:c>
      <x:c r="I90" t="n">
        <x:f>SUM(F90:H90)</x:f>
        <x:v>774000</x:v>
      </x:c>
      <x:c r="J90" t="str">
        <x:v>Actif</x:v>
      </x:c>
    </x:row>
    <x:row r="91">
      <x:c r="A91" t="str">
        <x:v>EMP-092</x:v>
      </x:c>
      <x:c r="B91" t="str">
        <x:v>RATSIMAHERY Lalaina</x:v>
      </x:c>
      <x:c r="C91" t="str">
        <x:v>AMPANDRANDAVA</x:v>
      </x:c>
      <x:c r="D91" t="str">
        <x:v>Exploitation</x:v>
      </x:c>
      <x:c r="E91" t="str">
        <x:v>Magasinier</x:v>
      </x:c>
      <x:c r="F91" t="n">
        <x:v>634000</x:v>
      </x:c>
      <x:c r="G91" t="n">
        <x:v>51000</x:v>
      </x:c>
      <x:c r="H91" t="n">
        <x:v>89000</x:v>
      </x:c>
      <x:c r="I91" t="n">
        <x:f>SUM(F91:H91)</x:f>
        <x:v>774000</x:v>
      </x:c>
      <x:c r="J91" t="str">
        <x:v>Actif</x:v>
      </x:c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14.6640625" customWidth="1"/>
    <x:col min="2" max="2" width="18" customWidth="1"/>
    <x:col min="3" max="3" width="5.6640625" customWidth="1"/>
    <x:col min="4" max="5" width="5.83203125" customWidth="1"/>
    <x:col min="6" max="9" width="4.6640625" customWidth="1"/>
    <x:col min="10" max="10" width="5" customWidth="1"/>
    <x:col min="11" max="11" width="4.6640625" customWidth="1"/>
    <x:col min="12" max="12" width="8.83203125" customWidth="1"/>
    <x:col min="13" max="13" width="6.6640625" customWidth="1"/>
    <x:col min="14" max="14" width="8.5" customWidth="1"/>
    <x:col min="15" max="15" width="8.33203125" customWidth="1"/>
    <x:col min="16" max="16" width="9.83203125" customWidth="1"/>
  </x:cols>
  <x:sheetData>
    <x:row r="1" ht="32">
      <x:c r="A1" s="1" t="s">
        <x:v>35</x:v>
      </x:c>
      <x:c r="B1" s="1" t="s">
        <x:v>43</x:v>
      </x:c>
      <x:c r="C1" s="1" t="s">
        <x:v>44</x:v>
      </x:c>
      <x:c r="D1" s="1" t="s">
        <x:v>45</x:v>
      </x:c>
      <x:c r="E1" s="1" t="s">
        <x:v>46</x:v>
      </x:c>
      <x:c r="F1" s="1" t="s">
        <x:v>47</x:v>
      </x:c>
      <x:c r="G1" s="1" t="s">
        <x:v>48</x:v>
      </x:c>
      <x:c r="H1" s="1" t="s">
        <x:v>49</x:v>
      </x:c>
      <x:c r="I1" s="1" t="s">
        <x:v>50</x:v>
      </x:c>
      <x:c r="J1" s="1" t="s">
        <x:v>51</x:v>
      </x:c>
      <x:c r="K1" s="1" t="s">
        <x:v>52</x:v>
      </x:c>
      <x:c r="L1" s="1" t="s">
        <x:v>53</x:v>
      </x:c>
      <x:c r="M1" s="1" t="s">
        <x:v>54</x:v>
      </x:c>
      <x:c r="N1" s="1" t="s">
        <x:v>55</x:v>
      </x:c>
      <x:c r="O1" s="1" t="s">
        <x:v>56</x:v>
      </x:c>
      <x:c r="P1" s="1" t="s">
        <x:v>57</x:v>
      </x:c>
    </x:row>
    <x:row r="2">
      <x:c r="A2" t="s">
        <x:v>20</x:v>
      </x:c>
      <x:c r="B2" t="s">
        <x:v>58</x:v>
      </x:c>
      <x:c r="C2" t="s">
        <x:v>59</x:v>
      </x:c>
      <x:c r="D2" s="5" t="n">
        <x:v>79.03</x:v>
      </x:c>
      <x:c r="E2" s="5" t="n">
        <x:v>72.16</x:v>
      </x:c>
      <x:c r="F2" s="5" t="n">
        <x:v>62.76</x:v>
      </x:c>
      <x:c r="G2" s="5" t="n">
        <x:v>75.42</x:v>
      </x:c>
      <x:c r="H2" s="5" t="n">
        <x:v>61.92</x:v>
      </x:c>
      <x:c r="I2" s="5" t="n">
        <x:v>68.28</x:v>
      </x:c>
      <x:c r="J2" s="5" t="n">
        <x:v>79.25</x:v>
      </x:c>
      <x:c r="K2" s="5" t="n">
        <x:v>69.92</x:v>
      </x:c>
      <x:c r="L2" s="5" t="n">
        <x:v>61.42</x:v>
      </x:c>
      <x:c r="M2" s="5" t="n">
        <x:v>73.12</x:v>
      </x:c>
      <x:c r="N2" s="5" t="n">
        <x:v>77.97</x:v>
      </x:c>
      <x:c r="O2" s="5" t="n">
        <x:v>76.24</x:v>
      </x:c>
      <x:c r="P2" s="5" t="n">
        <x:f>SUM(D2:O2)</x:f>
        <x:v>857.49</x:v>
      </x:c>
    </x:row>
    <x:row r="3">
      <x:c r="A3" t="s">
        <x:v>20</x:v>
      </x:c>
      <x:c r="B3" t="s">
        <x:v>60</x:v>
      </x:c>
      <x:c r="C3" t="s">
        <x:v>59</x:v>
      </x:c>
      <x:c r="D3" s="5" t="n">
        <x:v>59.5</x:v>
      </x:c>
      <x:c r="E3" s="5" t="n">
        <x:v>49.74</x:v>
      </x:c>
      <x:c r="F3" s="5" t="n">
        <x:v>47.27</x:v>
      </x:c>
      <x:c r="G3" s="5" t="n">
        <x:v>54.02</x:v>
      </x:c>
      <x:c r="H3" s="5" t="n">
        <x:v>54.39</x:v>
      </x:c>
      <x:c r="I3" s="5" t="n">
        <x:v>48.77</x:v>
      </x:c>
      <x:c r="J3" s="5" t="n">
        <x:v>54.65</x:v>
      </x:c>
      <x:c r="K3" s="5" t="n">
        <x:v>52.24</x:v>
      </x:c>
      <x:c r="L3" s="5" t="n">
        <x:v>60.35</x:v>
      </x:c>
      <x:c r="M3" s="5" t="n">
        <x:v>56.59</x:v>
      </x:c>
      <x:c r="N3" s="5" t="n">
        <x:v>49.62</x:v>
      </x:c>
      <x:c r="O3" s="5" t="n">
        <x:v>54.26</x:v>
      </x:c>
      <x:c r="P3" s="5" t="n">
        <x:f>SUM(D3:O3)</x:f>
        <x:v>641.4</x:v>
      </x:c>
    </x:row>
    <x:row r="4">
      <x:c r="A4" t="s">
        <x:v>20</x:v>
      </x:c>
      <x:c r="B4" t="s">
        <x:v>61</x:v>
      </x:c>
      <x:c r="C4" t="s">
        <x:v>59</x:v>
      </x:c>
      <x:c r="D4" s="5" t="n">
        <x:v>50.19</x:v>
      </x:c>
      <x:c r="E4" s="5" t="n">
        <x:v>52.62</x:v>
      </x:c>
      <x:c r="F4" s="5" t="n">
        <x:v>46.74</x:v>
      </x:c>
      <x:c r="G4" s="5" t="n">
        <x:v>42.37</x:v>
      </x:c>
      <x:c r="H4" s="5" t="n">
        <x:v>47.03</x:v>
      </x:c>
      <x:c r="I4" s="5" t="n">
        <x:v>45.25</x:v>
      </x:c>
      <x:c r="J4" s="5" t="n">
        <x:v>47.55</x:v>
      </x:c>
      <x:c r="K4" s="5" t="n">
        <x:v>42.02</x:v>
      </x:c>
      <x:c r="L4" s="5" t="n">
        <x:v>48.54</x:v>
      </x:c>
      <x:c r="M4" s="5" t="n">
        <x:v>43.05</x:v>
      </x:c>
      <x:c r="N4" s="5" t="n">
        <x:v>52.33</x:v>
      </x:c>
      <x:c r="O4" s="5" t="n">
        <x:v>43.66</x:v>
      </x:c>
      <x:c r="P4" s="5" t="n">
        <x:f>SUM(D4:O4)</x:f>
        <x:v>561.35</x:v>
      </x:c>
    </x:row>
    <x:row r="5">
      <x:c r="A5" t="s">
        <x:v>20</x:v>
      </x:c>
      <x:c r="B5" t="s">
        <x:v>62</x:v>
      </x:c>
      <x:c r="C5" t="s">
        <x:v>59</x:v>
      </x:c>
      <x:c r="D5" s="5" t="n">
        <x:v>67.86</x:v>
      </x:c>
      <x:c r="E5" s="5" t="n">
        <x:v>63.74</x:v>
      </x:c>
      <x:c r="F5" s="5" t="n">
        <x:v>61.13</x:v>
      </x:c>
      <x:c r="G5" s="5" t="n">
        <x:v>54.89</x:v>
      </x:c>
      <x:c r="H5" s="5" t="n">
        <x:v>60.17</x:v>
      </x:c>
      <x:c r="I5" s="5" t="n">
        <x:v>58.03</x:v>
      </x:c>
      <x:c r="J5" s="5" t="n">
        <x:v>62.08</x:v>
      </x:c>
      <x:c r="K5" s="5" t="n">
        <x:v>57.04</x:v>
      </x:c>
      <x:c r="L5" s="5" t="n">
        <x:v>68.01</x:v>
      </x:c>
      <x:c r="M5" s="5" t="n">
        <x:v>67.68</x:v>
      </x:c>
      <x:c r="N5" s="5" t="n">
        <x:v>57.02</x:v>
      </x:c>
      <x:c r="O5" s="5" t="n">
        <x:v>67.38</x:v>
      </x:c>
      <x:c r="P5" s="5" t="n">
        <x:f>SUM(D5:O5)</x:f>
        <x:v>745.0300000000001</x:v>
      </x:c>
    </x:row>
    <x:row r="6">
      <x:c r="A6" t="s">
        <x:v>20</x:v>
      </x:c>
      <x:c r="B6" t="s">
        <x:v>63</x:v>
      </x:c>
      <x:c r="C6" t="s">
        <x:v>59</x:v>
      </x:c>
      <x:c r="D6" s="5" t="n">
        <x:v>41.61</x:v>
      </x:c>
      <x:c r="E6" s="5" t="n">
        <x:v>38.14</x:v>
      </x:c>
      <x:c r="F6" s="5" t="n">
        <x:v>42.84</x:v>
      </x:c>
      <x:c r="G6" s="5" t="n">
        <x:v>45.85</x:v>
      </x:c>
      <x:c r="H6" s="5" t="n">
        <x:v>40.34</x:v>
      </x:c>
      <x:c r="I6" s="5" t="n">
        <x:v>41.22</x:v>
      </x:c>
      <x:c r="J6" s="5" t="n">
        <x:v>37.73</x:v>
      </x:c>
      <x:c r="K6" s="5" t="n">
        <x:v>44.68</x:v>
      </x:c>
      <x:c r="L6" s="5" t="n">
        <x:v>37.21</x:v>
      </x:c>
      <x:c r="M6" s="5" t="n">
        <x:v>39.68</x:v>
      </x:c>
      <x:c r="N6" s="5" t="n">
        <x:v>36.31</x:v>
      </x:c>
      <x:c r="O6" s="5" t="n">
        <x:v>38.51</x:v>
      </x:c>
      <x:c r="P6" s="5" t="n">
        <x:f>SUM(D6:O6)</x:f>
        <x:v>484.12</x:v>
      </x:c>
    </x:row>
    <x:row r="7">
      <x:c r="A7" t="s">
        <x:v>17</x:v>
      </x:c>
      <x:c r="B7" t="s">
        <x:v>58</x:v>
      </x:c>
      <x:c r="C7" t="s">
        <x:v>59</x:v>
      </x:c>
      <x:c r="D7" s="5" t="n">
        <x:v>73.71</x:v>
      </x:c>
      <x:c r="E7" s="5" t="n">
        <x:v>76.15</x:v>
      </x:c>
      <x:c r="F7" s="5" t="n">
        <x:v>62.23</x:v>
      </x:c>
      <x:c r="G7" s="5" t="n">
        <x:v>61.37</x:v>
      </x:c>
      <x:c r="H7" s="5" t="n">
        <x:v>64.01</x:v>
      </x:c>
      <x:c r="I7" s="5" t="n">
        <x:v>72.04</x:v>
      </x:c>
      <x:c r="J7" s="5" t="n">
        <x:v>65.6</x:v>
      </x:c>
      <x:c r="K7" s="5" t="n">
        <x:v>72.87</x:v>
      </x:c>
      <x:c r="L7" s="5" t="n">
        <x:v>67.52</x:v>
      </x:c>
      <x:c r="M7" s="5" t="n">
        <x:v>65.29</x:v>
      </x:c>
      <x:c r="N7" s="5" t="n">
        <x:v>63.25</x:v>
      </x:c>
      <x:c r="O7" s="5" t="n">
        <x:v>77.92</x:v>
      </x:c>
      <x:c r="P7" s="5" t="n">
        <x:f>SUM(D7:O7)</x:f>
        <x:v>821.9599999999999</x:v>
      </x:c>
    </x:row>
    <x:row r="8">
      <x:c r="A8" t="s">
        <x:v>17</x:v>
      </x:c>
      <x:c r="B8" t="s">
        <x:v>60</x:v>
      </x:c>
      <x:c r="C8" t="s">
        <x:v>59</x:v>
      </x:c>
      <x:c r="D8" s="5" t="n">
        <x:v>60.73</x:v>
      </x:c>
      <x:c r="E8" s="5" t="n">
        <x:v>58.2</x:v>
      </x:c>
      <x:c r="F8" s="5" t="n">
        <x:v>60.74</x:v>
      </x:c>
      <x:c r="G8" s="5" t="n">
        <x:v>54.87</x:v>
      </x:c>
      <x:c r="H8" s="5" t="n">
        <x:v>51.35</x:v>
      </x:c>
      <x:c r="I8" s="5" t="n">
        <x:v>46.43</x:v>
      </x:c>
      <x:c r="J8" s="5" t="n">
        <x:v>56.85</x:v>
      </x:c>
      <x:c r="K8" s="5" t="n">
        <x:v>47.53</x:v>
      </x:c>
      <x:c r="L8" s="5" t="n">
        <x:v>52.12</x:v>
      </x:c>
      <x:c r="M8" s="5" t="n">
        <x:v>50.53</x:v>
      </x:c>
      <x:c r="N8" s="5" t="n">
        <x:v>61.2</x:v>
      </x:c>
      <x:c r="O8" s="5" t="n">
        <x:v>60.55</x:v>
      </x:c>
      <x:c r="P8" s="5" t="n">
        <x:f>SUM(D8:O8)</x:f>
        <x:v>661.1</x:v>
      </x:c>
    </x:row>
    <x:row r="9">
      <x:c r="A9" t="s">
        <x:v>17</x:v>
      </x:c>
      <x:c r="B9" t="s">
        <x:v>61</x:v>
      </x:c>
      <x:c r="C9" t="s">
        <x:v>59</x:v>
      </x:c>
      <x:c r="D9" s="5" t="n">
        <x:v>40.68</x:v>
      </x:c>
      <x:c r="E9" s="5" t="n">
        <x:v>47.63</x:v>
      </x:c>
      <x:c r="F9" s="5" t="n">
        <x:v>40.08</x:v>
      </x:c>
      <x:c r="G9" s="5" t="n">
        <x:v>48.48</x:v>
      </x:c>
      <x:c r="H9" s="5" t="n">
        <x:v>43.25</x:v>
      </x:c>
      <x:c r="I9" s="5" t="n">
        <x:v>51.36</x:v>
      </x:c>
      <x:c r="J9" s="5" t="n">
        <x:v>42.25</x:v>
      </x:c>
      <x:c r="K9" s="5" t="n">
        <x:v>51.43</x:v>
      </x:c>
      <x:c r="L9" s="5" t="n">
        <x:v>45.63</x:v>
      </x:c>
      <x:c r="M9" s="5" t="n">
        <x:v>42.29</x:v>
      </x:c>
      <x:c r="N9" s="5" t="n">
        <x:v>46.16</x:v>
      </x:c>
      <x:c r="O9" s="5" t="n">
        <x:v>43.31</x:v>
      </x:c>
      <x:c r="P9" s="5" t="n">
        <x:f>SUM(D9:O9)</x:f>
        <x:v>542.55</x:v>
      </x:c>
    </x:row>
    <x:row r="10">
      <x:c r="A10" t="s">
        <x:v>17</x:v>
      </x:c>
      <x:c r="B10" t="s">
        <x:v>62</x:v>
      </x:c>
      <x:c r="C10" t="s">
        <x:v>59</x:v>
      </x:c>
      <x:c r="D10" s="5" t="n">
        <x:v>61.35</x:v>
      </x:c>
      <x:c r="E10" s="5" t="n">
        <x:v>54.68</x:v>
      </x:c>
      <x:c r="F10" s="5" t="n">
        <x:v>57.77</x:v>
      </x:c>
      <x:c r="G10" s="5" t="n">
        <x:v>66.65</x:v>
      </x:c>
      <x:c r="H10" s="5" t="n">
        <x:v>67.28</x:v>
      </x:c>
      <x:c r="I10" s="5" t="n">
        <x:v>63.7</x:v>
      </x:c>
      <x:c r="J10" s="5" t="n">
        <x:v>64.72</x:v>
      </x:c>
      <x:c r="K10" s="5" t="n">
        <x:v>56.95</x:v>
      </x:c>
      <x:c r="L10" s="5" t="n">
        <x:v>63.6</x:v>
      </x:c>
      <x:c r="M10" s="5" t="n">
        <x:v>55.87</x:v>
      </x:c>
      <x:c r="N10" s="5" t="n">
        <x:v>64.82</x:v>
      </x:c>
      <x:c r="O10" s="5" t="n">
        <x:v>55.37</x:v>
      </x:c>
      <x:c r="P10" s="5" t="n">
        <x:f>SUM(D10:O10)</x:f>
        <x:v>732.7599999999999</x:v>
      </x:c>
    </x:row>
    <x:row r="11">
      <x:c r="A11" t="s">
        <x:v>17</x:v>
      </x:c>
      <x:c r="B11" t="s">
        <x:v>63</x:v>
      </x:c>
      <x:c r="C11" t="s">
        <x:v>59</x:v>
      </x:c>
      <x:c r="D11" s="5" t="n">
        <x:v>43.08</x:v>
      </x:c>
      <x:c r="E11" s="5" t="n">
        <x:v>44.45</x:v>
      </x:c>
      <x:c r="F11" s="5" t="n">
        <x:v>42.98</x:v>
      </x:c>
      <x:c r="G11" s="5" t="n">
        <x:v>46.48</x:v>
      </x:c>
      <x:c r="H11" s="5" t="n">
        <x:v>38.77</x:v>
      </x:c>
      <x:c r="I11" s="5" t="n">
        <x:v>38.65</x:v>
      </x:c>
      <x:c r="J11" s="5" t="n">
        <x:v>43.15</x:v>
      </x:c>
      <x:c r="K11" s="5" t="n">
        <x:v>41.29</x:v>
      </x:c>
      <x:c r="L11" s="5" t="n">
        <x:v>43.77</x:v>
      </x:c>
      <x:c r="M11" s="5" t="n">
        <x:v>34.92</x:v>
      </x:c>
      <x:c r="N11" s="5" t="n">
        <x:v>38.04</x:v>
      </x:c>
      <x:c r="O11" s="5" t="n">
        <x:v>36.36</x:v>
      </x:c>
      <x:c r="P11" s="5" t="n">
        <x:f>SUM(D11:O11)</x:f>
        <x:v>491.94000000000005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13.6640625" customWidth="1"/>
    <x:col min="2" max="2" width="28" customWidth="1"/>
    <x:col min="3" max="3" width="14.6640625" customWidth="1"/>
    <x:col min="4" max="4" width="4.6640625" customWidth="1"/>
    <x:col min="5" max="16" width="9.83203125" customWidth="1"/>
    <x:col min="17" max="17" width="11.1640625" customWidth="1"/>
  </x:cols>
  <x:sheetData>
    <x:row r="1" ht="32">
      <x:c r="A1" s="1" t="str">
        <x:v>Catégorie</x:v>
      </x:c>
      <x:c r="B1" s="1" t="str">
        <x:v>Nature</x:v>
      </x:c>
      <x:c r="C1" s="1" t="str">
        <x:v>Site</x:v>
      </x:c>
      <x:c r="D1" s="1" t="str">
        <x:v>Unité</x:v>
      </x:c>
      <x:c r="E1" s="1" t="str">
        <x:v>Janvier</x:v>
      </x:c>
      <x:c r="F1" s="1" t="str">
        <x:v>Février</x:v>
      </x:c>
      <x:c r="G1" s="1" t="str">
        <x:v>Mars</x:v>
      </x:c>
      <x:c r="H1" s="1" t="str">
        <x:v>Avril</x:v>
      </x:c>
      <x:c r="I1" s="1" t="str">
        <x:v>Mai</x:v>
      </x:c>
      <x:c r="J1" s="1" t="str">
        <x:v>Juin</x:v>
      </x:c>
      <x:c r="K1" s="1" t="str">
        <x:v>Juillet</x:v>
      </x:c>
      <x:c r="L1" s="1" t="str">
        <x:v>Août</x:v>
      </x:c>
      <x:c r="M1" s="1" t="str">
        <x:v>Septembre</x:v>
      </x:c>
      <x:c r="N1" s="1" t="str">
        <x:v>Octobre</x:v>
      </x:c>
      <x:c r="O1" s="1" t="str">
        <x:v>Novembre</x:v>
      </x:c>
      <x:c r="P1" s="1" t="str">
        <x:v>Décembre</x:v>
      </x:c>
      <x:c r="Q1" s="1" t="str">
        <x:v>Total annuel</x:v>
      </x:c>
    </x:row>
    <x:row r="2">
      <x:c r="A2" t="str">
        <x:v>PRODUCTION</x:v>
      </x:c>
      <x:c r="B2" t="str">
        <x:v>Matières et consommables</x:v>
      </x:c>
      <x:c r="C2" t="str">
        <x:v>AMPANDRANDAVA</x:v>
      </x:c>
      <x:c r="D2" t="str">
        <x:v>MGA</x:v>
      </x:c>
      <x:c r="E2" s="4" t="n">
        <x:v>105714070</x:v>
      </x:c>
      <x:c r="F2" s="4" t="n">
        <x:v>112374570</x:v>
      </x:c>
      <x:c r="G2" s="4" t="n">
        <x:v>123371710</x:v>
      </x:c>
      <x:c r="H2" s="4" t="n">
        <x:v>104337310</x:v>
      </x:c>
      <x:c r="I2" s="4" t="n">
        <x:v>123330900</x:v>
      </x:c>
      <x:c r="J2" s="4" t="n">
        <x:v>101935680</x:v>
      </x:c>
      <x:c r="K2" s="4" t="n">
        <x:v>110213180</x:v>
      </x:c>
      <x:c r="L2" s="4" t="n">
        <x:v>113386350</x:v>
      </x:c>
      <x:c r="M2" s="4" t="n">
        <x:v>101757040</x:v>
      </x:c>
      <x:c r="N2" s="4" t="n">
        <x:v>101895640</x:v>
      </x:c>
      <x:c r="O2" s="4" t="n">
        <x:v>117566680</x:v>
      </x:c>
      <x:c r="P2" s="4" t="n">
        <x:v>105308280</x:v>
      </x:c>
      <x:c r="Q2" s="4" t="n">
        <x:v>1321191410</x:v>
      </x:c>
    </x:row>
    <x:row r="3">
      <x:c r="A3" t="str">
        <x:v>PRODUCTION</x:v>
      </x:c>
      <x:c r="B3" t="str">
        <x:v>Énergie / électricité</x:v>
      </x:c>
      <x:c r="C3" t="str">
        <x:v>AMPANDRANDAVA</x:v>
      </x:c>
      <x:c r="D3" t="str">
        <x:v>MGA</x:v>
      </x:c>
      <x:c r="E3" s="4" t="n">
        <x:v>38419920</x:v>
      </x:c>
      <x:c r="F3" s="4" t="n">
        <x:v>38788750</x:v>
      </x:c>
      <x:c r="G3" s="4" t="n">
        <x:v>41616190</x:v>
      </x:c>
      <x:c r="H3" s="4" t="n">
        <x:v>37432780</x:v>
      </x:c>
      <x:c r="I3" s="4" t="n">
        <x:v>32835880</x:v>
      </x:c>
      <x:c r="J3" s="4" t="n">
        <x:v>33964700</x:v>
      </x:c>
      <x:c r="K3" s="4" t="n">
        <x:v>39112150</x:v>
      </x:c>
      <x:c r="L3" s="4" t="n">
        <x:v>36784440</x:v>
      </x:c>
      <x:c r="M3" s="4" t="n">
        <x:v>35215180</x:v>
      </x:c>
      <x:c r="N3" s="4" t="n">
        <x:v>40718370</x:v>
      </x:c>
      <x:c r="O3" s="4" t="n">
        <x:v>37898630</x:v>
      </x:c>
      <x:c r="P3" s="4" t="n">
        <x:v>40904710</x:v>
      </x:c>
      <x:c r="Q3" s="4" t="n">
        <x:v>453691700</x:v>
      </x:c>
    </x:row>
    <x:row r="4">
      <x:c r="A4" t="str">
        <x:v>PRODUCTION</x:v>
      </x:c>
      <x:c r="B4" t="str">
        <x:v>Traitement mica</x:v>
      </x:c>
      <x:c r="C4" t="str">
        <x:v>AMPANDRANDAVA</x:v>
      </x:c>
      <x:c r="D4" t="str">
        <x:v>MGA</x:v>
      </x:c>
      <x:c r="E4" s="4" t="n">
        <x:v>65768010</x:v>
      </x:c>
      <x:c r="F4" s="4" t="n">
        <x:v>66314710</x:v>
      </x:c>
      <x:c r="G4" s="4" t="n">
        <x:v>60040750</x:v>
      </x:c>
      <x:c r="H4" s="4" t="n">
        <x:v>61606930</x:v>
      </x:c>
      <x:c r="I4" s="4" t="n">
        <x:v>69728890</x:v>
      </x:c>
      <x:c r="J4" s="4" t="n">
        <x:v>65630950</x:v>
      </x:c>
      <x:c r="K4" s="4" t="n">
        <x:v>63505750</x:v>
      </x:c>
      <x:c r="L4" s="4" t="n">
        <x:v>61305090</x:v>
      </x:c>
      <x:c r="M4" s="4" t="n">
        <x:v>58058770</x:v>
      </x:c>
      <x:c r="N4" s="4" t="n">
        <x:v>63575050</x:v>
      </x:c>
      <x:c r="O4" s="4" t="n">
        <x:v>70915460</x:v>
      </x:c>
      <x:c r="P4" s="4" t="n">
        <x:v>64268050</x:v>
      </x:c>
      <x:c r="Q4" s="4" t="n">
        <x:v>770718410</x:v>
      </x:c>
    </x:row>
    <x:row r="5">
      <x:c r="A5" t="str">
        <x:v>PRODUCTION</x:v>
      </x:c>
      <x:c r="B5" t="str">
        <x:v>Maintenance équipements</x:v>
      </x:c>
      <x:c r="C5" t="str">
        <x:v>AMPANDRANDAVA</x:v>
      </x:c>
      <x:c r="D5" t="str">
        <x:v>MGA</x:v>
      </x:c>
      <x:c r="E5" s="4" t="n">
        <x:v>22896720</x:v>
      </x:c>
      <x:c r="F5" s="4" t="n">
        <x:v>24391290</x:v>
      </x:c>
      <x:c r="G5" s="4" t="n">
        <x:v>23693670</x:v>
      </x:c>
      <x:c r="H5" s="4" t="n">
        <x:v>21724780</x:v>
      </x:c>
      <x:c r="I5" s="4" t="n">
        <x:v>26211570</x:v>
      </x:c>
      <x:c r="J5" s="4" t="n">
        <x:v>24289650</x:v>
      </x:c>
      <x:c r="K5" s="4" t="n">
        <x:v>23418780</x:v>
      </x:c>
      <x:c r="L5" s="4" t="n">
        <x:v>25734940</x:v>
      </x:c>
      <x:c r="M5" s="4" t="n">
        <x:v>22186010</x:v>
      </x:c>
      <x:c r="N5" s="4" t="n">
        <x:v>27087830</x:v>
      </x:c>
      <x:c r="O5" s="4" t="n">
        <x:v>25816560</x:v>
      </x:c>
      <x:c r="P5" s="4" t="n">
        <x:v>24532200</x:v>
      </x:c>
      <x:c r="Q5" s="4" t="n">
        <x:v>291984000</x:v>
      </x:c>
    </x:row>
    <x:row r="6">
      <x:c r="A6" t="str">
        <x:v>PRODUCTION</x:v>
      </x:c>
      <x:c r="B6" t="str">
        <x:v>Emballages</x:v>
      </x:c>
      <x:c r="C6" t="str">
        <x:v>FORT DAUPHIN</x:v>
      </x:c>
      <x:c r="D6" t="str">
        <x:v>MGA</x:v>
      </x:c>
      <x:c r="E6" s="4" t="n">
        <x:v>17234140</x:v>
      </x:c>
      <x:c r="F6" s="4" t="n">
        <x:v>18583180</x:v>
      </x:c>
      <x:c r="G6" s="4" t="n">
        <x:v>19724320</x:v>
      </x:c>
      <x:c r="H6" s="4" t="n">
        <x:v>17336550</x:v>
      </x:c>
      <x:c r="I6" s="4" t="n">
        <x:v>19207650</x:v>
      </x:c>
      <x:c r="J6" s="4" t="n">
        <x:v>17710000</x:v>
      </x:c>
      <x:c r="K6" s="4" t="n">
        <x:v>18631690</x:v>
      </x:c>
      <x:c r="L6" s="4" t="n">
        <x:v>17660720</x:v>
      </x:c>
      <x:c r="M6" s="4" t="n">
        <x:v>17617600</x:v>
      </x:c>
      <x:c r="N6" s="4" t="n">
        <x:v>16520350</x:v>
      </x:c>
      <x:c r="O6" s="4" t="n">
        <x:v>17237220</x:v>
      </x:c>
      <x:c r="P6" s="4" t="n">
        <x:v>19622680</x:v>
      </x:c>
      <x:c r="Q6" s="4" t="n">
        <x:v>217086100</x:v>
      </x:c>
    </x:row>
    <x:row r="7">
      <x:c r="A7" t="str">
        <x:v>ADMINISTRATION</x:v>
      </x:c>
      <x:c r="B7" t="str">
        <x:v>Salaires administratifs</x:v>
      </x:c>
      <x:c r="C7" t="str">
        <x:v>FORT DAUPHIN</x:v>
      </x:c>
      <x:c r="D7" t="str">
        <x:v>MGA</x:v>
      </x:c>
      <x:c r="E7" s="4" t="n">
        <x:v>52281460</x:v>
      </x:c>
      <x:c r="F7" s="4" t="n">
        <x:v>49298480</x:v>
      </x:c>
      <x:c r="G7" s="4" t="n">
        <x:v>54565280</x:v>
      </x:c>
      <x:c r="H7" s="4" t="n">
        <x:v>50183980</x:v>
      </x:c>
      <x:c r="I7" s="4" t="n">
        <x:v>50384950</x:v>
      </x:c>
      <x:c r="J7" s="4" t="n">
        <x:v>47910170</x:v>
      </x:c>
      <x:c r="K7" s="4" t="n">
        <x:v>53089190</x:v>
      </x:c>
      <x:c r="L7" s="4" t="n">
        <x:v>53136930</x:v>
      </x:c>
      <x:c r="M7" s="4" t="n">
        <x:v>50604400</x:v>
      </x:c>
      <x:c r="N7" s="4" t="n">
        <x:v>48052620</x:v>
      </x:c>
      <x:c r="O7" s="4" t="n">
        <x:v>50652910</x:v>
      </x:c>
      <x:c r="P7" s="4" t="n">
        <x:v>54204920</x:v>
      </x:c>
      <x:c r="Q7" s="4" t="n">
        <x:v>614365290</x:v>
      </x:c>
    </x:row>
    <x:row r="8">
      <x:c r="A8" t="str">
        <x:v>ADMINISTRATION</x:v>
      </x:c>
      <x:c r="B8" t="str">
        <x:v>Télécommunications / Internet</x:v>
      </x:c>
      <x:c r="C8" t="str">
        <x:v>FORT DAUPHIN</x:v>
      </x:c>
      <x:c r="D8" t="str">
        <x:v>MGA</x:v>
      </x:c>
      <x:c r="E8" s="4" t="n">
        <x:v>6165390</x:v>
      </x:c>
      <x:c r="F8" s="4" t="n">
        <x:v>5364590</x:v>
      </x:c>
      <x:c r="G8" s="4" t="n">
        <x:v>6431810</x:v>
      </x:c>
      <x:c r="H8" s="4" t="n">
        <x:v>6247010</x:v>
      </x:c>
      <x:c r="I8" s="4" t="n">
        <x:v>5848150</x:v>
      </x:c>
      <x:c r="J8" s="4" t="n">
        <x:v>6502650</x:v>
      </x:c>
      <x:c r="K8" s="4" t="n">
        <x:v>5225990</x:v>
      </x:c>
      <x:c r="L8" s="4" t="n">
        <x:v>5779620</x:v>
      </x:c>
      <x:c r="M8" s="4" t="n">
        <x:v>5462380</x:v>
      </x:c>
      <x:c r="N8" s="4" t="n">
        <x:v>5159770</x:v>
      </x:c>
      <x:c r="O8" s="4" t="n">
        <x:v>5370750</x:v>
      </x:c>
      <x:c r="P8" s="4" t="n">
        <x:v>5274500</x:v>
      </x:c>
      <x:c r="Q8" s="4" t="n">
        <x:v>68832610</x:v>
      </x:c>
    </x:row>
    <x:row r="9">
      <x:c r="A9" t="str">
        <x:v>ADMINISTRATION</x:v>
      </x:c>
      <x:c r="B9" t="str">
        <x:v>Assurances</x:v>
      </x:c>
      <x:c r="C9" t="str">
        <x:v>FORT DAUPHIN</x:v>
      </x:c>
      <x:c r="D9" t="str">
        <x:v>MGA</x:v>
      </x:c>
      <x:c r="E9" s="4" t="n">
        <x:v>9718170</x:v>
      </x:c>
      <x:c r="F9" s="4" t="n">
        <x:v>9940700</x:v>
      </x:c>
      <x:c r="G9" s="4" t="n">
        <x:v>10686060</x:v>
      </x:c>
      <x:c r="H9" s="4" t="n">
        <x:v>11075680</x:v>
      </x:c>
      <x:c r="I9" s="4" t="n">
        <x:v>9121420</x:v>
      </x:c>
      <x:c r="J9" s="4" t="n">
        <x:v>10946320</x:v>
      </x:c>
      <x:c r="K9" s="4" t="n">
        <x:v>9935310</x:v>
      </x:c>
      <x:c r="L9" s="4" t="n">
        <x:v>8826510</x:v>
      </x:c>
      <x:c r="M9" s="4" t="n">
        <x:v>10494330</x:v>
      </x:c>
      <x:c r="N9" s="4" t="n">
        <x:v>10883950</x:v>
      </x:c>
      <x:c r="O9" s="4" t="n">
        <x:v>10112410</x:v>
      </x:c>
      <x:c r="P9" s="4" t="n">
        <x:v>10597510</x:v>
      </x:c>
      <x:c r="Q9" s="4" t="n">
        <x:v>122338370</x:v>
      </x:c>
    </x:row>
    <x:row r="10">
      <x:c r="A10" t="str">
        <x:v>ADMINISTRATION</x:v>
      </x:c>
      <x:c r="B10" t="str">
        <x:v>Honoraires et conseil</x:v>
      </x:c>
      <x:c r="C10" t="str">
        <x:v>FORT DAUPHIN</x:v>
      </x:c>
      <x:c r="D10" t="str">
        <x:v>MGA</x:v>
      </x:c>
      <x:c r="E10" s="4" t="n">
        <x:v>13228600</x:v>
      </x:c>
      <x:c r="F10" s="4" t="n">
        <x:v>11465300</x:v>
      </x:c>
      <x:c r="G10" s="4" t="n">
        <x:v>13415710</x:v>
      </x:c>
      <x:c r="H10" s="4" t="n">
        <x:v>12407780</x:v>
      </x:c>
      <x:c r="I10" s="4" t="n">
        <x:v>12934460</x:v>
      </x:c>
      <x:c r="J10" s="4" t="n">
        <x:v>13793010</x:v>
      </x:c>
      <x:c r="K10" s="4" t="n">
        <x:v>12366970</x:v>
      </x:c>
      <x:c r="L10" s="4" t="n">
        <x:v>12062050</x:v>
      </x:c>
      <x:c r="M10" s="4" t="n">
        <x:v>12236070</x:v>
      </x:c>
      <x:c r="N10" s="4" t="n">
        <x:v>11522280</x:v>
      </x:c>
      <x:c r="O10" s="4" t="n">
        <x:v>10977890</x:v>
      </x:c>
      <x:c r="P10" s="4" t="n">
        <x:v>12994520</x:v>
      </x:c>
      <x:c r="Q10" s="4" t="n">
        <x:v>149404640</x:v>
      </x:c>
    </x:row>
    <x:row r="11">
      <x:c r="A11" t="str">
        <x:v>LOGISTIQUE</x:v>
      </x:c>
      <x:c r="B11" t="str">
        <x:v>Transport interne</x:v>
      </x:c>
      <x:c r="C11" t="str">
        <x:v>FORT DAUPHIN</x:v>
      </x:c>
      <x:c r="D11" t="str">
        <x:v>MGA</x:v>
      </x:c>
      <x:c r="E11" s="4" t="n">
        <x:v>29032080</x:v>
      </x:c>
      <x:c r="F11" s="4" t="n">
        <x:v>30576700</x:v>
      </x:c>
      <x:c r="G11" s="4" t="n">
        <x:v>29592640</x:v>
      </x:c>
      <x:c r="H11" s="4" t="n">
        <x:v>26303200</x:v>
      </x:c>
      <x:c r="I11" s="4" t="n">
        <x:v>27709220</x:v>
      </x:c>
      <x:c r="J11" s="4" t="n">
        <x:v>31649310</x:v>
      </x:c>
      <x:c r="K11" s="4" t="n">
        <x:v>26604270</x:v>
      </x:c>
      <x:c r="L11" s="4" t="n">
        <x:v>30344160</x:v>
      </x:c>
      <x:c r="M11" s="4" t="n">
        <x:v>29665790</x:v>
      </x:c>
      <x:c r="N11" s="4" t="n">
        <x:v>28391440</x:v>
      </x:c>
      <x:c r="O11" s="4" t="n">
        <x:v>28142730</x:v>
      </x:c>
      <x:c r="P11" s="4" t="n">
        <x:v>31546900</x:v>
      </x:c>
      <x:c r="Q11" s="4" t="n">
        <x:v>349558440</x:v>
      </x:c>
    </x:row>
    <x:row r="12">
      <x:c r="A12" t="str">
        <x:v>LOGISTIQUE</x:v>
      </x:c>
      <x:c r="B12" t="str">
        <x:v>Magasinage / manutention</x:v>
      </x:c>
      <x:c r="C12" t="str">
        <x:v>FORT DAUPHIN</x:v>
      </x:c>
      <x:c r="D12" t="str">
        <x:v>MGA</x:v>
      </x:c>
      <x:c r="E12" s="4" t="n">
        <x:v>17486700</x:v>
      </x:c>
      <x:c r="F12" s="4" t="n">
        <x:v>16920750</x:v>
      </x:c>
      <x:c r="G12" s="4" t="n">
        <x:v>18073440</x:v>
      </x:c>
      <x:c r="H12" s="4" t="n">
        <x:v>18255160</x:v>
      </x:c>
      <x:c r="I12" s="4" t="n">
        <x:v>18312140</x:v>
      </x:c>
      <x:c r="J12" s="4" t="n">
        <x:v>16068360</x:v>
      </x:c>
      <x:c r="K12" s="4" t="n">
        <x:v>16631230</x:v>
      </x:c>
      <x:c r="L12" s="4" t="n">
        <x:v>18399920</x:v>
      </x:c>
      <x:c r="M12" s="4" t="n">
        <x:v>17027010</x:v>
      </x:c>
      <x:c r="N12" s="4" t="n">
        <x:v>15996750</x:v>
      </x:c>
      <x:c r="O12" s="4" t="n">
        <x:v>15380750</x:v>
      </x:c>
      <x:c r="P12" s="4" t="n">
        <x:v>15965180</x:v>
      </x:c>
      <x:c r="Q12" s="4" t="n">
        <x:v>204517390</x:v>
      </x:c>
    </x:row>
    <x:row r="13">
      <x:c r="A13" t="str">
        <x:v>FISCAL</x:v>
      </x:c>
      <x:c r="B13" t="str">
        <x:v>Impôts et taxes</x:v>
      </x:c>
      <x:c r="C13" t="str">
        <x:v>FORT DAUPHIN</x:v>
      </x:c>
      <x:c r="D13" t="str">
        <x:v>MGA</x:v>
      </x:c>
      <x:c r="E13" s="4" t="n">
        <x:v>21021770</x:v>
      </x:c>
      <x:c r="F13" s="4" t="n">
        <x:v>23114630</x:v>
      </x:c>
      <x:c r="G13" s="4" t="n">
        <x:v>21988890</x:v>
      </x:c>
      <x:c r="H13" s="4" t="n">
        <x:v>20524350</x:v>
      </x:c>
      <x:c r="I13" s="4" t="n">
        <x:v>22211420</x:v>
      </x:c>
      <x:c r="J13" s="4" t="n">
        <x:v>19276950</x:v>
      </x:c>
      <x:c r="K13" s="4" t="n">
        <x:v>22463980</x:v>
      </x:c>
      <x:c r="L13" s="4" t="n">
        <x:v>19698140</x:v>
      </x:c>
      <x:c r="M13" s="4" t="n">
        <x:v>18851910</x:v>
      </x:c>
      <x:c r="N13" s="4" t="n">
        <x:v>19140660</x:v>
      </x:c>
      <x:c r="O13" s="4" t="n">
        <x:v>19487160</x:v>
      </x:c>
      <x:c r="P13" s="4" t="n">
        <x:v>22945230</x:v>
      </x:c>
      <x:c r="Q13" s="4" t="n">
        <x:v>250725090</x:v>
      </x:c>
    </x:row>
    <x:row r="14">
      <x:c r="A14" t="str">
        <x:v>FINANCE</x:v>
      </x:c>
      <x:c r="B14" t="str">
        <x:v>Frais bancaires</x:v>
      </x:c>
      <x:c r="C14" t="str">
        <x:v>FORT DAUPHIN</x:v>
      </x:c>
      <x:c r="D14" t="str">
        <x:v>MGA</x:v>
      </x:c>
      <x:c r="E14" s="4" t="n">
        <x:v>8032640</x:v>
      </x:c>
      <x:c r="F14" s="4" t="n">
        <x:v>7614530</x:v>
      </x:c>
      <x:c r="G14" s="4" t="n">
        <x:v>9497950</x:v>
      </x:c>
      <x:c r="H14" s="4" t="n">
        <x:v>9240000</x:v>
      </x:c>
      <x:c r="I14" s="4" t="n">
        <x:v>7983360</x:v>
      </x:c>
      <x:c r="J14" s="4" t="n">
        <x:v>9360120</x:v>
      </x:c>
      <x:c r="K14" s="4" t="n">
        <x:v>9524900</x:v>
      </x:c>
      <x:c r="L14" s="4" t="n">
        <x:v>7629160</x:v>
      </x:c>
      <x:c r="M14" s="4" t="n">
        <x:v>8237460</x:v>
      </x:c>
      <x:c r="N14" s="4" t="n">
        <x:v>7813960</x:v>
      </x:c>
      <x:c r="O14" s="4" t="n">
        <x:v>8216670</x:v>
      </x:c>
      <x:c r="P14" s="4" t="n">
        <x:v>9113720</x:v>
      </x:c>
      <x:c r="Q14" s="4" t="n">
        <x:v>102264470</x:v>
      </x:c>
    </x:row>
    <x:row r="15">
      <x:c r="A15" t="str">
        <x:v>SECURITE</x:v>
      </x:c>
      <x:c r="B15" t="str">
        <x:v>Gardiennage / sécurité</x:v>
      </x:c>
      <x:c r="C15" t="str">
        <x:v>AMPANDRANDAVA</x:v>
      </x:c>
      <x:c r="D15" t="str">
        <x:v>MGA</x:v>
      </x:c>
      <x:c r="E15" s="4" t="n">
        <x:v>12497870</x:v>
      </x:c>
      <x:c r="F15" s="4" t="n">
        <x:v>11829510</x:v>
      </x:c>
      <x:c r="G15" s="4" t="n">
        <x:v>12356190</x:v>
      </x:c>
      <x:c r="H15" s="4" t="n">
        <x:v>11414480</x:v>
      </x:c>
      <x:c r="I15" s="4" t="n">
        <x:v>11957330</x:v>
      </x:c>
      <x:c r="J15" s="4" t="n">
        <x:v>10864700</x:v>
      </x:c>
      <x:c r="K15" s="4" t="n">
        <x:v>10267950</x:v>
      </x:c>
      <x:c r="L15" s="4" t="n">
        <x:v>12391610</x:v>
      </x:c>
      <x:c r="M15" s="4" t="n">
        <x:v>12367740</x:v>
      </x:c>
      <x:c r="N15" s="4" t="n">
        <x:v>11181170</x:v>
      </x:c>
      <x:c r="O15" s="4" t="n">
        <x:v>11742500</x:v>
      </x:c>
      <x:c r="P15" s="4" t="n">
        <x:v>11493790</x:v>
      </x:c>
      <x:c r="Q15" s="4" t="n">
        <x:v>140364840</x:v>
      </x:c>
    </x:row>
    <x:row r="16">
      <x:c r="A16" s="89"/>
      <x:c r="B16" s="89"/>
      <x:c r="C16" s="89"/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  <x:c r="O16" s="89"/>
      <x:c r="P16" s="89"/>
      <x:c r="Q16" s="89"/>
    </x:row>
    <x:row r="17">
      <x:c r="A17" s="89"/>
      <x:c r="B17" s="89"/>
      <x:c r="C17" s="89"/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  <x:c r="O17" s="89"/>
      <x:c r="P17" s="89"/>
      <x:c r="Q17" s="89"/>
    </x:row>
    <x:row r="18">
      <x:c r="A18" s="89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  <x:c r="O18" s="89"/>
      <x:c r="P18" s="89"/>
      <x:c r="Q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 s="89"/>
      <x:c r="P19" s="89"/>
      <x:c r="Q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 s="89"/>
      <x:c r="P20" s="89"/>
      <x:c r="Q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 s="89"/>
      <x:c r="P21" s="89"/>
      <x:c r="Q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 s="89"/>
      <x:c r="P22" s="89"/>
      <x:c r="Q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 s="89"/>
      <x:c r="P23" s="89"/>
      <x:c r="Q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 s="89"/>
      <x:c r="P24" s="89"/>
      <x:c r="Q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 s="89"/>
      <x:c r="P25" s="89"/>
      <x:c r="Q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 s="89"/>
      <x:c r="P26" s="89"/>
      <x:c r="Q26" s="89"/>
    </x:row>
    <x:row r="27">
      <x:c r="A27" s="92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12" customWidth="1"/>
    <x:col min="2" max="2" width="26" customWidth="1"/>
    <x:col min="3" max="3" width="15" customWidth="1"/>
    <x:col min="4" max="4" width="10" customWidth="1"/>
    <x:col min="5" max="5" width="24" customWidth="1"/>
    <x:col min="6" max="6" width="10" customWidth="1"/>
    <x:col min="7" max="18" width="13" customWidth="1"/>
    <x:col min="19" max="19" width="16" customWidth="1"/>
  </x:cols>
  <x:sheetData>
    <x:row r="1" ht="40" customHeight="1">
      <x:c r="A1" s="40" t="str">
        <x:v>SOMIDA — TABLEAU DE BORD DES EXPORTATIONS 2019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</x:row>
    <x:row r="2" ht="29.25" customHeight="1">
      <x:c r="A2" s="41" t="s">
        <x:v>64</x:v>
      </x:c>
      <x:c r="B2" s="41"/>
      <x:c r="C2" s="41"/>
      <x:c r="D2" s="41"/>
      <x:c r="E2" s="41"/>
      <x:c r="F2" s="41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</x:row>
    <x:row r="3"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</x:row>
    <x:row r="4" ht="34.75" customHeight="1">
      <x:c r="A4" s="43" t="s">
        <x:v>65</x:v>
      </x:c>
      <x:c r="B4" s="43"/>
      <x:c r="C4" s="43"/>
      <x:c r="D4" s="43" t="s">
        <x:v>66</x:v>
      </x:c>
      <x:c r="E4" s="43"/>
      <x:c r="F4" s="43"/>
      <x:c r="G4" s="44" t="s">
        <x:v>67</x:v>
      </x:c>
      <x:c r="H4" s="44"/>
      <x:c r="I4" s="44"/>
      <x:c r="J4" s="44" t="s">
        <x:v>68</x:v>
      </x:c>
      <x:c r="K4" s="44"/>
      <x:c r="L4" s="44"/>
      <x:c r="M4" s="44" t="s">
        <x:v>69</x:v>
      </x:c>
      <x:c r="N4" s="44"/>
      <x:c r="O4" s="44"/>
      <x:c r="P4" s="44" t="s">
        <x:v>70</x:v>
      </x:c>
      <x:c r="Q4" s="44"/>
      <x:c r="R4" s="44"/>
      <x:c r="S4" s="44"/>
    </x:row>
    <x:row r="5" ht="37.25" customHeight="1">
      <x:c r="A5" s="37" t="n">
        <x:f>SUMIF($E$10:$E$54,"Quantité exportée",$S$10:$S$54)</x:f>
        <x:v>3094.92</x:v>
      </x:c>
      <x:c r="B5" s="38"/>
      <x:c r="C5" s="38"/>
      <x:c r="D5" s="39" t="n">
        <x:f>SUMIF($E$10:$E$54,"Chiffre d'affaires MGA",$S$10:$S$54)</x:f>
        <x:v>16055910530</x:v>
      </x:c>
      <x:c r="E5" s="38"/>
      <x:c r="F5" s="38"/>
      <x:c r="G5" s="39" t="n">
        <x:f>SUMIFS($S$10:$S$54,$A$10:$A$54,"Japon",$E$10:$E$54,"Chiffre d'affaires MGA")</x:f>
        <x:v>5951042845</x:v>
      </x:c>
      <x:c r="H5" s="34"/>
      <x:c r="I5" s="34"/>
      <x:c r="J5" s="39" t="n">
        <x:f>SUMIFS($S$10:$S$54,$A$10:$A$54,"Russie",$E$10:$E$54,"Chiffre d'affaires MGA")</x:f>
        <x:v>5086859365</x:v>
      </x:c>
      <x:c r="K5" s="34"/>
      <x:c r="L5" s="34"/>
      <x:c r="M5" s="39" t="n">
        <x:f>SUMIFS($S$10:$S$54,$A$10:$A$54,"Chine",$E$10:$E$54,"Chiffre d'affaires MGA")</x:f>
        <x:v>5018008320</x:v>
      </x:c>
      <x:c r="N5" s="34"/>
      <x:c r="O5" s="34"/>
      <x:c r="P5" s="34" t="s">
        <x:v>71</x:v>
      </x:c>
      <x:c r="Q5" s="34"/>
      <x:c r="R5" s="34"/>
      <x:c r="S5" s="34"/>
    </x:row>
    <x:row r="6"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</x:row>
    <x:row r="7" ht="29.25" customHeight="1">
      <x:c r="A7" s="35" t="s">
        <x:v>72</x:v>
      </x:c>
      <x:c r="B7" s="35"/>
      <x:c r="C7" s="35"/>
      <x:c r="D7" s="35"/>
      <x:c r="E7" s="35"/>
      <x:c r="F7" s="35"/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</x:row>
    <x:row r="8"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</x:row>
    <x:row r="9" ht="45.25" customHeight="1">
      <x:c r="A9" s="7" t="s">
        <x:v>23</x:v>
      </x:c>
      <x:c r="B9" s="7" t="s">
        <x:v>24</x:v>
      </x:c>
      <x:c r="C9" s="7" t="s">
        <x:v>43</x:v>
      </x:c>
      <x:c r="D9" s="7" t="s">
        <x:v>25</x:v>
      </x:c>
      <x:c r="E9" s="7" t="s">
        <x:v>73</x:v>
      </x:c>
      <x:c r="F9" s="7" t="s">
        <x:v>44</x:v>
      </x:c>
      <x:c r="G9" s="23" t="s">
        <x:v>45</x:v>
      </x:c>
      <x:c r="H9" s="23" t="s">
        <x:v>46</x:v>
      </x:c>
      <x:c r="I9" s="23" t="s">
        <x:v>47</x:v>
      </x:c>
      <x:c r="J9" s="23" t="s">
        <x:v>48</x:v>
      </x:c>
      <x:c r="K9" s="23" t="s">
        <x:v>49</x:v>
      </x:c>
      <x:c r="L9" s="23" t="s">
        <x:v>50</x:v>
      </x:c>
      <x:c r="M9" s="23" t="s">
        <x:v>51</x:v>
      </x:c>
      <x:c r="N9" s="23" t="s">
        <x:v>52</x:v>
      </x:c>
      <x:c r="O9" s="23" t="s">
        <x:v>53</x:v>
      </x:c>
      <x:c r="P9" s="23" t="s">
        <x:v>54</x:v>
      </x:c>
      <x:c r="Q9" s="23" t="s">
        <x:v>55</x:v>
      </x:c>
      <x:c r="R9" s="23" t="s">
        <x:v>56</x:v>
      </x:c>
      <x:c r="S9" s="23" t="s">
        <x:v>57</x:v>
      </x:c>
    </x:row>
    <x:row r="10">
      <x:c r="A10" s="8" t="s">
        <x:v>27</x:v>
      </x:c>
      <x:c r="B10" s="8" t="s">
        <x:v>28</x:v>
      </x:c>
      <x:c r="C10" s="9" t="s">
        <x:v>58</x:v>
      </x:c>
      <x:c r="D10" s="9" t="s">
        <x:v>29</x:v>
      </x:c>
      <x:c r="E10" s="9" t="s">
        <x:v>74</x:v>
      </x:c>
      <x:c r="F10" s="9" t="s">
        <x:v>59</x:v>
      </x:c>
      <x:c r="G10" s="24">
        <x:v>26.98</x:v>
      </x:c>
      <x:c r="H10" s="24">
        <x:v>20.36</x:v>
      </x:c>
      <x:c r="I10" s="24">
        <x:v>16.55</x:v>
      </x:c>
      <x:c r="J10" s="24">
        <x:v>18.41</x:v>
      </x:c>
      <x:c r="K10" s="24">
        <x:v>16.68</x:v>
      </x:c>
      <x:c r="L10" s="24">
        <x:v>25.44</x:v>
      </x:c>
      <x:c r="M10" s="24">
        <x:v>21.5</x:v>
      </x:c>
      <x:c r="N10" s="24">
        <x:v>25.5</x:v>
      </x:c>
      <x:c r="O10" s="24">
        <x:v>16.899999999999999</x:v>
      </x:c>
      <x:c r="P10" s="24">
        <x:v>15.88</x:v>
      </x:c>
      <x:c r="Q10" s="24">
        <x:v>16.829999999999998</x:v>
      </x:c>
      <x:c r="R10" s="24">
        <x:v>25.95</x:v>
      </x:c>
      <x:c r="S10" s="24">
        <x:v>246.98</x:v>
      </x:c>
    </x:row>
    <x:row r="11">
      <x:c r="A11" s="10" t="s">
        <x:v>27</x:v>
      </x:c>
      <x:c r="B11" s="10" t="s">
        <x:v>28</x:v>
      </x:c>
      <x:c r="C11" s="11" t="s">
        <x:v>58</x:v>
      </x:c>
      <x:c r="D11" s="11" t="s">
        <x:v>29</x:v>
      </x:c>
      <x:c r="E11" s="11" t="s">
        <x:v>75</x:v>
      </x:c>
      <x:c r="F11" s="11" t="s">
        <x:v>29</x:v>
      </x:c>
      <x:c r="G11" s="25">
        <x:v>4991300</x:v>
      </x:c>
      <x:c r="H11" s="25">
        <x:v>3766600</x:v>
      </x:c>
      <x:c r="I11" s="25">
        <x:v>3061750</x:v>
      </x:c>
      <x:c r="J11" s="25">
        <x:v>3405850</x:v>
      </x:c>
      <x:c r="K11" s="25">
        <x:v>3085800</x:v>
      </x:c>
      <x:c r="L11" s="25">
        <x:v>4706400</x:v>
      </x:c>
      <x:c r="M11" s="25">
        <x:v>3977500</x:v>
      </x:c>
      <x:c r="N11" s="25">
        <x:v>4717500</x:v>
      </x:c>
      <x:c r="O11" s="25">
        <x:v>3126500</x:v>
      </x:c>
      <x:c r="P11" s="25">
        <x:v>2937800</x:v>
      </x:c>
      <x:c r="Q11" s="25">
        <x:v>3113550</x:v>
      </x:c>
      <x:c r="R11" s="25">
        <x:v>4800750</x:v>
      </x:c>
      <x:c r="S11" s="25">
        <x:v>45691300</x:v>
      </x:c>
    </x:row>
    <x:row r="12">
      <x:c r="A12" s="12" t="s">
        <x:v>27</x:v>
      </x:c>
      <x:c r="B12" s="12" t="s">
        <x:v>28</x:v>
      </x:c>
      <x:c r="C12" s="12" t="s">
        <x:v>58</x:v>
      </x:c>
      <x:c r="D12" s="12" t="s">
        <x:v>29</x:v>
      </x:c>
      <x:c r="E12" s="12" t="s">
        <x:v>76</x:v>
      </x:c>
      <x:c r="F12" s="12" t="s">
        <x:v>77</x:v>
      </x:c>
      <x:c r="G12" s="26" t="n">
        <x:f>IF($D12="USD",G11*'Donnees SOMIDA'!$B$5,IF($D12="JPY",G11*'Donnees SOMIDA'!$B$6,0))</x:f>
        <x:v>167208550</x:v>
      </x:c>
      <x:c r="H12" s="26" t="n">
        <x:f>IF($D12="USD",H11*'Donnees SOMIDA'!$B$5,IF($D12="JPY",H11*'Donnees SOMIDA'!$B$6,0))</x:f>
        <x:v>126181100</x:v>
      </x:c>
      <x:c r="I12" s="26" t="n">
        <x:f>IF($D12="USD",I11*'Donnees SOMIDA'!$B$5,IF($D12="JPY",I11*'Donnees SOMIDA'!$B$6,0))</x:f>
        <x:v>102568625</x:v>
      </x:c>
      <x:c r="J12" s="26" t="n">
        <x:f>IF($D12="USD",J11*'Donnees SOMIDA'!$B$5,IF($D12="JPY",J11*'Donnees SOMIDA'!$B$6,0))</x:f>
        <x:v>114095975</x:v>
      </x:c>
      <x:c r="K12" s="26" t="n">
        <x:f>IF($D12="USD",K11*'Donnees SOMIDA'!$B$5,IF($D12="JPY",K11*'Donnees SOMIDA'!$B$6,0))</x:f>
        <x:v>103374300</x:v>
      </x:c>
      <x:c r="L12" s="26" t="n">
        <x:f>IF($D12="USD",L11*'Donnees SOMIDA'!$B$5,IF($D12="JPY",L11*'Donnees SOMIDA'!$B$6,0))</x:f>
        <x:v>157664400</x:v>
      </x:c>
      <x:c r="M12" s="26" t="n">
        <x:f>IF($D12="USD",M11*'Donnees SOMIDA'!$B$5,IF($D12="JPY",M11*'Donnees SOMIDA'!$B$6,0))</x:f>
        <x:v>133246250</x:v>
      </x:c>
      <x:c r="N12" s="26" t="n">
        <x:f>IF($D12="USD",N11*'Donnees SOMIDA'!$B$5,IF($D12="JPY",N11*'Donnees SOMIDA'!$B$6,0))</x:f>
        <x:v>158036250</x:v>
      </x:c>
      <x:c r="O12" s="26" t="n">
        <x:f>IF($D12="USD",O11*'Donnees SOMIDA'!$B$5,IF($D12="JPY",O11*'Donnees SOMIDA'!$B$6,0))</x:f>
        <x:v>104737750</x:v>
      </x:c>
      <x:c r="P12" s="26" t="n">
        <x:f>IF($D12="USD",P11*'Donnees SOMIDA'!$B$5,IF($D12="JPY",P11*'Donnees SOMIDA'!$B$6,0))</x:f>
        <x:v>98416300</x:v>
      </x:c>
      <x:c r="Q12" s="26" t="n">
        <x:f>IF($D12="USD",Q11*'Donnees SOMIDA'!$B$5,IF($D12="JPY",Q11*'Donnees SOMIDA'!$B$6,0))</x:f>
        <x:v>104303925</x:v>
      </x:c>
      <x:c r="R12" s="26" t="n">
        <x:f>IF($D12="USD",R11*'Donnees SOMIDA'!$B$5,IF($D12="JPY",R11*'Donnees SOMIDA'!$B$6,0))</x:f>
        <x:v>160825125</x:v>
      </x:c>
      <x:c r="S12" s="26" t="n">
        <x:f>SUM(G12:R12)</x:f>
        <x:v>1530658550</x:v>
      </x:c>
    </x:row>
    <x:row r="13">
      <x:c r="A13" s="10" t="s">
        <x:v>27</x:v>
      </x:c>
      <x:c r="B13" s="10" t="s">
        <x:v>28</x:v>
      </x:c>
      <x:c r="C13" s="11" t="s">
        <x:v>60</x:v>
      </x:c>
      <x:c r="D13" s="11" t="s">
        <x:v>29</x:v>
      </x:c>
      <x:c r="E13" s="11" t="s">
        <x:v>74</x:v>
      </x:c>
      <x:c r="F13" s="11" t="s">
        <x:v>59</x:v>
      </x:c>
      <x:c r="G13" s="25">
        <x:v>18.23</x:v>
      </x:c>
      <x:c r="H13" s="25">
        <x:v>14.24</x:v>
      </x:c>
      <x:c r="I13" s="25">
        <x:v>18.920000000000002</x:v>
      </x:c>
      <x:c r="J13" s="25">
        <x:v>14.44</x:v>
      </x:c>
      <x:c r="K13" s="25">
        <x:v>20.13</x:v>
      </x:c>
      <x:c r="L13" s="25">
        <x:v>21.29</x:v>
      </x:c>
      <x:c r="M13" s="25">
        <x:v>17.77</x:v>
      </x:c>
      <x:c r="N13" s="25">
        <x:v>19.57</x:v>
      </x:c>
      <x:c r="O13" s="25">
        <x:v>16.22</x:v>
      </x:c>
      <x:c r="P13" s="25">
        <x:v>17.27</x:v>
      </x:c>
      <x:c r="Q13" s="25">
        <x:v>15.9</x:v>
      </x:c>
      <x:c r="R13" s="25">
        <x:v>14.77</x:v>
      </x:c>
      <x:c r="S13" s="25">
        <x:v>208.75</x:v>
      </x:c>
    </x:row>
    <x:row r="14">
      <x:c r="A14" s="10" t="s">
        <x:v>27</x:v>
      </x:c>
      <x:c r="B14" s="10" t="s">
        <x:v>28</x:v>
      </x:c>
      <x:c r="C14" s="11" t="s">
        <x:v>60</x:v>
      </x:c>
      <x:c r="D14" s="11" t="s">
        <x:v>29</x:v>
      </x:c>
      <x:c r="E14" s="11" t="s">
        <x:v>75</x:v>
      </x:c>
      <x:c r="F14" s="11" t="s">
        <x:v>29</x:v>
      </x:c>
      <x:c r="G14" s="25">
        <x:v>3117330</x:v>
      </x:c>
      <x:c r="H14" s="25">
        <x:v>2435040</x:v>
      </x:c>
      <x:c r="I14" s="25">
        <x:v>3235320</x:v>
      </x:c>
      <x:c r="J14" s="25">
        <x:v>2469240</x:v>
      </x:c>
      <x:c r="K14" s="25">
        <x:v>3442230</x:v>
      </x:c>
      <x:c r="L14" s="25">
        <x:v>3640590</x:v>
      </x:c>
      <x:c r="M14" s="25">
        <x:v>3038670</x:v>
      </x:c>
      <x:c r="N14" s="25">
        <x:v>3346470</x:v>
      </x:c>
      <x:c r="O14" s="25">
        <x:v>2773620</x:v>
      </x:c>
      <x:c r="P14" s="25">
        <x:v>2953170</x:v>
      </x:c>
      <x:c r="Q14" s="25">
        <x:v>2718900</x:v>
      </x:c>
      <x:c r="R14" s="25">
        <x:v>2525670</x:v>
      </x:c>
      <x:c r="S14" s="25">
        <x:v>35696250</x:v>
      </x:c>
    </x:row>
    <x:row r="15">
      <x:c r="A15" s="12" t="s">
        <x:v>27</x:v>
      </x:c>
      <x:c r="B15" s="12" t="s">
        <x:v>28</x:v>
      </x:c>
      <x:c r="C15" s="12" t="s">
        <x:v>60</x:v>
      </x:c>
      <x:c r="D15" s="12" t="s">
        <x:v>29</x:v>
      </x:c>
      <x:c r="E15" s="12" t="s">
        <x:v>76</x:v>
      </x:c>
      <x:c r="F15" s="12" t="s">
        <x:v>77</x:v>
      </x:c>
      <x:c r="G15" s="26" t="n">
        <x:f>IF($D15="USD",G14*'Donnees SOMIDA'!$B$5,IF($D15="JPY",G14*'Donnees SOMIDA'!$B$6,0))</x:f>
        <x:v>104430555</x:v>
      </x:c>
      <x:c r="H15" s="26" t="n">
        <x:f>IF($D15="USD",H14*'Donnees SOMIDA'!$B$5,IF($D15="JPY",H14*'Donnees SOMIDA'!$B$6,0))</x:f>
        <x:v>81573840</x:v>
      </x:c>
      <x:c r="I15" s="26" t="n">
        <x:f>IF($D15="USD",I14*'Donnees SOMIDA'!$B$5,IF($D15="JPY",I14*'Donnees SOMIDA'!$B$6,0))</x:f>
        <x:v>108383220</x:v>
      </x:c>
      <x:c r="J15" s="26" t="n">
        <x:f>IF($D15="USD",J14*'Donnees SOMIDA'!$B$5,IF($D15="JPY",J14*'Donnees SOMIDA'!$B$6,0))</x:f>
        <x:v>82719540</x:v>
      </x:c>
      <x:c r="K15" s="26" t="n">
        <x:f>IF($D15="USD",K14*'Donnees SOMIDA'!$B$5,IF($D15="JPY",K14*'Donnees SOMIDA'!$B$6,0))</x:f>
        <x:v>115314705</x:v>
      </x:c>
      <x:c r="L15" s="26" t="n">
        <x:f>IF($D15="USD",L14*'Donnees SOMIDA'!$B$5,IF($D15="JPY",L14*'Donnees SOMIDA'!$B$6,0))</x:f>
        <x:v>121959765</x:v>
      </x:c>
      <x:c r="M15" s="26" t="n">
        <x:f>IF($D15="USD",M14*'Donnees SOMIDA'!$B$5,IF($D15="JPY",M14*'Donnees SOMIDA'!$B$6,0))</x:f>
        <x:v>101795445</x:v>
      </x:c>
      <x:c r="N15" s="26" t="n">
        <x:f>IF($D15="USD",N14*'Donnees SOMIDA'!$B$5,IF($D15="JPY",N14*'Donnees SOMIDA'!$B$6,0))</x:f>
        <x:v>112106745</x:v>
      </x:c>
      <x:c r="O15" s="26" t="n">
        <x:f>IF($D15="USD",O14*'Donnees SOMIDA'!$B$5,IF($D15="JPY",O14*'Donnees SOMIDA'!$B$6,0))</x:f>
        <x:v>92916270</x:v>
      </x:c>
      <x:c r="P15" s="26" t="n">
        <x:f>IF($D15="USD",P14*'Donnees SOMIDA'!$B$5,IF($D15="JPY",P14*'Donnees SOMIDA'!$B$6,0))</x:f>
        <x:v>98931195</x:v>
      </x:c>
      <x:c r="Q15" s="26" t="n">
        <x:f>IF($D15="USD",Q14*'Donnees SOMIDA'!$B$5,IF($D15="JPY",Q14*'Donnees SOMIDA'!$B$6,0))</x:f>
        <x:v>91083150</x:v>
      </x:c>
      <x:c r="R15" s="26" t="n">
        <x:f>IF($D15="USD",R14*'Donnees SOMIDA'!$B$5,IF($D15="JPY",R14*'Donnees SOMIDA'!$B$6,0))</x:f>
        <x:v>84609945</x:v>
      </x:c>
      <x:c r="S15" s="26" t="n">
        <x:f>SUM(G15:R15)</x:f>
        <x:v>1195824375</x:v>
      </x:c>
    </x:row>
    <x:row r="16">
      <x:c r="A16" s="10" t="s">
        <x:v>27</x:v>
      </x:c>
      <x:c r="B16" s="10" t="s">
        <x:v>28</x:v>
      </x:c>
      <x:c r="C16" s="11" t="s">
        <x:v>61</x:v>
      </x:c>
      <x:c r="D16" s="11" t="s">
        <x:v>29</x:v>
      </x:c>
      <x:c r="E16" s="11" t="s">
        <x:v>74</x:v>
      </x:c>
      <x:c r="F16" s="11" t="s">
        <x:v>59</x:v>
      </x:c>
      <x:c r="G16" s="25">
        <x:v>17.690000000000001</x:v>
      </x:c>
      <x:c r="H16" s="25">
        <x:v>18.260000000000002</x:v>
      </x:c>
      <x:c r="I16" s="25">
        <x:v>16.809999999999999</x:v>
      </x:c>
      <x:c r="J16" s="25">
        <x:v>12.01</x:v>
      </x:c>
      <x:c r="K16" s="25">
        <x:v>13.83</x:v>
      </x:c>
      <x:c r="L16" s="25">
        <x:v>12.45</x:v>
      </x:c>
      <x:c r="M16" s="25">
        <x:v>14.83</x:v>
      </x:c>
      <x:c r="N16" s="25">
        <x:v>16.64</x:v>
      </x:c>
      <x:c r="O16" s="25">
        <x:v>19.18</x:v>
      </x:c>
      <x:c r="P16" s="25">
        <x:v>11.88</x:v>
      </x:c>
      <x:c r="Q16" s="25">
        <x:v>14.27</x:v>
      </x:c>
      <x:c r="R16" s="25">
        <x:v>18.46</x:v>
      </x:c>
      <x:c r="S16" s="25">
        <x:v>186.31</x:v>
      </x:c>
    </x:row>
    <x:row r="17">
      <x:c r="A17" s="10" t="s">
        <x:v>27</x:v>
      </x:c>
      <x:c r="B17" s="10" t="s">
        <x:v>28</x:v>
      </x:c>
      <x:c r="C17" s="11" t="s">
        <x:v>61</x:v>
      </x:c>
      <x:c r="D17" s="11" t="s">
        <x:v>29</x:v>
      </x:c>
      <x:c r="E17" s="11" t="s">
        <x:v>75</x:v>
      </x:c>
      <x:c r="F17" s="11" t="s">
        <x:v>29</x:v>
      </x:c>
      <x:c r="G17" s="25">
        <x:v>2918850</x:v>
      </x:c>
      <x:c r="H17" s="25">
        <x:v>3012900</x:v>
      </x:c>
      <x:c r="I17" s="25">
        <x:v>2773650</x:v>
      </x:c>
      <x:c r="J17" s="25">
        <x:v>1981650</x:v>
      </x:c>
      <x:c r="K17" s="25">
        <x:v>2281950</x:v>
      </x:c>
      <x:c r="L17" s="25">
        <x:v>2054250</x:v>
      </x:c>
      <x:c r="M17" s="25">
        <x:v>2446950</x:v>
      </x:c>
      <x:c r="N17" s="25">
        <x:v>2745600</x:v>
      </x:c>
      <x:c r="O17" s="25">
        <x:v>3164700</x:v>
      </x:c>
      <x:c r="P17" s="25">
        <x:v>1960200</x:v>
      </x:c>
      <x:c r="Q17" s="25">
        <x:v>2354550</x:v>
      </x:c>
      <x:c r="R17" s="25">
        <x:v>3045900</x:v>
      </x:c>
      <x:c r="S17" s="25">
        <x:v>30741150</x:v>
      </x:c>
    </x:row>
    <x:row r="18">
      <x:c r="A18" s="12" t="s">
        <x:v>27</x:v>
      </x:c>
      <x:c r="B18" s="12" t="s">
        <x:v>28</x:v>
      </x:c>
      <x:c r="C18" s="12" t="s">
        <x:v>61</x:v>
      </x:c>
      <x:c r="D18" s="12" t="s">
        <x:v>29</x:v>
      </x:c>
      <x:c r="E18" s="12" t="s">
        <x:v>76</x:v>
      </x:c>
      <x:c r="F18" s="12" t="s">
        <x:v>77</x:v>
      </x:c>
      <x:c r="G18" s="26" t="n">
        <x:f>IF($D18="USD",G17*'Donnees SOMIDA'!$B$5,IF($D18="JPY",G17*'Donnees SOMIDA'!$B$6,0))</x:f>
        <x:v>97781475</x:v>
      </x:c>
      <x:c r="H18" s="26" t="n">
        <x:f>IF($D18="USD",H17*'Donnees SOMIDA'!$B$5,IF($D18="JPY",H17*'Donnees SOMIDA'!$B$6,0))</x:f>
        <x:v>100932150</x:v>
      </x:c>
      <x:c r="I18" s="26" t="n">
        <x:f>IF($D18="USD",I17*'Donnees SOMIDA'!$B$5,IF($D18="JPY",I17*'Donnees SOMIDA'!$B$6,0))</x:f>
        <x:v>92917275</x:v>
      </x:c>
      <x:c r="J18" s="26" t="n">
        <x:f>IF($D18="USD",J17*'Donnees SOMIDA'!$B$5,IF($D18="JPY",J17*'Donnees SOMIDA'!$B$6,0))</x:f>
        <x:v>66385275</x:v>
      </x:c>
      <x:c r="K18" s="26" t="n">
        <x:f>IF($D18="USD",K17*'Donnees SOMIDA'!$B$5,IF($D18="JPY",K17*'Donnees SOMIDA'!$B$6,0))</x:f>
        <x:v>76445325</x:v>
      </x:c>
      <x:c r="L18" s="26" t="n">
        <x:f>IF($D18="USD",L17*'Donnees SOMIDA'!$B$5,IF($D18="JPY",L17*'Donnees SOMIDA'!$B$6,0))</x:f>
        <x:v>68817375</x:v>
      </x:c>
      <x:c r="M18" s="26" t="n">
        <x:f>IF($D18="USD",M17*'Donnees SOMIDA'!$B$5,IF($D18="JPY",M17*'Donnees SOMIDA'!$B$6,0))</x:f>
        <x:v>81972825</x:v>
      </x:c>
      <x:c r="N18" s="26" t="n">
        <x:f>IF($D18="USD",N17*'Donnees SOMIDA'!$B$5,IF($D18="JPY",N17*'Donnees SOMIDA'!$B$6,0))</x:f>
        <x:v>91977600</x:v>
      </x:c>
      <x:c r="O18" s="26" t="n">
        <x:f>IF($D18="USD",O17*'Donnees SOMIDA'!$B$5,IF($D18="JPY",O17*'Donnees SOMIDA'!$B$6,0))</x:f>
        <x:v>106017450</x:v>
      </x:c>
      <x:c r="P18" s="26" t="n">
        <x:f>IF($D18="USD",P17*'Donnees SOMIDA'!$B$5,IF($D18="JPY",P17*'Donnees SOMIDA'!$B$6,0))</x:f>
        <x:v>65666700</x:v>
      </x:c>
      <x:c r="Q18" s="26" t="n">
        <x:f>IF($D18="USD",Q17*'Donnees SOMIDA'!$B$5,IF($D18="JPY",Q17*'Donnees SOMIDA'!$B$6,0))</x:f>
        <x:v>78877425</x:v>
      </x:c>
      <x:c r="R18" s="26" t="n">
        <x:f>IF($D18="USD",R17*'Donnees SOMIDA'!$B$5,IF($D18="JPY",R17*'Donnees SOMIDA'!$B$6,0))</x:f>
        <x:v>102037650</x:v>
      </x:c>
      <x:c r="S18" s="26" t="n">
        <x:f>SUM(G18:R18)</x:f>
        <x:v>1029828525</x:v>
      </x:c>
    </x:row>
    <x:row r="19">
      <x:c r="A19" s="10" t="s">
        <x:v>27</x:v>
      </x:c>
      <x:c r="B19" s="10" t="s">
        <x:v>28</x:v>
      </x:c>
      <x:c r="C19" s="11" t="s">
        <x:v>62</x:v>
      </x:c>
      <x:c r="D19" s="11" t="s">
        <x:v>29</x:v>
      </x:c>
      <x:c r="E19" s="11" t="s">
        <x:v>74</x:v>
      </x:c>
      <x:c r="F19" s="11" t="s">
        <x:v>59</x:v>
      </x:c>
      <x:c r="G19" s="25">
        <x:v>17.079999999999998</x:v>
      </x:c>
      <x:c r="H19" s="25">
        <x:v>19.28</x:v>
      </x:c>
      <x:c r="I19" s="25">
        <x:v>23.69</x:v>
      </x:c>
      <x:c r="J19" s="25">
        <x:v>16.170000000000002</x:v>
      </x:c>
      <x:c r="K19" s="25">
        <x:v>18.62</x:v>
      </x:c>
      <x:c r="L19" s="25">
        <x:v>24.79</x:v>
      </x:c>
      <x:c r="M19" s="25">
        <x:v>21.53</x:v>
      </x:c>
      <x:c r="N19" s="25">
        <x:v>22.55</x:v>
      </x:c>
      <x:c r="O19" s="25">
        <x:v>20.48</x:v>
      </x:c>
      <x:c r="P19" s="25">
        <x:v>21.28</x:v>
      </x:c>
      <x:c r="Q19" s="25">
        <x:v>18.05</x:v>
      </x:c>
      <x:c r="R19" s="25">
        <x:v>21.47</x:v>
      </x:c>
      <x:c r="S19" s="25">
        <x:v>244.99</x:v>
      </x:c>
    </x:row>
    <x:row r="20">
      <x:c r="A20" s="10" t="s">
        <x:v>27</x:v>
      </x:c>
      <x:c r="B20" s="10" t="s">
        <x:v>28</x:v>
      </x:c>
      <x:c r="C20" s="11" t="s">
        <x:v>62</x:v>
      </x:c>
      <x:c r="D20" s="11" t="s">
        <x:v>29</x:v>
      </x:c>
      <x:c r="E20" s="11" t="s">
        <x:v>75</x:v>
      </x:c>
      <x:c r="F20" s="11" t="s">
        <x:v>29</x:v>
      </x:c>
      <x:c r="G20" s="25">
        <x:v>3040240</x:v>
      </x:c>
      <x:c r="H20" s="25">
        <x:v>3431840</x:v>
      </x:c>
      <x:c r="I20" s="25">
        <x:v>4216820</x:v>
      </x:c>
      <x:c r="J20" s="25">
        <x:v>2878260</x:v>
      </x:c>
      <x:c r="K20" s="25">
        <x:v>3314360</x:v>
      </x:c>
      <x:c r="L20" s="25">
        <x:v>4412620</x:v>
      </x:c>
      <x:c r="M20" s="25">
        <x:v>3832340</x:v>
      </x:c>
      <x:c r="N20" s="25">
        <x:v>4013900</x:v>
      </x:c>
      <x:c r="O20" s="25">
        <x:v>3645440</x:v>
      </x:c>
      <x:c r="P20" s="25">
        <x:v>3787840</x:v>
      </x:c>
      <x:c r="Q20" s="25">
        <x:v>3212900</x:v>
      </x:c>
      <x:c r="R20" s="25">
        <x:v>3821660</x:v>
      </x:c>
      <x:c r="S20" s="25">
        <x:v>43608220</x:v>
      </x:c>
    </x:row>
    <x:row r="21">
      <x:c r="A21" s="12" t="s">
        <x:v>27</x:v>
      </x:c>
      <x:c r="B21" s="12" t="s">
        <x:v>28</x:v>
      </x:c>
      <x:c r="C21" s="12" t="s">
        <x:v>62</x:v>
      </x:c>
      <x:c r="D21" s="12" t="s">
        <x:v>29</x:v>
      </x:c>
      <x:c r="E21" s="12" t="s">
        <x:v>76</x:v>
      </x:c>
      <x:c r="F21" s="12" t="s">
        <x:v>77</x:v>
      </x:c>
      <x:c r="G21" s="26" t="n">
        <x:f>IF($D21="USD",G20*'Donnees SOMIDA'!$B$5,IF($D21="JPY",G20*'Donnees SOMIDA'!$B$6,0))</x:f>
        <x:v>101848040</x:v>
      </x:c>
      <x:c r="H21" s="26" t="n">
        <x:f>IF($D21="USD",H20*'Donnees SOMIDA'!$B$5,IF($D21="JPY",H20*'Donnees SOMIDA'!$B$6,0))</x:f>
        <x:v>114966640</x:v>
      </x:c>
      <x:c r="I21" s="26" t="n">
        <x:f>IF($D21="USD",I20*'Donnees SOMIDA'!$B$5,IF($D21="JPY",I20*'Donnees SOMIDA'!$B$6,0))</x:f>
        <x:v>141263470</x:v>
      </x:c>
      <x:c r="J21" s="26" t="n">
        <x:f>IF($D21="USD",J20*'Donnees SOMIDA'!$B$5,IF($D21="JPY",J20*'Donnees SOMIDA'!$B$6,0))</x:f>
        <x:v>96421710</x:v>
      </x:c>
      <x:c r="K21" s="26" t="n">
        <x:f>IF($D21="USD",K20*'Donnees SOMIDA'!$B$5,IF($D21="JPY",K20*'Donnees SOMIDA'!$B$6,0))</x:f>
        <x:v>111031060</x:v>
      </x:c>
      <x:c r="L21" s="26" t="n">
        <x:f>IF($D21="USD",L20*'Donnees SOMIDA'!$B$5,IF($D21="JPY",L20*'Donnees SOMIDA'!$B$6,0))</x:f>
        <x:v>147822770</x:v>
      </x:c>
      <x:c r="M21" s="26" t="n">
        <x:f>IF($D21="USD",M20*'Donnees SOMIDA'!$B$5,IF($D21="JPY",M20*'Donnees SOMIDA'!$B$6,0))</x:f>
        <x:v>128383390</x:v>
      </x:c>
      <x:c r="N21" s="26" t="n">
        <x:f>IF($D21="USD",N20*'Donnees SOMIDA'!$B$5,IF($D21="JPY",N20*'Donnees SOMIDA'!$B$6,0))</x:f>
        <x:v>134465650</x:v>
      </x:c>
      <x:c r="O21" s="26" t="n">
        <x:f>IF($D21="USD",O20*'Donnees SOMIDA'!$B$5,IF($D21="JPY",O20*'Donnees SOMIDA'!$B$6,0))</x:f>
        <x:v>122122240</x:v>
      </x:c>
      <x:c r="P21" s="26" t="n">
        <x:f>IF($D21="USD",P20*'Donnees SOMIDA'!$B$5,IF($D21="JPY",P20*'Donnees SOMIDA'!$B$6,0))</x:f>
        <x:v>126892640</x:v>
      </x:c>
      <x:c r="Q21" s="26" t="n">
        <x:f>IF($D21="USD",Q20*'Donnees SOMIDA'!$B$5,IF($D21="JPY",Q20*'Donnees SOMIDA'!$B$6,0))</x:f>
        <x:v>107632150</x:v>
      </x:c>
      <x:c r="R21" s="26" t="n">
        <x:f>IF($D21="USD",R20*'Donnees SOMIDA'!$B$5,IF($D21="JPY",R20*'Donnees SOMIDA'!$B$6,0))</x:f>
        <x:v>128025610</x:v>
      </x:c>
      <x:c r="S21" s="26" t="n">
        <x:f>SUM(G21:R21)</x:f>
        <x:v>1460875370</x:v>
      </x:c>
    </x:row>
    <x:row r="22">
      <x:c r="A22" s="10" t="s">
        <x:v>27</x:v>
      </x:c>
      <x:c r="B22" s="10" t="s">
        <x:v>28</x:v>
      </x:c>
      <x:c r="C22" s="11" t="s">
        <x:v>63</x:v>
      </x:c>
      <x:c r="D22" s="11" t="s">
        <x:v>29</x:v>
      </x:c>
      <x:c r="E22" s="11" t="s">
        <x:v>74</x:v>
      </x:c>
      <x:c r="F22" s="11" t="s">
        <x:v>59</x:v>
      </x:c>
      <x:c r="G22" s="25">
        <x:v>11.07</x:v>
      </x:c>
      <x:c r="H22" s="25">
        <x:v>10.97</x:v>
      </x:c>
      <x:c r="I22" s="25">
        <x:v>9.4600000000000009</x:v>
      </x:c>
      <x:c r="J22" s="25">
        <x:v>9.93</x:v>
      </x:c>
      <x:c r="K22" s="25">
        <x:v>12.15</x:v>
      </x:c>
      <x:c r="L22" s="25">
        <x:v>14.06</x:v>
      </x:c>
      <x:c r="M22" s="25">
        <x:v>9.35</x:v>
      </x:c>
      <x:c r="N22" s="25">
        <x:v>12.71</x:v>
      </x:c>
      <x:c r="O22" s="25">
        <x:v>11.77</x:v>
      </x:c>
      <x:c r="P22" s="25">
        <x:v>13.79</x:v>
      </x:c>
      <x:c r="Q22" s="25">
        <x:v>12.49</x:v>
      </x:c>
      <x:c r="R22" s="25">
        <x:v>13.58</x:v>
      </x:c>
      <x:c r="S22" s="25">
        <x:v>141.33000000000001</x:v>
      </x:c>
    </x:row>
    <x:row r="23">
      <x:c r="A23" s="10" t="s">
        <x:v>27</x:v>
      </x:c>
      <x:c r="B23" s="10" t="s">
        <x:v>28</x:v>
      </x:c>
      <x:c r="C23" s="11" t="s">
        <x:v>63</x:v>
      </x:c>
      <x:c r="D23" s="11" t="s">
        <x:v>29</x:v>
      </x:c>
      <x:c r="E23" s="11" t="s">
        <x:v>75</x:v>
      </x:c>
      <x:c r="F23" s="11" t="s">
        <x:v>29</x:v>
      </x:c>
      <x:c r="G23" s="25">
        <x:v>1715850</x:v>
      </x:c>
      <x:c r="H23" s="25">
        <x:v>1700350</x:v>
      </x:c>
      <x:c r="I23" s="25">
        <x:v>1466300</x:v>
      </x:c>
      <x:c r="J23" s="25">
        <x:v>1539150</x:v>
      </x:c>
      <x:c r="K23" s="25">
        <x:v>1883250</x:v>
      </x:c>
      <x:c r="L23" s="25">
        <x:v>2179300</x:v>
      </x:c>
      <x:c r="M23" s="25">
        <x:v>1449250</x:v>
      </x:c>
      <x:c r="N23" s="25">
        <x:v>1970050</x:v>
      </x:c>
      <x:c r="O23" s="25">
        <x:v>1824350</x:v>
      </x:c>
      <x:c r="P23" s="25">
        <x:v>2137450</x:v>
      </x:c>
      <x:c r="Q23" s="25">
        <x:v>1935950</x:v>
      </x:c>
      <x:c r="R23" s="25">
        <x:v>2104900</x:v>
      </x:c>
      <x:c r="S23" s="25">
        <x:v>21906150</x:v>
      </x:c>
    </x:row>
    <x:row r="24">
      <x:c r="A24" s="12" t="s">
        <x:v>27</x:v>
      </x:c>
      <x:c r="B24" s="12" t="s">
        <x:v>28</x:v>
      </x:c>
      <x:c r="C24" s="12" t="s">
        <x:v>63</x:v>
      </x:c>
      <x:c r="D24" s="12" t="s">
        <x:v>29</x:v>
      </x:c>
      <x:c r="E24" s="12" t="s">
        <x:v>76</x:v>
      </x:c>
      <x:c r="F24" s="12" t="s">
        <x:v>77</x:v>
      </x:c>
      <x:c r="G24" s="26" t="n">
        <x:f>IF($D24="USD",G23*'Donnees SOMIDA'!$B$5,IF($D24="JPY",G23*'Donnees SOMIDA'!$B$6,0))</x:f>
        <x:v>57480975</x:v>
      </x:c>
      <x:c r="H24" s="26" t="n">
        <x:f>IF($D24="USD",H23*'Donnees SOMIDA'!$B$5,IF($D24="JPY",H23*'Donnees SOMIDA'!$B$6,0))</x:f>
        <x:v>56961725</x:v>
      </x:c>
      <x:c r="I24" s="26" t="n">
        <x:f>IF($D24="USD",I23*'Donnees SOMIDA'!$B$5,IF($D24="JPY",I23*'Donnees SOMIDA'!$B$6,0))</x:f>
        <x:v>49121050</x:v>
      </x:c>
      <x:c r="J24" s="26" t="n">
        <x:f>IF($D24="USD",J23*'Donnees SOMIDA'!$B$5,IF($D24="JPY",J23*'Donnees SOMIDA'!$B$6,0))</x:f>
        <x:v>51561525</x:v>
      </x:c>
      <x:c r="K24" s="26" t="n">
        <x:f>IF($D24="USD",K23*'Donnees SOMIDA'!$B$5,IF($D24="JPY",K23*'Donnees SOMIDA'!$B$6,0))</x:f>
        <x:v>63088875</x:v>
      </x:c>
      <x:c r="L24" s="26" t="n">
        <x:f>IF($D24="USD",L23*'Donnees SOMIDA'!$B$5,IF($D24="JPY",L23*'Donnees SOMIDA'!$B$6,0))</x:f>
        <x:v>73006550</x:v>
      </x:c>
      <x:c r="M24" s="26" t="n">
        <x:f>IF($D24="USD",M23*'Donnees SOMIDA'!$B$5,IF($D24="JPY",M23*'Donnees SOMIDA'!$B$6,0))</x:f>
        <x:v>48549875</x:v>
      </x:c>
      <x:c r="N24" s="26" t="n">
        <x:f>IF($D24="USD",N23*'Donnees SOMIDA'!$B$5,IF($D24="JPY",N23*'Donnees SOMIDA'!$B$6,0))</x:f>
        <x:v>65996675</x:v>
      </x:c>
      <x:c r="O24" s="26" t="n">
        <x:f>IF($D24="USD",O23*'Donnees SOMIDA'!$B$5,IF($D24="JPY",O23*'Donnees SOMIDA'!$B$6,0))</x:f>
        <x:v>61115725</x:v>
      </x:c>
      <x:c r="P24" s="26" t="n">
        <x:f>IF($D24="USD",P23*'Donnees SOMIDA'!$B$5,IF($D24="JPY",P23*'Donnees SOMIDA'!$B$6,0))</x:f>
        <x:v>71604575</x:v>
      </x:c>
      <x:c r="Q24" s="26" t="n">
        <x:f>IF($D24="USD",Q23*'Donnees SOMIDA'!$B$5,IF($D24="JPY",Q23*'Donnees SOMIDA'!$B$6,0))</x:f>
        <x:v>64854325</x:v>
      </x:c>
      <x:c r="R24" s="26" t="n">
        <x:f>IF($D24="USD",R23*'Donnees SOMIDA'!$B$5,IF($D24="JPY",R23*'Donnees SOMIDA'!$B$6,0))</x:f>
        <x:v>70514150</x:v>
      </x:c>
      <x:c r="S24" s="26" t="n">
        <x:f>SUM(G24:R24)</x:f>
        <x:v>733856025</x:v>
      </x:c>
    </x:row>
    <x:row r="25">
      <x:c r="A25" s="13" t="s">
        <x:v>30</x:v>
      </x:c>
      <x:c r="B25" s="13" t="s">
        <x:v>31</x:v>
      </x:c>
      <x:c r="C25" s="14" t="s">
        <x:v>58</x:v>
      </x:c>
      <x:c r="D25" s="14" t="s">
        <x:v>32</x:v>
      </x:c>
      <x:c r="E25" s="14" t="s">
        <x:v>74</x:v>
      </x:c>
      <x:c r="F25" s="14" t="s">
        <x:v>59</x:v>
      </x:c>
      <x:c r="G25" s="27">
        <x:v>27.77</x:v>
      </x:c>
      <x:c r="H25" s="27">
        <x:v>21.84</x:v>
      </x:c>
      <x:c r="I25" s="27">
        <x:v>27.29</x:v>
      </x:c>
      <x:c r="J25" s="27">
        <x:v>19.78</x:v>
      </x:c>
      <x:c r="K25" s="27">
        <x:v>23.42</x:v>
      </x:c>
      <x:c r="L25" s="27">
        <x:v>18.77</x:v>
      </x:c>
      <x:c r="M25" s="27">
        <x:v>17.97</x:v>
      </x:c>
      <x:c r="N25" s="27">
        <x:v>18.579999999999998</x:v>
      </x:c>
      <x:c r="O25" s="27">
        <x:v>25.58</x:v>
      </x:c>
      <x:c r="P25" s="27">
        <x:v>27.23</x:v>
      </x:c>
      <x:c r="Q25" s="27">
        <x:v>16.170000000000002</x:v>
      </x:c>
      <x:c r="R25" s="27">
        <x:v>21.51</x:v>
      </x:c>
      <x:c r="S25" s="27">
        <x:v>265.91000000000003</x:v>
      </x:c>
    </x:row>
    <x:row r="26">
      <x:c r="A26" s="15" t="s">
        <x:v>30</x:v>
      </x:c>
      <x:c r="B26" s="15" t="s">
        <x:v>31</x:v>
      </x:c>
      <x:c r="C26" s="16" t="s">
        <x:v>58</x:v>
      </x:c>
      <x:c r="D26" s="16" t="s">
        <x:v>32</x:v>
      </x:c>
      <x:c r="E26" s="16" t="s">
        <x:v>75</x:v>
      </x:c>
      <x:c r="F26" s="16" t="s">
        <x:v>32</x:v>
      </x:c>
      <x:c r="G26" s="28">
        <x:v>40266.5</x:v>
      </x:c>
      <x:c r="H26" s="28">
        <x:v>31668</x:v>
      </x:c>
      <x:c r="I26" s="28">
        <x:v>39570.5</x:v>
      </x:c>
      <x:c r="J26" s="28">
        <x:v>28681</x:v>
      </x:c>
      <x:c r="K26" s="28">
        <x:v>33959</x:v>
      </x:c>
      <x:c r="L26" s="28">
        <x:v>27216.5</x:v>
      </x:c>
      <x:c r="M26" s="28">
        <x:v>26056.5</x:v>
      </x:c>
      <x:c r="N26" s="28">
        <x:v>26941</x:v>
      </x:c>
      <x:c r="O26" s="28">
        <x:v>37091</x:v>
      </x:c>
      <x:c r="P26" s="28">
        <x:v>39483.5</x:v>
      </x:c>
      <x:c r="Q26" s="28">
        <x:v>23446.5</x:v>
      </x:c>
      <x:c r="R26" s="28">
        <x:v>31189.5</x:v>
      </x:c>
      <x:c r="S26" s="28">
        <x:v>385569.5</x:v>
      </x:c>
    </x:row>
    <x:row r="27">
      <x:c r="A27" s="17" t="s">
        <x:v>30</x:v>
      </x:c>
      <x:c r="B27" s="17" t="s">
        <x:v>31</x:v>
      </x:c>
      <x:c r="C27" s="17" t="s">
        <x:v>58</x:v>
      </x:c>
      <x:c r="D27" s="17" t="s">
        <x:v>32</x:v>
      </x:c>
      <x:c r="E27" s="17" t="s">
        <x:v>76</x:v>
      </x:c>
      <x:c r="F27" s="17" t="s">
        <x:v>77</x:v>
      </x:c>
      <x:c r="G27" s="29" t="n">
        <x:f>IF($D27="USD",G26*'Donnees SOMIDA'!$B$5,IF($D27="JPY",G26*'Donnees SOMIDA'!$B$6,0))</x:f>
        <x:v>146972725</x:v>
      </x:c>
      <x:c r="H27" s="29" t="n">
        <x:f>IF($D27="USD",H26*'Donnees SOMIDA'!$B$5,IF($D27="JPY",H26*'Donnees SOMIDA'!$B$6,0))</x:f>
        <x:v>115588200</x:v>
      </x:c>
      <x:c r="I27" s="29" t="n">
        <x:f>IF($D27="USD",I26*'Donnees SOMIDA'!$B$5,IF($D27="JPY",I26*'Donnees SOMIDA'!$B$6,0))</x:f>
        <x:v>144432325</x:v>
      </x:c>
      <x:c r="J27" s="29" t="n">
        <x:f>IF($D27="USD",J26*'Donnees SOMIDA'!$B$5,IF($D27="JPY",J26*'Donnees SOMIDA'!$B$6,0))</x:f>
        <x:v>104685650</x:v>
      </x:c>
      <x:c r="K27" s="29" t="n">
        <x:f>IF($D27="USD",K26*'Donnees SOMIDA'!$B$5,IF($D27="JPY",K26*'Donnees SOMIDA'!$B$6,0))</x:f>
        <x:v>123950350</x:v>
      </x:c>
      <x:c r="L27" s="29" t="n">
        <x:f>IF($D27="USD",L26*'Donnees SOMIDA'!$B$5,IF($D27="JPY",L26*'Donnees SOMIDA'!$B$6,0))</x:f>
        <x:v>99340225</x:v>
      </x:c>
      <x:c r="M27" s="29" t="n">
        <x:f>IF($D27="USD",M26*'Donnees SOMIDA'!$B$5,IF($D27="JPY",M26*'Donnees SOMIDA'!$B$6,0))</x:f>
        <x:v>95106225</x:v>
      </x:c>
      <x:c r="N27" s="29" t="n">
        <x:f>IF($D27="USD",N26*'Donnees SOMIDA'!$B$5,IF($D27="JPY",N26*'Donnees SOMIDA'!$B$6,0))</x:f>
        <x:v>98334650</x:v>
      </x:c>
      <x:c r="O27" s="29" t="n">
        <x:f>IF($D27="USD",O26*'Donnees SOMIDA'!$B$5,IF($D27="JPY",O26*'Donnees SOMIDA'!$B$6,0))</x:f>
        <x:v>135382150</x:v>
      </x:c>
      <x:c r="P27" s="29" t="n">
        <x:f>IF($D27="USD",P26*'Donnees SOMIDA'!$B$5,IF($D27="JPY",P26*'Donnees SOMIDA'!$B$6,0))</x:f>
        <x:v>144114775</x:v>
      </x:c>
      <x:c r="Q27" s="29" t="n">
        <x:f>IF($D27="USD",Q26*'Donnees SOMIDA'!$B$5,IF($D27="JPY",Q26*'Donnees SOMIDA'!$B$6,0))</x:f>
        <x:v>85579725</x:v>
      </x:c>
      <x:c r="R27" s="29" t="n">
        <x:f>IF($D27="USD",R26*'Donnees SOMIDA'!$B$5,IF($D27="JPY",R26*'Donnees SOMIDA'!$B$6,0))</x:f>
        <x:v>113841675</x:v>
      </x:c>
      <x:c r="S27" s="29" t="n">
        <x:f>SUM(G27:R27)</x:f>
        <x:v>1407328675</x:v>
      </x:c>
    </x:row>
    <x:row r="28">
      <x:c r="A28" s="15" t="s">
        <x:v>30</x:v>
      </x:c>
      <x:c r="B28" s="15" t="s">
        <x:v>31</x:v>
      </x:c>
      <x:c r="C28" s="16" t="s">
        <x:v>60</x:v>
      </x:c>
      <x:c r="D28" s="16" t="s">
        <x:v>32</x:v>
      </x:c>
      <x:c r="E28" s="16" t="s">
        <x:v>74</x:v>
      </x:c>
      <x:c r="F28" s="16" t="s">
        <x:v>59</x:v>
      </x:c>
      <x:c r="G28" s="28">
        <x:v>17.13</x:v>
      </x:c>
      <x:c r="H28" s="28">
        <x:v>12.66</x:v>
      </x:c>
      <x:c r="I28" s="28">
        <x:v>19.32</x:v>
      </x:c>
      <x:c r="J28" s="28">
        <x:v>13.79</x:v>
      </x:c>
      <x:c r="K28" s="28">
        <x:v>20.93</x:v>
      </x:c>
      <x:c r="L28" s="28">
        <x:v>17.73</x:v>
      </x:c>
      <x:c r="M28" s="28">
        <x:v>14.43</x:v>
      </x:c>
      <x:c r="N28" s="28">
        <x:v>17.649999999999999</x:v>
      </x:c>
      <x:c r="O28" s="28">
        <x:v>18.739999999999998</x:v>
      </x:c>
      <x:c r="P28" s="28">
        <x:v>16.399999999999999</x:v>
      </x:c>
      <x:c r="Q28" s="28">
        <x:v>18.21</x:v>
      </x:c>
      <x:c r="R28" s="28">
        <x:v>19.73</x:v>
      </x:c>
      <x:c r="S28" s="28">
        <x:v>206.72</x:v>
      </x:c>
    </x:row>
    <x:row r="29">
      <x:c r="A29" s="15" t="s">
        <x:v>30</x:v>
      </x:c>
      <x:c r="B29" s="15" t="s">
        <x:v>31</x:v>
      </x:c>
      <x:c r="C29" s="16" t="s">
        <x:v>60</x:v>
      </x:c>
      <x:c r="D29" s="16" t="s">
        <x:v>32</x:v>
      </x:c>
      <x:c r="E29" s="16" t="s">
        <x:v>75</x:v>
      </x:c>
      <x:c r="F29" s="16" t="s">
        <x:v>32</x:v>
      </x:c>
      <x:c r="G29" s="28">
        <x:v>22611.599999999999</x:v>
      </x:c>
      <x:c r="H29" s="28">
        <x:v>16711.2</x:v>
      </x:c>
      <x:c r="I29" s="28">
        <x:v>25502.400000000001</x:v>
      </x:c>
      <x:c r="J29" s="28">
        <x:v>18202.8</x:v>
      </x:c>
      <x:c r="K29" s="28">
        <x:v>27627.599999999999</x:v>
      </x:c>
      <x:c r="L29" s="28">
        <x:v>23403.599999999999</x:v>
      </x:c>
      <x:c r="M29" s="28">
        <x:v>19047.599999999999</x:v>
      </x:c>
      <x:c r="N29" s="28">
        <x:v>23298</x:v>
      </x:c>
      <x:c r="O29" s="28">
        <x:v>24736.799999999999</x:v>
      </x:c>
      <x:c r="P29" s="28">
        <x:v>21648</x:v>
      </x:c>
      <x:c r="Q29" s="28">
        <x:v>24037.200000000001</x:v>
      </x:c>
      <x:c r="R29" s="28">
        <x:v>26043.599999999999</x:v>
      </x:c>
      <x:c r="S29" s="28">
        <x:v>272870.40000000002</x:v>
      </x:c>
    </x:row>
    <x:row r="30">
      <x:c r="A30" s="17" t="s">
        <x:v>30</x:v>
      </x:c>
      <x:c r="B30" s="17" t="s">
        <x:v>31</x:v>
      </x:c>
      <x:c r="C30" s="17" t="s">
        <x:v>60</x:v>
      </x:c>
      <x:c r="D30" s="17" t="s">
        <x:v>32</x:v>
      </x:c>
      <x:c r="E30" s="17" t="s">
        <x:v>76</x:v>
      </x:c>
      <x:c r="F30" s="17" t="s">
        <x:v>77</x:v>
      </x:c>
      <x:c r="G30" s="29" t="n">
        <x:f>IF($D30="USD",G29*'Donnees SOMIDA'!$B$5,IF($D30="JPY",G29*'Donnees SOMIDA'!$B$6,0))</x:f>
        <x:v>82532340</x:v>
      </x:c>
      <x:c r="H30" s="29" t="n">
        <x:f>IF($D30="USD",H29*'Donnees SOMIDA'!$B$5,IF($D30="JPY",H29*'Donnees SOMIDA'!$B$6,0))</x:f>
        <x:v>60995880</x:v>
      </x:c>
      <x:c r="I30" s="29" t="n">
        <x:f>IF($D30="USD",I29*'Donnees SOMIDA'!$B$5,IF($D30="JPY",I29*'Donnees SOMIDA'!$B$6,0))</x:f>
        <x:v>93083760</x:v>
      </x:c>
      <x:c r="J30" s="29" t="n">
        <x:f>IF($D30="USD",J29*'Donnees SOMIDA'!$B$5,IF($D30="JPY",J29*'Donnees SOMIDA'!$B$6,0))</x:f>
        <x:v>66440220</x:v>
      </x:c>
      <x:c r="K30" s="29" t="n">
        <x:f>IF($D30="USD",K29*'Donnees SOMIDA'!$B$5,IF($D30="JPY",K29*'Donnees SOMIDA'!$B$6,0))</x:f>
        <x:v>100840740</x:v>
      </x:c>
      <x:c r="L30" s="29" t="n">
        <x:f>IF($D30="USD",L29*'Donnees SOMIDA'!$B$5,IF($D30="JPY",L29*'Donnees SOMIDA'!$B$6,0))</x:f>
        <x:v>85423140</x:v>
      </x:c>
      <x:c r="M30" s="29" t="n">
        <x:f>IF($D30="USD",M29*'Donnees SOMIDA'!$B$5,IF($D30="JPY",M29*'Donnees SOMIDA'!$B$6,0))</x:f>
        <x:v>69523740</x:v>
      </x:c>
      <x:c r="N30" s="29" t="n">
        <x:f>IF($D30="USD",N29*'Donnees SOMIDA'!$B$5,IF($D30="JPY",N29*'Donnees SOMIDA'!$B$6,0))</x:f>
        <x:v>85037700</x:v>
      </x:c>
      <x:c r="O30" s="29" t="n">
        <x:f>IF($D30="USD",O29*'Donnees SOMIDA'!$B$5,IF($D30="JPY",O29*'Donnees SOMIDA'!$B$6,0))</x:f>
        <x:v>90289320</x:v>
      </x:c>
      <x:c r="P30" s="29" t="n">
        <x:f>IF($D30="USD",P29*'Donnees SOMIDA'!$B$5,IF($D30="JPY",P29*'Donnees SOMIDA'!$B$6,0))</x:f>
        <x:v>79015200</x:v>
      </x:c>
      <x:c r="Q30" s="29" t="n">
        <x:f>IF($D30="USD",Q29*'Donnees SOMIDA'!$B$5,IF($D30="JPY",Q29*'Donnees SOMIDA'!$B$6,0))</x:f>
        <x:v>87735780</x:v>
      </x:c>
      <x:c r="R30" s="29" t="n">
        <x:f>IF($D30="USD",R29*'Donnees SOMIDA'!$B$5,IF($D30="JPY",R29*'Donnees SOMIDA'!$B$6,0))</x:f>
        <x:v>95059140</x:v>
      </x:c>
      <x:c r="S30" s="29" t="n">
        <x:f>SUM(G30:R30)</x:f>
        <x:v>995976960</x:v>
      </x:c>
    </x:row>
    <x:row r="31">
      <x:c r="A31" s="15" t="s">
        <x:v>30</x:v>
      </x:c>
      <x:c r="B31" s="15" t="s">
        <x:v>31</x:v>
      </x:c>
      <x:c r="C31" s="16" t="s">
        <x:v>61</x:v>
      </x:c>
      <x:c r="D31" s="16" t="s">
        <x:v>32</x:v>
      </x:c>
      <x:c r="E31" s="16" t="s">
        <x:v>74</x:v>
      </x:c>
      <x:c r="F31" s="16" t="s">
        <x:v>59</x:v>
      </x:c>
      <x:c r="G31" s="28">
        <x:v>14.67</x:v>
      </x:c>
      <x:c r="H31" s="28">
        <x:v>15.16</x:v>
      </x:c>
      <x:c r="I31" s="28">
        <x:v>16.670000000000002</x:v>
      </x:c>
      <x:c r="J31" s="28">
        <x:v>14.66</x:v>
      </x:c>
      <x:c r="K31" s="28">
        <x:v>15.19</x:v>
      </x:c>
      <x:c r="L31" s="28">
        <x:v>13.32</x:v>
      </x:c>
      <x:c r="M31" s="28">
        <x:v>18.690000000000001</x:v>
      </x:c>
      <x:c r="N31" s="28">
        <x:v>18.89</x:v>
      </x:c>
      <x:c r="O31" s="28">
        <x:v>12.49</x:v>
      </x:c>
      <x:c r="P31" s="28">
        <x:v>14.8</x:v>
      </x:c>
      <x:c r="Q31" s="28">
        <x:v>12.51</x:v>
      </x:c>
      <x:c r="R31" s="28">
        <x:v>13.17</x:v>
      </x:c>
      <x:c r="S31" s="28">
        <x:v>180.22</x:v>
      </x:c>
    </x:row>
    <x:row r="32">
      <x:c r="A32" s="15" t="s">
        <x:v>30</x:v>
      </x:c>
      <x:c r="B32" s="15" t="s">
        <x:v>31</x:v>
      </x:c>
      <x:c r="C32" s="16" t="s">
        <x:v>61</x:v>
      </x:c>
      <x:c r="D32" s="16" t="s">
        <x:v>32</x:v>
      </x:c>
      <x:c r="E32" s="16" t="s">
        <x:v>75</x:v>
      </x:c>
      <x:c r="F32" s="16" t="s">
        <x:v>32</x:v>
      </x:c>
      <x:c r="G32" s="28">
        <x:v>18630.900000000001</x:v>
      </x:c>
      <x:c r="H32" s="28">
        <x:v>19253.2</x:v>
      </x:c>
      <x:c r="I32" s="28">
        <x:v>21170.9</x:v>
      </x:c>
      <x:c r="J32" s="28">
        <x:v>18618.2</x:v>
      </x:c>
      <x:c r="K32" s="28">
        <x:v>19291.3</x:v>
      </x:c>
      <x:c r="L32" s="28">
        <x:v>16916.400000000001</x:v>
      </x:c>
      <x:c r="M32" s="28">
        <x:v>23736.3</x:v>
      </x:c>
      <x:c r="N32" s="28">
        <x:v>23990.3</x:v>
      </x:c>
      <x:c r="O32" s="28">
        <x:v>15862.3</x:v>
      </x:c>
      <x:c r="P32" s="28">
        <x:v>18796</x:v>
      </x:c>
      <x:c r="Q32" s="28">
        <x:v>15887.7</x:v>
      </x:c>
      <x:c r="R32" s="28">
        <x:v>16725.900000000001</x:v>
      </x:c>
      <x:c r="S32" s="28">
        <x:v>228879.4</x:v>
      </x:c>
    </x:row>
    <x:row r="33">
      <x:c r="A33" s="17" t="s">
        <x:v>30</x:v>
      </x:c>
      <x:c r="B33" s="17" t="s">
        <x:v>31</x:v>
      </x:c>
      <x:c r="C33" s="17" t="s">
        <x:v>61</x:v>
      </x:c>
      <x:c r="D33" s="17" t="s">
        <x:v>32</x:v>
      </x:c>
      <x:c r="E33" s="17" t="s">
        <x:v>76</x:v>
      </x:c>
      <x:c r="F33" s="17" t="s">
        <x:v>77</x:v>
      </x:c>
      <x:c r="G33" s="29" t="n">
        <x:f>IF($D33="USD",G32*'Donnees SOMIDA'!$B$5,IF($D33="JPY",G32*'Donnees SOMIDA'!$B$6,0))</x:f>
        <x:v>68002785</x:v>
      </x:c>
      <x:c r="H33" s="29" t="n">
        <x:f>IF($D33="USD",H32*'Donnees SOMIDA'!$B$5,IF($D33="JPY",H32*'Donnees SOMIDA'!$B$6,0))</x:f>
        <x:v>70274180</x:v>
      </x:c>
      <x:c r="I33" s="29" t="n">
        <x:f>IF($D33="USD",I32*'Donnees SOMIDA'!$B$5,IF($D33="JPY",I32*'Donnees SOMIDA'!$B$6,0))</x:f>
        <x:v>77273785</x:v>
      </x:c>
      <x:c r="J33" s="29" t="n">
        <x:f>IF($D33="USD",J32*'Donnees SOMIDA'!$B$5,IF($D33="JPY",J32*'Donnees SOMIDA'!$B$6,0))</x:f>
        <x:v>67956430</x:v>
      </x:c>
      <x:c r="K33" s="29" t="n">
        <x:f>IF($D33="USD",K32*'Donnees SOMIDA'!$B$5,IF($D33="JPY",K32*'Donnees SOMIDA'!$B$6,0))</x:f>
        <x:v>70413245</x:v>
      </x:c>
      <x:c r="L33" s="29" t="n">
        <x:f>IF($D33="USD",L32*'Donnees SOMIDA'!$B$5,IF($D33="JPY",L32*'Donnees SOMIDA'!$B$6,0))</x:f>
        <x:v>61744860.00000001</x:v>
      </x:c>
      <x:c r="M33" s="29" t="n">
        <x:f>IF($D33="USD",M32*'Donnees SOMIDA'!$B$5,IF($D33="JPY",M32*'Donnees SOMIDA'!$B$6,0))</x:f>
        <x:v>86637495</x:v>
      </x:c>
      <x:c r="N33" s="29" t="n">
        <x:f>IF($D33="USD",N32*'Donnees SOMIDA'!$B$5,IF($D33="JPY",N32*'Donnees SOMIDA'!$B$6,0))</x:f>
        <x:v>87564595</x:v>
      </x:c>
      <x:c r="O33" s="29" t="n">
        <x:f>IF($D33="USD",O32*'Donnees SOMIDA'!$B$5,IF($D33="JPY",O32*'Donnees SOMIDA'!$B$6,0))</x:f>
        <x:v>57897395</x:v>
      </x:c>
      <x:c r="P33" s="29" t="n">
        <x:f>IF($D33="USD",P32*'Donnees SOMIDA'!$B$5,IF($D33="JPY",P32*'Donnees SOMIDA'!$B$6,0))</x:f>
        <x:v>68605400</x:v>
      </x:c>
      <x:c r="Q33" s="29" t="n">
        <x:f>IF($D33="USD",Q32*'Donnees SOMIDA'!$B$5,IF($D33="JPY",Q32*'Donnees SOMIDA'!$B$6,0))</x:f>
        <x:v>57990105</x:v>
      </x:c>
      <x:c r="R33" s="29" t="n">
        <x:f>IF($D33="USD",R32*'Donnees SOMIDA'!$B$5,IF($D33="JPY",R32*'Donnees SOMIDA'!$B$6,0))</x:f>
        <x:v>61049535.00000001</x:v>
      </x:c>
      <x:c r="S33" s="29" t="n">
        <x:f>SUM(G33:R33)</x:f>
        <x:v>835409810</x:v>
      </x:c>
    </x:row>
    <x:row r="34">
      <x:c r="A34" s="15" t="s">
        <x:v>30</x:v>
      </x:c>
      <x:c r="B34" s="15" t="s">
        <x:v>31</x:v>
      </x:c>
      <x:c r="C34" s="16" t="s">
        <x:v>62</x:v>
      </x:c>
      <x:c r="D34" s="16" t="s">
        <x:v>32</x:v>
      </x:c>
      <x:c r="E34" s="16" t="s">
        <x:v>74</x:v>
      </x:c>
      <x:c r="F34" s="16" t="s">
        <x:v>59</x:v>
      </x:c>
      <x:c r="G34" s="28">
        <x:v>19.18</x:v>
      </x:c>
      <x:c r="H34" s="28">
        <x:v>25.19</x:v>
      </x:c>
      <x:c r="I34" s="28">
        <x:v>16.03</x:v>
      </x:c>
      <x:c r="J34" s="28">
        <x:v>21.7</x:v>
      </x:c>
      <x:c r="K34" s="28">
        <x:v>19.09</x:v>
      </x:c>
      <x:c r="L34" s="28">
        <x:v>17.420000000000002</x:v>
      </x:c>
      <x:c r="M34" s="28">
        <x:v>22.46</x:v>
      </x:c>
      <x:c r="N34" s="28">
        <x:v>23.18</x:v>
      </x:c>
      <x:c r="O34" s="28">
        <x:v>16.12</x:v>
      </x:c>
      <x:c r="P34" s="28">
        <x:v>15.33</x:v>
      </x:c>
      <x:c r="Q34" s="28">
        <x:v>25.26</x:v>
      </x:c>
      <x:c r="R34" s="28">
        <x:v>20.56</x:v>
      </x:c>
      <x:c r="S34" s="28">
        <x:v>241.52</x:v>
      </x:c>
    </x:row>
    <x:row r="35">
      <x:c r="A35" s="15" t="s">
        <x:v>30</x:v>
      </x:c>
      <x:c r="B35" s="15" t="s">
        <x:v>31</x:v>
      </x:c>
      <x:c r="C35" s="16" t="s">
        <x:v>62</x:v>
      </x:c>
      <x:c r="D35" s="16" t="s">
        <x:v>32</x:v>
      </x:c>
      <x:c r="E35" s="16" t="s">
        <x:v>75</x:v>
      </x:c>
      <x:c r="F35" s="16" t="s">
        <x:v>32</x:v>
      </x:c>
      <x:c r="G35" s="28">
        <x:v>26660.2</x:v>
      </x:c>
      <x:c r="H35" s="28">
        <x:v>35014.1</x:v>
      </x:c>
      <x:c r="I35" s="28">
        <x:v>22281.7</x:v>
      </x:c>
      <x:c r="J35" s="28">
        <x:v>30163</x:v>
      </x:c>
      <x:c r="K35" s="28">
        <x:v>26535.1</x:v>
      </x:c>
      <x:c r="L35" s="28">
        <x:v>24213.8</x:v>
      </x:c>
      <x:c r="M35" s="28">
        <x:v>31219.4</x:v>
      </x:c>
      <x:c r="N35" s="28">
        <x:v>32220.2</x:v>
      </x:c>
      <x:c r="O35" s="28">
        <x:v>22406.799999999999</x:v>
      </x:c>
      <x:c r="P35" s="28">
        <x:v>21308.7</x:v>
      </x:c>
      <x:c r="Q35" s="28">
        <x:v>35111.4</x:v>
      </x:c>
      <x:c r="R35" s="28">
        <x:v>28578.400000000001</x:v>
      </x:c>
      <x:c r="S35" s="28">
        <x:v>335712.8</x:v>
      </x:c>
    </x:row>
    <x:row r="36">
      <x:c r="A36" s="17" t="s">
        <x:v>30</x:v>
      </x:c>
      <x:c r="B36" s="17" t="s">
        <x:v>31</x:v>
      </x:c>
      <x:c r="C36" s="17" t="s">
        <x:v>62</x:v>
      </x:c>
      <x:c r="D36" s="17" t="s">
        <x:v>32</x:v>
      </x:c>
      <x:c r="E36" s="17" t="s">
        <x:v>76</x:v>
      </x:c>
      <x:c r="F36" s="17" t="s">
        <x:v>77</x:v>
      </x:c>
      <x:c r="G36" s="29" t="n">
        <x:f>IF($D36="USD",G35*'Donnees SOMIDA'!$B$5,IF($D36="JPY",G35*'Donnees SOMIDA'!$B$6,0))</x:f>
        <x:v>97309730</x:v>
      </x:c>
      <x:c r="H36" s="29" t="n">
        <x:f>IF($D36="USD",H35*'Donnees SOMIDA'!$B$5,IF($D36="JPY",H35*'Donnees SOMIDA'!$B$6,0))</x:f>
        <x:v>127801465</x:v>
      </x:c>
      <x:c r="I36" s="29" t="n">
        <x:f>IF($D36="USD",I35*'Donnees SOMIDA'!$B$5,IF($D36="JPY",I35*'Donnees SOMIDA'!$B$6,0))</x:f>
        <x:v>81328205</x:v>
      </x:c>
      <x:c r="J36" s="29" t="n">
        <x:f>IF($D36="USD",J35*'Donnees SOMIDA'!$B$5,IF($D36="JPY",J35*'Donnees SOMIDA'!$B$6,0))</x:f>
        <x:v>110094950</x:v>
      </x:c>
      <x:c r="K36" s="29" t="n">
        <x:f>IF($D36="USD",K35*'Donnees SOMIDA'!$B$5,IF($D36="JPY",K35*'Donnees SOMIDA'!$B$6,0))</x:f>
        <x:v>96853115</x:v>
      </x:c>
      <x:c r="L36" s="29" t="n">
        <x:f>IF($D36="USD",L35*'Donnees SOMIDA'!$B$5,IF($D36="JPY",L35*'Donnees SOMIDA'!$B$6,0))</x:f>
        <x:v>88380370</x:v>
      </x:c>
      <x:c r="M36" s="29" t="n">
        <x:f>IF($D36="USD",M35*'Donnees SOMIDA'!$B$5,IF($D36="JPY",M35*'Donnees SOMIDA'!$B$6,0))</x:f>
        <x:v>113950810</x:v>
      </x:c>
      <x:c r="N36" s="29" t="n">
        <x:f>IF($D36="USD",N35*'Donnees SOMIDA'!$B$5,IF($D36="JPY",N35*'Donnees SOMIDA'!$B$6,0))</x:f>
        <x:v>117603730</x:v>
      </x:c>
      <x:c r="O36" s="29" t="n">
        <x:f>IF($D36="USD",O35*'Donnees SOMIDA'!$B$5,IF($D36="JPY",O35*'Donnees SOMIDA'!$B$6,0))</x:f>
        <x:v>81784820</x:v>
      </x:c>
      <x:c r="P36" s="29" t="n">
        <x:f>IF($D36="USD",P35*'Donnees SOMIDA'!$B$5,IF($D36="JPY",P35*'Donnees SOMIDA'!$B$6,0))</x:f>
        <x:v>77776755</x:v>
      </x:c>
      <x:c r="Q36" s="29" t="n">
        <x:f>IF($D36="USD",Q35*'Donnees SOMIDA'!$B$5,IF($D36="JPY",Q35*'Donnees SOMIDA'!$B$6,0))</x:f>
        <x:v>128156610</x:v>
      </x:c>
      <x:c r="R36" s="29" t="n">
        <x:f>IF($D36="USD",R35*'Donnees SOMIDA'!$B$5,IF($D36="JPY",R35*'Donnees SOMIDA'!$B$6,0))</x:f>
        <x:v>104311160</x:v>
      </x:c>
      <x:c r="S36" s="29" t="n">
        <x:f>SUM(G36:R36)</x:f>
        <x:v>1225351720</x:v>
      </x:c>
    </x:row>
    <x:row r="37">
      <x:c r="A37" s="15" t="s">
        <x:v>30</x:v>
      </x:c>
      <x:c r="B37" s="15" t="s">
        <x:v>31</x:v>
      </x:c>
      <x:c r="C37" s="16" t="s">
        <x:v>63</x:v>
      </x:c>
      <x:c r="D37" s="16" t="s">
        <x:v>32</x:v>
      </x:c>
      <x:c r="E37" s="16" t="s">
        <x:v>74</x:v>
      </x:c>
      <x:c r="F37" s="16" t="s">
        <x:v>59</x:v>
      </x:c>
      <x:c r="G37" s="28">
        <x:v>12.62</x:v>
      </x:c>
      <x:c r="H37" s="28">
        <x:v>11.98</x:v>
      </x:c>
      <x:c r="I37" s="28">
        <x:v>10.11</x:v>
      </x:c>
      <x:c r="J37" s="28">
        <x:v>14.04</x:v>
      </x:c>
      <x:c r="K37" s="28">
        <x:v>13.66</x:v>
      </x:c>
      <x:c r="L37" s="28">
        <x:v>9.69</x:v>
      </x:c>
      <x:c r="M37" s="28">
        <x:v>10.37</x:v>
      </x:c>
      <x:c r="N37" s="28">
        <x:v>9.66</x:v>
      </x:c>
      <x:c r="O37" s="28">
        <x:v>15.09</x:v>
      </x:c>
      <x:c r="P37" s="28">
        <x:v>12.24</x:v>
      </x:c>
      <x:c r="Q37" s="28">
        <x:v>10.73</x:v>
      </x:c>
      <x:c r="R37" s="28">
        <x:v>14.41</x:v>
      </x:c>
      <x:c r="S37" s="28">
        <x:v>144.6</x:v>
      </x:c>
    </x:row>
    <x:row r="38">
      <x:c r="A38" s="15" t="s">
        <x:v>30</x:v>
      </x:c>
      <x:c r="B38" s="15" t="s">
        <x:v>31</x:v>
      </x:c>
      <x:c r="C38" s="16" t="s">
        <x:v>63</x:v>
      </x:c>
      <x:c r="D38" s="16" t="s">
        <x:v>32</x:v>
      </x:c>
      <x:c r="E38" s="16" t="s">
        <x:v>75</x:v>
      </x:c>
      <x:c r="F38" s="16" t="s">
        <x:v>32</x:v>
      </x:c>
      <x:c r="G38" s="28">
        <x:v>14891.6</x:v>
      </x:c>
      <x:c r="H38" s="28">
        <x:v>14136.4</x:v>
      </x:c>
      <x:c r="I38" s="28">
        <x:v>11929.8</x:v>
      </x:c>
      <x:c r="J38" s="28">
        <x:v>16567.2</x:v>
      </x:c>
      <x:c r="K38" s="28">
        <x:v>16118.8</x:v>
      </x:c>
      <x:c r="L38" s="28">
        <x:v>11434.2</x:v>
      </x:c>
      <x:c r="M38" s="28">
        <x:v>12236.6</x:v>
      </x:c>
      <x:c r="N38" s="28">
        <x:v>11398.8</x:v>
      </x:c>
      <x:c r="O38" s="28">
        <x:v>17806.2</x:v>
      </x:c>
      <x:c r="P38" s="28">
        <x:v>14443.2</x:v>
      </x:c>
      <x:c r="Q38" s="28">
        <x:v>12661.4</x:v>
      </x:c>
      <x:c r="R38" s="28">
        <x:v>17003.8</x:v>
      </x:c>
      <x:c r="S38" s="28">
        <x:v>170628</x:v>
      </x:c>
    </x:row>
    <x:row r="39">
      <x:c r="A39" s="17" t="s">
        <x:v>30</x:v>
      </x:c>
      <x:c r="B39" s="17" t="s">
        <x:v>31</x:v>
      </x:c>
      <x:c r="C39" s="17" t="s">
        <x:v>63</x:v>
      </x:c>
      <x:c r="D39" s="17" t="s">
        <x:v>32</x:v>
      </x:c>
      <x:c r="E39" s="17" t="s">
        <x:v>76</x:v>
      </x:c>
      <x:c r="F39" s="17" t="s">
        <x:v>77</x:v>
      </x:c>
      <x:c r="G39" s="29" t="n">
        <x:f>IF($D39="USD",G38*'Donnees SOMIDA'!$B$5,IF($D39="JPY",G38*'Donnees SOMIDA'!$B$6,0))</x:f>
        <x:v>54354340</x:v>
      </x:c>
      <x:c r="H39" s="29" t="n">
        <x:f>IF($D39="USD",H38*'Donnees SOMIDA'!$B$5,IF($D39="JPY",H38*'Donnees SOMIDA'!$B$6,0))</x:f>
        <x:v>51597860</x:v>
      </x:c>
      <x:c r="I39" s="29" t="n">
        <x:f>IF($D39="USD",I38*'Donnees SOMIDA'!$B$5,IF($D39="JPY",I38*'Donnees SOMIDA'!$B$6,0))</x:f>
        <x:v>43543770</x:v>
      </x:c>
      <x:c r="J39" s="29" t="n">
        <x:f>IF($D39="USD",J38*'Donnees SOMIDA'!$B$5,IF($D39="JPY",J38*'Donnees SOMIDA'!$B$6,0))</x:f>
        <x:v>60470280</x:v>
      </x:c>
      <x:c r="K39" s="29" t="n">
        <x:f>IF($D39="USD",K38*'Donnees SOMIDA'!$B$5,IF($D39="JPY",K38*'Donnees SOMIDA'!$B$6,0))</x:f>
        <x:v>58833620</x:v>
      </x:c>
      <x:c r="L39" s="29" t="n">
        <x:f>IF($D39="USD",L38*'Donnees SOMIDA'!$B$5,IF($D39="JPY",L38*'Donnees SOMIDA'!$B$6,0))</x:f>
        <x:v>41734830</x:v>
      </x:c>
      <x:c r="M39" s="29" t="n">
        <x:f>IF($D39="USD",M38*'Donnees SOMIDA'!$B$5,IF($D39="JPY",M38*'Donnees SOMIDA'!$B$6,0))</x:f>
        <x:v>44663590</x:v>
      </x:c>
      <x:c r="N39" s="29" t="n">
        <x:f>IF($D39="USD",N38*'Donnees SOMIDA'!$B$5,IF($D39="JPY",N38*'Donnees SOMIDA'!$B$6,0))</x:f>
        <x:v>41605620</x:v>
      </x:c>
      <x:c r="O39" s="29" t="n">
        <x:f>IF($D39="USD",O38*'Donnees SOMIDA'!$B$5,IF($D39="JPY",O38*'Donnees SOMIDA'!$B$6,0))</x:f>
        <x:v>64992630</x:v>
      </x:c>
      <x:c r="P39" s="29" t="n">
        <x:f>IF($D39="USD",P38*'Donnees SOMIDA'!$B$5,IF($D39="JPY",P38*'Donnees SOMIDA'!$B$6,0))</x:f>
        <x:v>52717680</x:v>
      </x:c>
      <x:c r="Q39" s="29" t="n">
        <x:f>IF($D39="USD",Q38*'Donnees SOMIDA'!$B$5,IF($D39="JPY",Q38*'Donnees SOMIDA'!$B$6,0))</x:f>
        <x:v>46214110</x:v>
      </x:c>
      <x:c r="R39" s="29" t="n">
        <x:f>IF($D39="USD",R38*'Donnees SOMIDA'!$B$5,IF($D39="JPY",R38*'Donnees SOMIDA'!$B$6,0))</x:f>
        <x:v>62063870</x:v>
      </x:c>
      <x:c r="S39" s="29" t="n">
        <x:f>SUM(G39:R39)</x:f>
        <x:v>622792200</x:v>
      </x:c>
    </x:row>
    <x:row r="40">
      <x:c r="A40" s="18" t="s">
        <x:v>33</x:v>
      </x:c>
      <x:c r="B40" s="18" t="s">
        <x:v>78</x:v>
      </x:c>
      <x:c r="C40" s="19" t="s">
        <x:v>58</x:v>
      </x:c>
      <x:c r="D40" s="19" t="s">
        <x:v>32</x:v>
      </x:c>
      <x:c r="E40" s="19" t="s">
        <x:v>74</x:v>
      </x:c>
      <x:c r="F40" s="19" t="s">
        <x:v>59</x:v>
      </x:c>
      <x:c r="G40" s="30">
        <x:v>19.87</x:v>
      </x:c>
      <x:c r="H40" s="30">
        <x:v>24.57</x:v>
      </x:c>
      <x:c r="I40" s="30">
        <x:v>21.9</x:v>
      </x:c>
      <x:c r="J40" s="30">
        <x:v>18.13</x:v>
      </x:c>
      <x:c r="K40" s="30">
        <x:v>18.809999999999999</x:v>
      </x:c>
      <x:c r="L40" s="30">
        <x:v>20.63</x:v>
      </x:c>
      <x:c r="M40" s="30">
        <x:v>16.809999999999999</x:v>
      </x:c>
      <x:c r="N40" s="30">
        <x:v>24.79</x:v>
      </x:c>
      <x:c r="O40" s="30">
        <x:v>16.37</x:v>
      </x:c>
      <x:c r="P40" s="30">
        <x:v>20.94</x:v>
      </x:c>
      <x:c r="Q40" s="30">
        <x:v>17.91</x:v>
      </x:c>
      <x:c r="R40" s="30">
        <x:v>18.350000000000001</x:v>
      </x:c>
      <x:c r="S40" s="30">
        <x:v>239.07999999999998</x:v>
      </x:c>
    </x:row>
    <x:row r="41">
      <x:c r="A41" s="20" t="s">
        <x:v>33</x:v>
      </x:c>
      <x:c r="B41" s="20" t="s">
        <x:v>78</x:v>
      </x:c>
      <x:c r="C41" s="21" t="s">
        <x:v>58</x:v>
      </x:c>
      <x:c r="D41" s="21" t="s">
        <x:v>32</x:v>
      </x:c>
      <x:c r="E41" s="21" t="s">
        <x:v>75</x:v>
      </x:c>
      <x:c r="F41" s="21" t="s">
        <x:v>32</x:v>
      </x:c>
      <x:c r="G41" s="31">
        <x:v>28811.5</x:v>
      </x:c>
      <x:c r="H41" s="31">
        <x:v>35626.5</x:v>
      </x:c>
      <x:c r="I41" s="31">
        <x:v>31755</x:v>
      </x:c>
      <x:c r="J41" s="31">
        <x:v>26288.5</x:v>
      </x:c>
      <x:c r="K41" s="31">
        <x:v>27274.5</x:v>
      </x:c>
      <x:c r="L41" s="31">
        <x:v>29913.5</x:v>
      </x:c>
      <x:c r="M41" s="31">
        <x:v>24374.5</x:v>
      </x:c>
      <x:c r="N41" s="31">
        <x:v>35945.5</x:v>
      </x:c>
      <x:c r="O41" s="31">
        <x:v>23736.5</x:v>
      </x:c>
      <x:c r="P41" s="31">
        <x:v>30363</x:v>
      </x:c>
      <x:c r="Q41" s="31">
        <x:v>25969.5</x:v>
      </x:c>
      <x:c r="R41" s="31">
        <x:v>26607.5</x:v>
      </x:c>
      <x:c r="S41" s="31">
        <x:v>346666</x:v>
      </x:c>
    </x:row>
    <x:row r="42">
      <x:c r="A42" s="22" t="s">
        <x:v>33</x:v>
      </x:c>
      <x:c r="B42" s="22" t="s">
        <x:v>78</x:v>
      </x:c>
      <x:c r="C42" s="22" t="s">
        <x:v>58</x:v>
      </x:c>
      <x:c r="D42" s="22" t="s">
        <x:v>32</x:v>
      </x:c>
      <x:c r="E42" s="22" t="s">
        <x:v>76</x:v>
      </x:c>
      <x:c r="F42" s="22" t="s">
        <x:v>77</x:v>
      </x:c>
      <x:c r="G42" s="32" t="n">
        <x:f>IF($D42="USD",G41*'Donnees SOMIDA'!$B$5,IF($D42="JPY",G41*'Donnees SOMIDA'!$B$6,0))</x:f>
        <x:v>105161975</x:v>
      </x:c>
      <x:c r="H42" s="32" t="n">
        <x:f>IF($D42="USD",H41*'Donnees SOMIDA'!$B$5,IF($D42="JPY",H41*'Donnees SOMIDA'!$B$6,0))</x:f>
        <x:v>130036725</x:v>
      </x:c>
      <x:c r="I42" s="32" t="n">
        <x:f>IF($D42="USD",I41*'Donnees SOMIDA'!$B$5,IF($D42="JPY",I41*'Donnees SOMIDA'!$B$6,0))</x:f>
        <x:v>115905750</x:v>
      </x:c>
      <x:c r="J42" s="32" t="n">
        <x:f>IF($D42="USD",J41*'Donnees SOMIDA'!$B$5,IF($D42="JPY",J41*'Donnees SOMIDA'!$B$6,0))</x:f>
        <x:v>95953025</x:v>
      </x:c>
      <x:c r="K42" s="32" t="n">
        <x:f>IF($D42="USD",K41*'Donnees SOMIDA'!$B$5,IF($D42="JPY",K41*'Donnees SOMIDA'!$B$6,0))</x:f>
        <x:v>99551925</x:v>
      </x:c>
      <x:c r="L42" s="32" t="n">
        <x:f>IF($D42="USD",L41*'Donnees SOMIDA'!$B$5,IF($D42="JPY",L41*'Donnees SOMIDA'!$B$6,0))</x:f>
        <x:v>109184275</x:v>
      </x:c>
      <x:c r="M42" s="32" t="n">
        <x:f>IF($D42="USD",M41*'Donnees SOMIDA'!$B$5,IF($D42="JPY",M41*'Donnees SOMIDA'!$B$6,0))</x:f>
        <x:v>88966925</x:v>
      </x:c>
      <x:c r="N42" s="32" t="n">
        <x:f>IF($D42="USD",N41*'Donnees SOMIDA'!$B$5,IF($D42="JPY",N41*'Donnees SOMIDA'!$B$6,0))</x:f>
        <x:v>131201075</x:v>
      </x:c>
      <x:c r="O42" s="32" t="n">
        <x:f>IF($D42="USD",O41*'Donnees SOMIDA'!$B$5,IF($D42="JPY",O41*'Donnees SOMIDA'!$B$6,0))</x:f>
        <x:v>86638225</x:v>
      </x:c>
      <x:c r="P42" s="32" t="n">
        <x:f>IF($D42="USD",P41*'Donnees SOMIDA'!$B$5,IF($D42="JPY",P41*'Donnees SOMIDA'!$B$6,0))</x:f>
        <x:v>110824950</x:v>
      </x:c>
      <x:c r="Q42" s="32" t="n">
        <x:f>IF($D42="USD",Q41*'Donnees SOMIDA'!$B$5,IF($D42="JPY",Q41*'Donnees SOMIDA'!$B$6,0))</x:f>
        <x:v>94788675</x:v>
      </x:c>
      <x:c r="R42" s="32" t="n">
        <x:f>IF($D42="USD",R41*'Donnees SOMIDA'!$B$5,IF($D42="JPY",R41*'Donnees SOMIDA'!$B$6,0))</x:f>
        <x:v>97117375</x:v>
      </x:c>
      <x:c r="S42" s="32" t="n">
        <x:f>SUM(G42:R42)</x:f>
        <x:v>1265330900</x:v>
      </x:c>
    </x:row>
    <x:row r="43">
      <x:c r="A43" s="20" t="s">
        <x:v>33</x:v>
      </x:c>
      <x:c r="B43" s="20" t="s">
        <x:v>78</x:v>
      </x:c>
      <x:c r="C43" s="21" t="s">
        <x:v>60</x:v>
      </x:c>
      <x:c r="D43" s="21" t="s">
        <x:v>32</x:v>
      </x:c>
      <x:c r="E43" s="21" t="s">
        <x:v>74</x:v>
      </x:c>
      <x:c r="F43" s="21" t="s">
        <x:v>59</x:v>
      </x:c>
      <x:c r="G43" s="31">
        <x:v>12.67</x:v>
      </x:c>
      <x:c r="H43" s="31">
        <x:v>21.44</x:v>
      </x:c>
      <x:c r="I43" s="31">
        <x:v>17.88</x:v>
      </x:c>
      <x:c r="J43" s="31">
        <x:v>18.28</x:v>
      </x:c>
      <x:c r="K43" s="31">
        <x:v>21.06</x:v>
      </x:c>
      <x:c r="L43" s="31">
        <x:v>20</x:v>
      </x:c>
      <x:c r="M43" s="31">
        <x:v>14.02</x:v>
      </x:c>
      <x:c r="N43" s="31">
        <x:v>13.37</x:v>
      </x:c>
      <x:c r="O43" s="31">
        <x:v>15.46</x:v>
      </x:c>
      <x:c r="P43" s="31">
        <x:v>19.14</x:v>
      </x:c>
      <x:c r="Q43" s="31">
        <x:v>17.55</x:v>
      </x:c>
      <x:c r="R43" s="31">
        <x:v>21.56</x:v>
      </x:c>
      <x:c r="S43" s="31">
        <x:v>212.43</x:v>
      </x:c>
    </x:row>
    <x:row r="44">
      <x:c r="A44" s="20" t="s">
        <x:v>33</x:v>
      </x:c>
      <x:c r="B44" s="20" t="s">
        <x:v>78</x:v>
      </x:c>
      <x:c r="C44" s="21" t="s">
        <x:v>60</x:v>
      </x:c>
      <x:c r="D44" s="21" t="s">
        <x:v>32</x:v>
      </x:c>
      <x:c r="E44" s="21" t="s">
        <x:v>75</x:v>
      </x:c>
      <x:c r="F44" s="21" t="s">
        <x:v>32</x:v>
      </x:c>
      <x:c r="G44" s="31">
        <x:v>16724.400000000001</x:v>
      </x:c>
      <x:c r="H44" s="31">
        <x:v>28300.799999999999</x:v>
      </x:c>
      <x:c r="I44" s="31">
        <x:v>23601.599999999999</x:v>
      </x:c>
      <x:c r="J44" s="31">
        <x:v>24129.599999999999</x:v>
      </x:c>
      <x:c r="K44" s="31">
        <x:v>27799.200000000001</x:v>
      </x:c>
      <x:c r="L44" s="31">
        <x:v>26400</x:v>
      </x:c>
      <x:c r="M44" s="31">
        <x:v>18506.400000000001</x:v>
      </x:c>
      <x:c r="N44" s="31">
        <x:v>17648.400000000001</x:v>
      </x:c>
      <x:c r="O44" s="31">
        <x:v>20407.2</x:v>
      </x:c>
      <x:c r="P44" s="31">
        <x:v>25264.799999999999</x:v>
      </x:c>
      <x:c r="Q44" s="31">
        <x:v>23166</x:v>
      </x:c>
      <x:c r="R44" s="31">
        <x:v>28459.200000000001</x:v>
      </x:c>
      <x:c r="S44" s="31">
        <x:v>280407.59999999998</x:v>
      </x:c>
    </x:row>
    <x:row r="45">
      <x:c r="A45" s="22" t="s">
        <x:v>33</x:v>
      </x:c>
      <x:c r="B45" s="22" t="s">
        <x:v>78</x:v>
      </x:c>
      <x:c r="C45" s="22" t="s">
        <x:v>60</x:v>
      </x:c>
      <x:c r="D45" s="22" t="s">
        <x:v>32</x:v>
      </x:c>
      <x:c r="E45" s="22" t="s">
        <x:v>76</x:v>
      </x:c>
      <x:c r="F45" s="22" t="s">
        <x:v>77</x:v>
      </x:c>
      <x:c r="G45" s="32" t="n">
        <x:f>IF($D45="USD",G44*'Donnees SOMIDA'!$B$5,IF($D45="JPY",G44*'Donnees SOMIDA'!$B$6,0))</x:f>
        <x:v>61044060.00000001</x:v>
      </x:c>
      <x:c r="H45" s="32" t="n">
        <x:f>IF($D45="USD",H44*'Donnees SOMIDA'!$B$5,IF($D45="JPY",H44*'Donnees SOMIDA'!$B$6,0))</x:f>
        <x:v>103297920</x:v>
      </x:c>
      <x:c r="I45" s="32" t="n">
        <x:f>IF($D45="USD",I44*'Donnees SOMIDA'!$B$5,IF($D45="JPY",I44*'Donnees SOMIDA'!$B$6,0))</x:f>
        <x:v>86145840</x:v>
      </x:c>
      <x:c r="J45" s="32" t="n">
        <x:f>IF($D45="USD",J44*'Donnees SOMIDA'!$B$5,IF($D45="JPY",J44*'Donnees SOMIDA'!$B$6,0))</x:f>
        <x:v>88073040</x:v>
      </x:c>
      <x:c r="K45" s="32" t="n">
        <x:f>IF($D45="USD",K44*'Donnees SOMIDA'!$B$5,IF($D45="JPY",K44*'Donnees SOMIDA'!$B$6,0))</x:f>
        <x:v>101467080</x:v>
      </x:c>
      <x:c r="L45" s="32" t="n">
        <x:f>IF($D45="USD",L44*'Donnees SOMIDA'!$B$5,IF($D45="JPY",L44*'Donnees SOMIDA'!$B$6,0))</x:f>
        <x:v>96360000</x:v>
      </x:c>
      <x:c r="M45" s="32" t="n">
        <x:f>IF($D45="USD",M44*'Donnees SOMIDA'!$B$5,IF($D45="JPY",M44*'Donnees SOMIDA'!$B$6,0))</x:f>
        <x:v>67548360</x:v>
      </x:c>
      <x:c r="N45" s="32" t="n">
        <x:f>IF($D45="USD",N44*'Donnees SOMIDA'!$B$5,IF($D45="JPY",N44*'Donnees SOMIDA'!$B$6,0))</x:f>
        <x:v>64416660.00000001</x:v>
      </x:c>
      <x:c r="O45" s="32" t="n">
        <x:f>IF($D45="USD",O44*'Donnees SOMIDA'!$B$5,IF($D45="JPY",O44*'Donnees SOMIDA'!$B$6,0))</x:f>
        <x:v>74486280</x:v>
      </x:c>
      <x:c r="P45" s="32" t="n">
        <x:f>IF($D45="USD",P44*'Donnees SOMIDA'!$B$5,IF($D45="JPY",P44*'Donnees SOMIDA'!$B$6,0))</x:f>
        <x:v>92216520</x:v>
      </x:c>
      <x:c r="Q45" s="32" t="n">
        <x:f>IF($D45="USD",Q44*'Donnees SOMIDA'!$B$5,IF($D45="JPY",Q44*'Donnees SOMIDA'!$B$6,0))</x:f>
        <x:v>84555900</x:v>
      </x:c>
      <x:c r="R45" s="32" t="n">
        <x:f>IF($D45="USD",R44*'Donnees SOMIDA'!$B$5,IF($D45="JPY",R44*'Donnees SOMIDA'!$B$6,0))</x:f>
        <x:v>103876080</x:v>
      </x:c>
      <x:c r="S45" s="32" t="n">
        <x:f>SUM(G45:R45)</x:f>
        <x:v>1023487740</x:v>
      </x:c>
    </x:row>
    <x:row r="46">
      <x:c r="A46" s="20" t="s">
        <x:v>33</x:v>
      </x:c>
      <x:c r="B46" s="20" t="s">
        <x:v>78</x:v>
      </x:c>
      <x:c r="C46" s="21" t="s">
        <x:v>61</x:v>
      </x:c>
      <x:c r="D46" s="21" t="s">
        <x:v>32</x:v>
      </x:c>
      <x:c r="E46" s="21" t="s">
        <x:v>74</x:v>
      </x:c>
      <x:c r="F46" s="21" t="s">
        <x:v>59</x:v>
      </x:c>
      <x:c r="G46" s="31">
        <x:v>17.989999999999998</x:v>
      </x:c>
      <x:c r="H46" s="31">
        <x:v>18.100000000000001</x:v>
      </x:c>
      <x:c r="I46" s="31">
        <x:v>15.91</x:v>
      </x:c>
      <x:c r="J46" s="31">
        <x:v>14.67</x:v>
      </x:c>
      <x:c r="K46" s="31">
        <x:v>14.81</x:v>
      </x:c>
      <x:c r="L46" s="31">
        <x:v>10.9</x:v>
      </x:c>
      <x:c r="M46" s="31">
        <x:v>16.96</x:v>
      </x:c>
      <x:c r="N46" s="31">
        <x:v>17.89</x:v>
      </x:c>
      <x:c r="O46" s="31">
        <x:v>14.05</x:v>
      </x:c>
      <x:c r="P46" s="31">
        <x:v>19.18</x:v>
      </x:c>
      <x:c r="Q46" s="31">
        <x:v>11.04</x:v>
      </x:c>
      <x:c r="R46" s="31">
        <x:v>17.98</x:v>
      </x:c>
      <x:c r="S46" s="31">
        <x:v>189.48</x:v>
      </x:c>
    </x:row>
    <x:row r="47">
      <x:c r="A47" s="20" t="s">
        <x:v>33</x:v>
      </x:c>
      <x:c r="B47" s="20" t="s">
        <x:v>78</x:v>
      </x:c>
      <x:c r="C47" s="21" t="s">
        <x:v>61</x:v>
      </x:c>
      <x:c r="D47" s="21" t="s">
        <x:v>32</x:v>
      </x:c>
      <x:c r="E47" s="21" t="s">
        <x:v>75</x:v>
      </x:c>
      <x:c r="F47" s="21" t="s">
        <x:v>32</x:v>
      </x:c>
      <x:c r="G47" s="31">
        <x:v>22847.3</x:v>
      </x:c>
      <x:c r="H47" s="31">
        <x:v>22987</x:v>
      </x:c>
      <x:c r="I47" s="31">
        <x:v>20205.7</x:v>
      </x:c>
      <x:c r="J47" s="31">
        <x:v>18630.900000000001</x:v>
      </x:c>
      <x:c r="K47" s="31">
        <x:v>18808.7</x:v>
      </x:c>
      <x:c r="L47" s="31">
        <x:v>13843</x:v>
      </x:c>
      <x:c r="M47" s="31">
        <x:v>21539.200000000001</x:v>
      </x:c>
      <x:c r="N47" s="31">
        <x:v>22720.3</x:v>
      </x:c>
      <x:c r="O47" s="31">
        <x:v>17843.5</x:v>
      </x:c>
      <x:c r="P47" s="31">
        <x:v>24358.6</x:v>
      </x:c>
      <x:c r="Q47" s="31">
        <x:v>14020.8</x:v>
      </x:c>
      <x:c r="R47" s="31">
        <x:v>22834.6</x:v>
      </x:c>
      <x:c r="S47" s="31">
        <x:v>240639.6</x:v>
      </x:c>
    </x:row>
    <x:row r="48">
      <x:c r="A48" s="22" t="s">
        <x:v>33</x:v>
      </x:c>
      <x:c r="B48" s="22" t="s">
        <x:v>78</x:v>
      </x:c>
      <x:c r="C48" s="22" t="s">
        <x:v>61</x:v>
      </x:c>
      <x:c r="D48" s="22" t="s">
        <x:v>32</x:v>
      </x:c>
      <x:c r="E48" s="22" t="s">
        <x:v>76</x:v>
      </x:c>
      <x:c r="F48" s="22" t="s">
        <x:v>77</x:v>
      </x:c>
      <x:c r="G48" s="32" t="n">
        <x:f>IF($D48="USD",G47*'Donnees SOMIDA'!$B$5,IF($D48="JPY",G47*'Donnees SOMIDA'!$B$6,0))</x:f>
        <x:v>83392645</x:v>
      </x:c>
      <x:c r="H48" s="32" t="n">
        <x:f>IF($D48="USD",H47*'Donnees SOMIDA'!$B$5,IF($D48="JPY",H47*'Donnees SOMIDA'!$B$6,0))</x:f>
        <x:v>83902550</x:v>
      </x:c>
      <x:c r="I48" s="32" t="n">
        <x:f>IF($D48="USD",I47*'Donnees SOMIDA'!$B$5,IF($D48="JPY",I47*'Donnees SOMIDA'!$B$6,0))</x:f>
        <x:v>73750805</x:v>
      </x:c>
      <x:c r="J48" s="32" t="n">
        <x:f>IF($D48="USD",J47*'Donnees SOMIDA'!$B$5,IF($D48="JPY",J47*'Donnees SOMIDA'!$B$6,0))</x:f>
        <x:v>68002785</x:v>
      </x:c>
      <x:c r="K48" s="32" t="n">
        <x:f>IF($D48="USD",K47*'Donnees SOMIDA'!$B$5,IF($D48="JPY",K47*'Donnees SOMIDA'!$B$6,0))</x:f>
        <x:v>68651755</x:v>
      </x:c>
      <x:c r="L48" s="32" t="n">
        <x:f>IF($D48="USD",L47*'Donnees SOMIDA'!$B$5,IF($D48="JPY",L47*'Donnees SOMIDA'!$B$6,0))</x:f>
        <x:v>50526950</x:v>
      </x:c>
      <x:c r="M48" s="32" t="n">
        <x:f>IF($D48="USD",M47*'Donnees SOMIDA'!$B$5,IF($D48="JPY",M47*'Donnees SOMIDA'!$B$6,0))</x:f>
        <x:v>78618080</x:v>
      </x:c>
      <x:c r="N48" s="32" t="n">
        <x:f>IF($D48="USD",N47*'Donnees SOMIDA'!$B$5,IF($D48="JPY",N47*'Donnees SOMIDA'!$B$6,0))</x:f>
        <x:v>82929095</x:v>
      </x:c>
      <x:c r="O48" s="32" t="n">
        <x:f>IF($D48="USD",O47*'Donnees SOMIDA'!$B$5,IF($D48="JPY",O47*'Donnees SOMIDA'!$B$6,0))</x:f>
        <x:v>65128775</x:v>
      </x:c>
      <x:c r="P48" s="32" t="n">
        <x:f>IF($D48="USD",P47*'Donnees SOMIDA'!$B$5,IF($D48="JPY",P47*'Donnees SOMIDA'!$B$6,0))</x:f>
        <x:v>88908890</x:v>
      </x:c>
      <x:c r="Q48" s="32" t="n">
        <x:f>IF($D48="USD",Q47*'Donnees SOMIDA'!$B$5,IF($D48="JPY",Q47*'Donnees SOMIDA'!$B$6,0))</x:f>
        <x:v>51175920</x:v>
      </x:c>
      <x:c r="R48" s="32" t="n">
        <x:f>IF($D48="USD",R47*'Donnees SOMIDA'!$B$5,IF($D48="JPY",R47*'Donnees SOMIDA'!$B$6,0))</x:f>
        <x:v>83346290</x:v>
      </x:c>
      <x:c r="S48" s="32" t="n">
        <x:f>SUM(G48:R48)</x:f>
        <x:v>878334540</x:v>
      </x:c>
    </x:row>
    <x:row r="49">
      <x:c r="A49" s="20" t="s">
        <x:v>33</x:v>
      </x:c>
      <x:c r="B49" s="20" t="s">
        <x:v>78</x:v>
      </x:c>
      <x:c r="C49" s="21" t="s">
        <x:v>62</x:v>
      </x:c>
      <x:c r="D49" s="21" t="s">
        <x:v>32</x:v>
      </x:c>
      <x:c r="E49" s="21" t="s">
        <x:v>74</x:v>
      </x:c>
      <x:c r="F49" s="21" t="s">
        <x:v>59</x:v>
      </x:c>
      <x:c r="G49" s="31">
        <x:v>22.73</x:v>
      </x:c>
      <x:c r="H49" s="31">
        <x:v>23.74</x:v>
      </x:c>
      <x:c r="I49" s="31">
        <x:v>22.85</x:v>
      </x:c>
      <x:c r="J49" s="31">
        <x:v>18.55</x:v>
      </x:c>
      <x:c r="K49" s="31">
        <x:v>18.96</x:v>
      </x:c>
      <x:c r="L49" s="31">
        <x:v>20.47</x:v>
      </x:c>
      <x:c r="M49" s="31">
        <x:v>25.54</x:v>
      </x:c>
      <x:c r="N49" s="31">
        <x:v>16.07</x:v>
      </x:c>
      <x:c r="O49" s="31">
        <x:v>17.62</x:v>
      </x:c>
      <x:c r="P49" s="31">
        <x:v>23.8</x:v>
      </x:c>
      <x:c r="Q49" s="31">
        <x:v>15.8</x:v>
      </x:c>
      <x:c r="R49" s="31">
        <x:v>16.23</x:v>
      </x:c>
      <x:c r="S49" s="31">
        <x:v>242.36</x:v>
      </x:c>
    </x:row>
    <x:row r="50">
      <x:c r="A50" s="20" t="s">
        <x:v>33</x:v>
      </x:c>
      <x:c r="B50" s="20" t="s">
        <x:v>78</x:v>
      </x:c>
      <x:c r="C50" s="21" t="s">
        <x:v>62</x:v>
      </x:c>
      <x:c r="D50" s="21" t="s">
        <x:v>32</x:v>
      </x:c>
      <x:c r="E50" s="21" t="s">
        <x:v>75</x:v>
      </x:c>
      <x:c r="F50" s="21" t="s">
        <x:v>32</x:v>
      </x:c>
      <x:c r="G50" s="31">
        <x:v>31594.7</x:v>
      </x:c>
      <x:c r="H50" s="31">
        <x:v>32998.6</x:v>
      </x:c>
      <x:c r="I50" s="31">
        <x:v>31761.5</x:v>
      </x:c>
      <x:c r="J50" s="31">
        <x:v>25784.5</x:v>
      </x:c>
      <x:c r="K50" s="31">
        <x:v>26354.400000000001</x:v>
      </x:c>
      <x:c r="L50" s="31">
        <x:v>28453.3</x:v>
      </x:c>
      <x:c r="M50" s="31">
        <x:v>35500.6</x:v>
      </x:c>
      <x:c r="N50" s="31">
        <x:v>22337.3</x:v>
      </x:c>
      <x:c r="O50" s="31">
        <x:v>24491.8</x:v>
      </x:c>
      <x:c r="P50" s="31">
        <x:v>33082</x:v>
      </x:c>
      <x:c r="Q50" s="31">
        <x:v>21962</x:v>
      </x:c>
      <x:c r="R50" s="31">
        <x:v>22559.7</x:v>
      </x:c>
      <x:c r="S50" s="31">
        <x:v>336880.4</x:v>
      </x:c>
    </x:row>
    <x:row r="51">
      <x:c r="A51" s="22" t="s">
        <x:v>33</x:v>
      </x:c>
      <x:c r="B51" s="22" t="s">
        <x:v>78</x:v>
      </x:c>
      <x:c r="C51" s="22" t="s">
        <x:v>62</x:v>
      </x:c>
      <x:c r="D51" s="22" t="s">
        <x:v>32</x:v>
      </x:c>
      <x:c r="E51" s="22" t="s">
        <x:v>76</x:v>
      </x:c>
      <x:c r="F51" s="22" t="s">
        <x:v>77</x:v>
      </x:c>
      <x:c r="G51" s="32" t="n">
        <x:f>IF($D51="USD",G50*'Donnees SOMIDA'!$B$5,IF($D51="JPY",G50*'Donnees SOMIDA'!$B$6,0))</x:f>
        <x:v>115320655</x:v>
      </x:c>
      <x:c r="H51" s="32" t="n">
        <x:f>IF($D51="USD",H50*'Donnees SOMIDA'!$B$5,IF($D51="JPY",H50*'Donnees SOMIDA'!$B$6,0))</x:f>
        <x:v>120444890</x:v>
      </x:c>
      <x:c r="I51" s="32" t="n">
        <x:f>IF($D51="USD",I50*'Donnees SOMIDA'!$B$5,IF($D51="JPY",I50*'Donnees SOMIDA'!$B$6,0))</x:f>
        <x:v>115929475</x:v>
      </x:c>
      <x:c r="J51" s="32" t="n">
        <x:f>IF($D51="USD",J50*'Donnees SOMIDA'!$B$5,IF($D51="JPY",J50*'Donnees SOMIDA'!$B$6,0))</x:f>
        <x:v>94113425</x:v>
      </x:c>
      <x:c r="K51" s="32" t="n">
        <x:f>IF($D51="USD",K50*'Donnees SOMIDA'!$B$5,IF($D51="JPY",K50*'Donnees SOMIDA'!$B$6,0))</x:f>
        <x:v>96193560</x:v>
      </x:c>
      <x:c r="L51" s="32" t="n">
        <x:f>IF($D51="USD",L50*'Donnees SOMIDA'!$B$5,IF($D51="JPY",L50*'Donnees SOMIDA'!$B$6,0))</x:f>
        <x:v>103854545</x:v>
      </x:c>
      <x:c r="M51" s="32" t="n">
        <x:f>IF($D51="USD",M50*'Donnees SOMIDA'!$B$5,IF($D51="JPY",M50*'Donnees SOMIDA'!$B$6,0))</x:f>
        <x:v>129577190</x:v>
      </x:c>
      <x:c r="N51" s="32" t="n">
        <x:f>IF($D51="USD",N50*'Donnees SOMIDA'!$B$5,IF($D51="JPY",N50*'Donnees SOMIDA'!$B$6,0))</x:f>
        <x:v>81531145</x:v>
      </x:c>
      <x:c r="O51" s="32" t="n">
        <x:f>IF($D51="USD",O50*'Donnees SOMIDA'!$B$5,IF($D51="JPY",O50*'Donnees SOMIDA'!$B$6,0))</x:f>
        <x:v>89395070</x:v>
      </x:c>
      <x:c r="P51" s="32" t="n">
        <x:f>IF($D51="USD",P50*'Donnees SOMIDA'!$B$5,IF($D51="JPY",P50*'Donnees SOMIDA'!$B$6,0))</x:f>
        <x:v>120749300</x:v>
      </x:c>
      <x:c r="Q51" s="32" t="n">
        <x:f>IF($D51="USD",Q50*'Donnees SOMIDA'!$B$5,IF($D51="JPY",Q50*'Donnees SOMIDA'!$B$6,0))</x:f>
        <x:v>80161300</x:v>
      </x:c>
      <x:c r="R51" s="32" t="n">
        <x:f>IF($D51="USD",R50*'Donnees SOMIDA'!$B$5,IF($D51="JPY",R50*'Donnees SOMIDA'!$B$6,0))</x:f>
        <x:v>82342905</x:v>
      </x:c>
      <x:c r="S51" s="32" t="n">
        <x:f>SUM(G51:R51)</x:f>
        <x:v>1229613460</x:v>
      </x:c>
    </x:row>
    <x:row r="52">
      <x:c r="A52" s="20" t="s">
        <x:v>33</x:v>
      </x:c>
      <x:c r="B52" s="20" t="s">
        <x:v>78</x:v>
      </x:c>
      <x:c r="C52" s="21" t="s">
        <x:v>63</x:v>
      </x:c>
      <x:c r="D52" s="21" t="s">
        <x:v>32</x:v>
      </x:c>
      <x:c r="E52" s="21" t="s">
        <x:v>74</x:v>
      </x:c>
      <x:c r="F52" s="21" t="s">
        <x:v>59</x:v>
      </x:c>
      <x:c r="G52" s="31">
        <x:v>13.16</x:v>
      </x:c>
      <x:c r="H52" s="31">
        <x:v>10.15</x:v>
      </x:c>
      <x:c r="I52" s="31">
        <x:v>11.08</x:v>
      </x:c>
      <x:c r="J52" s="31">
        <x:v>13.87</x:v>
      </x:c>
      <x:c r="K52" s="31">
        <x:v>14.4</x:v>
      </x:c>
      <x:c r="L52" s="31">
        <x:v>11.31</x:v>
      </x:c>
      <x:c r="M52" s="31">
        <x:v>14.48</x:v>
      </x:c>
      <x:c r="N52" s="31">
        <x:v>13.7</x:v>
      </x:c>
      <x:c r="O52" s="31">
        <x:v>9.52</x:v>
      </x:c>
      <x:c r="P52" s="31">
        <x:v>13.14</x:v>
      </x:c>
      <x:c r="Q52" s="31">
        <x:v>9.1300000000000008</x:v>
      </x:c>
      <x:c r="R52" s="31">
        <x:v>10.3</x:v>
      </x:c>
      <x:c r="S52" s="31">
        <x:v>144.24</x:v>
      </x:c>
    </x:row>
    <x:row r="53">
      <x:c r="A53" s="20" t="s">
        <x:v>33</x:v>
      </x:c>
      <x:c r="B53" s="20" t="s">
        <x:v>78</x:v>
      </x:c>
      <x:c r="C53" s="21" t="s">
        <x:v>63</x:v>
      </x:c>
      <x:c r="D53" s="21" t="s">
        <x:v>32</x:v>
      </x:c>
      <x:c r="E53" s="21" t="s">
        <x:v>75</x:v>
      </x:c>
      <x:c r="F53" s="21" t="s">
        <x:v>32</x:v>
      </x:c>
      <x:c r="G53" s="31">
        <x:v>15528.8</x:v>
      </x:c>
      <x:c r="H53" s="31">
        <x:v>11977</x:v>
      </x:c>
      <x:c r="I53" s="31">
        <x:v>13074.4</x:v>
      </x:c>
      <x:c r="J53" s="31">
        <x:v>16366.6</x:v>
      </x:c>
      <x:c r="K53" s="31">
        <x:v>16992</x:v>
      </x:c>
      <x:c r="L53" s="31">
        <x:v>13345.8</x:v>
      </x:c>
      <x:c r="M53" s="31">
        <x:v>17086.400000000001</x:v>
      </x:c>
      <x:c r="N53" s="31">
        <x:v>16166</x:v>
      </x:c>
      <x:c r="O53" s="31">
        <x:v>11233.6</x:v>
      </x:c>
      <x:c r="P53" s="31">
        <x:v>15505.2</x:v>
      </x:c>
      <x:c r="Q53" s="31">
        <x:v>10773.4</x:v>
      </x:c>
      <x:c r="R53" s="31">
        <x:v>12154</x:v>
      </x:c>
      <x:c r="S53" s="31">
        <x:v>170203.2</x:v>
      </x:c>
    </x:row>
    <x:row r="54">
      <x:c r="A54" s="22" t="s">
        <x:v>33</x:v>
      </x:c>
      <x:c r="B54" s="22" t="s">
        <x:v>78</x:v>
      </x:c>
      <x:c r="C54" s="22" t="s">
        <x:v>63</x:v>
      </x:c>
      <x:c r="D54" s="22" t="s">
        <x:v>32</x:v>
      </x:c>
      <x:c r="E54" s="22" t="s">
        <x:v>76</x:v>
      </x:c>
      <x:c r="F54" s="22" t="s">
        <x:v>77</x:v>
      </x:c>
      <x:c r="G54" s="32" t="n">
        <x:f>IF($D54="USD",G53*'Donnees SOMIDA'!$B$5,IF($D54="JPY",G53*'Donnees SOMIDA'!$B$6,0))</x:f>
        <x:v>56680120</x:v>
      </x:c>
      <x:c r="H54" s="32" t="n">
        <x:f>IF($D54="USD",H53*'Donnees SOMIDA'!$B$5,IF($D54="JPY",H53*'Donnees SOMIDA'!$B$6,0))</x:f>
        <x:v>43716050</x:v>
      </x:c>
      <x:c r="I54" s="32" t="n">
        <x:f>IF($D54="USD",I53*'Donnees SOMIDA'!$B$5,IF($D54="JPY",I53*'Donnees SOMIDA'!$B$6,0))</x:f>
        <x:v>47721560</x:v>
      </x:c>
      <x:c r="J54" s="32" t="n">
        <x:f>IF($D54="USD",J53*'Donnees SOMIDA'!$B$5,IF($D54="JPY",J53*'Donnees SOMIDA'!$B$6,0))</x:f>
        <x:v>59738090</x:v>
      </x:c>
      <x:c r="K54" s="32" t="n">
        <x:f>IF($D54="USD",K53*'Donnees SOMIDA'!$B$5,IF($D54="JPY",K53*'Donnees SOMIDA'!$B$6,0))</x:f>
        <x:v>62020800</x:v>
      </x:c>
      <x:c r="L54" s="32" t="n">
        <x:f>IF($D54="USD",L53*'Donnees SOMIDA'!$B$5,IF($D54="JPY",L53*'Donnees SOMIDA'!$B$6,0))</x:f>
        <x:v>48712170</x:v>
      </x:c>
      <x:c r="M54" s="32" t="n">
        <x:f>IF($D54="USD",M53*'Donnees SOMIDA'!$B$5,IF($D54="JPY",M53*'Donnees SOMIDA'!$B$6,0))</x:f>
        <x:v>62365360.00000001</x:v>
      </x:c>
      <x:c r="N54" s="32" t="n">
        <x:f>IF($D54="USD",N53*'Donnees SOMIDA'!$B$5,IF($D54="JPY",N53*'Donnees SOMIDA'!$B$6,0))</x:f>
        <x:v>59005900</x:v>
      </x:c>
      <x:c r="O54" s="32" t="n">
        <x:f>IF($D54="USD",O53*'Donnees SOMIDA'!$B$5,IF($D54="JPY",O53*'Donnees SOMIDA'!$B$6,0))</x:f>
        <x:v>41002640</x:v>
      </x:c>
      <x:c r="P54" s="32" t="n">
        <x:f>IF($D54="USD",P53*'Donnees SOMIDA'!$B$5,IF($D54="JPY",P53*'Donnees SOMIDA'!$B$6,0))</x:f>
        <x:v>56593980</x:v>
      </x:c>
      <x:c r="Q54" s="32" t="n">
        <x:f>IF($D54="USD",Q53*'Donnees SOMIDA'!$B$5,IF($D54="JPY",Q53*'Donnees SOMIDA'!$B$6,0))</x:f>
        <x:v>39322910</x:v>
      </x:c>
      <x:c r="R54" s="32" t="n">
        <x:f>IF($D54="USD",R53*'Donnees SOMIDA'!$B$5,IF($D54="JPY",R53*'Donnees SOMIDA'!$B$6,0))</x:f>
        <x:v>44362100</x:v>
      </x:c>
      <x:c r="S54" s="32" t="n">
        <x:f>SUM(G54:R54)</x:f>
        <x:v>621241680</x:v>
      </x:c>
    </x:row>
  </x:sheetData>
  <x:mergeCells>
    <x:mergeCell ref="A1:S1"/>
    <x:mergeCell ref="A2:S2"/>
    <x:mergeCell ref="A4:C4"/>
    <x:mergeCell ref="D4:F4"/>
    <x:mergeCell ref="G4:I4"/>
    <x:mergeCell ref="J4:L4"/>
    <x:mergeCell ref="M4:O4"/>
    <x:mergeCell ref="P4:S4"/>
    <x:mergeCell ref="P5:S5"/>
    <x:mergeCell ref="A7:S7"/>
    <x:mergeCell ref="A5:C5"/>
    <x:mergeCell ref="D5:F5"/>
    <x:mergeCell ref="G5:I5"/>
    <x:mergeCell ref="J5:L5"/>
    <x:mergeCell ref="M5:O5"/>
  </x:mergeCells>
  <x:conditionalFormatting sqref="S10:S54">
    <x:cfRule type="dataBar" priority="1">
      <x:dataBar>
        <x:cfvo type="min"/>
        <x:cfvo type="max"/>
        <x:color rgb="FFA02B93"/>
      </x:dataBar>
    </x:cfRule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{55A74A3F-6AFA-3C89-6848-3917534EA35A}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5A74A3F-6AFA-3C89-6848-3917534EA35A}">
            <x14:dataBar>
              <x14:cfvo type="min"/>
              <x14:cfvo type="max"/>
              <x14:fillColor rgb="FFA02B93"/>
              <x14:negativeFillColor auto="1"/>
              <x14:axisColor auto="1"/>
            </x14:dataBar>
          </x14:cfRule>
          <xm:sqref>S10:S54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5.1640625" customWidth="1"/>
    <x:col min="2" max="2" width="30" customWidth="1"/>
    <x:col min="3" max="3" width="24" customWidth="1"/>
    <x:col min="4" max="4" width="4.6640625" customWidth="1"/>
    <x:col min="5" max="16" width="8.83203125" customWidth="1"/>
    <x:col min="17" max="17" width="9.83203125" customWidth="1"/>
  </x:cols>
  <x:sheetData>
    <x:row r="1" ht="32">
      <x:c r="A1" s="1" t="s">
        <x:v>23</x:v>
      </x:c>
      <x:c r="B1" s="1" t="s">
        <x:v>24</x:v>
      </x:c>
      <x:c r="C1" s="1" t="s">
        <x:v>79</x:v>
      </x:c>
      <x:c r="D1" s="1" t="s">
        <x:v>44</x:v>
      </x:c>
      <x:c r="E1" s="1" t="s">
        <x:v>45</x:v>
      </x:c>
      <x:c r="F1" s="1" t="s">
        <x:v>46</x:v>
      </x:c>
      <x:c r="G1" s="1" t="s">
        <x:v>47</x:v>
      </x:c>
      <x:c r="H1" s="1" t="s">
        <x:v>48</x:v>
      </x:c>
      <x:c r="I1" s="1" t="s">
        <x:v>49</x:v>
      </x:c>
      <x:c r="J1" s="1" t="s">
        <x:v>50</x:v>
      </x:c>
      <x:c r="K1" s="1" t="s">
        <x:v>51</x:v>
      </x:c>
      <x:c r="L1" s="1" t="s">
        <x:v>52</x:v>
      </x:c>
      <x:c r="M1" s="1" t="s">
        <x:v>53</x:v>
      </x:c>
      <x:c r="N1" s="1" t="s">
        <x:v>54</x:v>
      </x:c>
      <x:c r="O1" s="1" t="s">
        <x:v>55</x:v>
      </x:c>
      <x:c r="P1" s="1" t="s">
        <x:v>56</x:v>
      </x:c>
      <x:c r="Q1" s="1" t="s">
        <x:v>57</x:v>
      </x:c>
    </x:row>
    <x:row r="2">
      <x:c r="A2" t="s">
        <x:v>27</x:v>
      </x:c>
      <x:c r="B2" t="s">
        <x:v>28</x:v>
      </x:c>
      <x:c r="C2" t="s">
        <x:v>80</x:v>
      </x:c>
      <x:c r="D2" t="s">
        <x:v>77</x:v>
      </x:c>
      <x:c r="E2" s="4" t="n">
        <x:v>11427293</x:v>
      </x:c>
      <x:c r="F2" s="4" t="n">
        <x:v>9838752</x:v>
      </x:c>
      <x:c r="G2" s="4" t="n">
        <x:v>9243696</x:v>
      </x:c>
      <x:c r="H2" s="4" t="n">
        <x:v>10747968</x:v>
      </x:c>
      <x:c r="I2" s="4" t="n">
        <x:v>10789363</x:v>
      </x:c>
      <x:c r="J2" s="4" t="n">
        <x:v>10457462</x:v>
      </x:c>
      <x:c r="K2" s="4" t="n">
        <x:v>10987469</x:v>
      </x:c>
      <x:c r="L2" s="4" t="n">
        <x:v>10220179</x:v>
      </x:c>
      <x:c r="M2" s="4" t="n">
        <x:v>9574118</x:v>
      </x:c>
      <x:c r="N2" s="4" t="n">
        <x:v>12004608</x:v>
      </x:c>
      <x:c r="O2" s="4" t="n">
        <x:v>9084768</x:v>
      </x:c>
      <x:c r="P2" s="4" t="n">
        <x:v>9578554</x:v>
      </x:c>
      <x:c r="Q2" s="4" t="n">
        <x:f>SUM(E2:P2)</x:f>
        <x:v>123954230</x:v>
      </x:c>
    </x:row>
    <x:row r="3">
      <x:c r="A3" t="s">
        <x:v>27</x:v>
      </x:c>
      <x:c r="B3" t="s">
        <x:v>28</x:v>
      </x:c>
      <x:c r="C3" t="s">
        <x:v>81</x:v>
      </x:c>
      <x:c r="D3" t="s">
        <x:v>77</x:v>
      </x:c>
      <x:c r="E3" s="4" t="n">
        <x:v>4530557</x:v>
      </x:c>
      <x:c r="F3" s="4" t="n">
        <x:v>4968902</x:v>
      </x:c>
      <x:c r="G3" s="4" t="n">
        <x:v>5327414</x:v>
      </x:c>
      <x:c r="H3" s="4" t="n">
        <x:v>4980730</x:v>
      </x:c>
      <x:c r="I3" s="4" t="n">
        <x:v>4089994</x:v>
      </x:c>
      <x:c r="J3" s="4" t="n">
        <x:v>4411546</x:v>
      </x:c>
      <x:c r="K3" s="4" t="n">
        <x:v>4846934</x:v>
      </x:c>
      <x:c r="L3" s="4" t="n">
        <x:v>4787059</x:v>
      </x:c>
      <x:c r="M3" s="4" t="n">
        <x:v>5164051</x:v>
      </x:c>
      <x:c r="N3" s="4" t="n">
        <x:v>4821062</x:v>
      </x:c>
      <x:c r="O3" s="4" t="n">
        <x:v>5515910</x:v>
      </x:c>
      <x:c r="P3" s="4" t="n">
        <x:v>4988861</x:v>
      </x:c>
      <x:c r="Q3" s="4" t="n">
        <x:f>SUM(E3:P3)</x:f>
        <x:v>58433020</x:v>
      </x:c>
    </x:row>
    <x:row r="4">
      <x:c r="A4" t="s">
        <x:v>27</x:v>
      </x:c>
      <x:c r="B4" t="s">
        <x:v>28</x:v>
      </x:c>
      <x:c r="C4" t="s">
        <x:v>82</x:v>
      </x:c>
      <x:c r="D4" t="s">
        <x:v>77</x:v>
      </x:c>
      <x:c r="E4" s="4" t="n">
        <x:v>6281722</x:v>
      </x:c>
      <x:c r="F4" s="4" t="n">
        <x:v>6657235</x:v>
      </x:c>
      <x:c r="G4" s="4" t="n">
        <x:v>5634182</x:v>
      </x:c>
      <x:c r="H4" s="4" t="n">
        <x:v>6831686</x:v>
      </x:c>
      <x:c r="I4" s="4" t="n">
        <x:v>6187104</x:v>
      </x:c>
      <x:c r="J4" s="4" t="n">
        <x:v>6333466</x:v>
      </x:c>
      <x:c r="K4" s="4" t="n">
        <x:v>5719190</x:v>
      </x:c>
      <x:c r="L4" s="4" t="n">
        <x:v>6177494</x:v>
      </x:c>
      <x:c r="M4" s="4" t="n">
        <x:v>7168022</x:v>
      </x:c>
      <x:c r="N4" s="4" t="n">
        <x:v>6952915</x:v>
      </x:c>
      <x:c r="O4" s="4" t="n">
        <x:v>6078442</x:v>
      </x:c>
      <x:c r="P4" s="4" t="n">
        <x:v>7292208</x:v>
      </x:c>
      <x:c r="Q4" s="4" t="n">
        <x:f>SUM(E4:P4)</x:f>
        <x:v>77313666</x:v>
      </x:c>
    </x:row>
    <x:row r="5">
      <x:c r="A5" t="s">
        <x:v>27</x:v>
      </x:c>
      <x:c r="B5" t="s">
        <x:v>28</x:v>
      </x:c>
      <x:c r="C5" t="s">
        <x:v>83</x:v>
      </x:c>
      <x:c r="D5" t="s">
        <x:v>77</x:v>
      </x:c>
      <x:c r="E5" s="4" t="n">
        <x:v>32577283</x:v>
      </x:c>
      <x:c r="F5" s="4" t="n">
        <x:v>38488666</x:v>
      </x:c>
      <x:c r="G5" s="4" t="n">
        <x:v>37813776</x:v>
      </x:c>
      <x:c r="H5" s="4" t="n">
        <x:v>32224685</x:v>
      </x:c>
      <x:c r="I5" s="4" t="n">
        <x:v>37603843</x:v>
      </x:c>
      <x:c r="J5" s="4" t="n">
        <x:v>38474621</x:v>
      </x:c>
      <x:c r="K5" s="4" t="n">
        <x:v>35192573</x:v>
      </x:c>
      <x:c r="L5" s="4" t="n">
        <x:v>41499427</x:v>
      </x:c>
      <x:c r="M5" s="4" t="n">
        <x:v>31329514</x:v>
      </x:c>
      <x:c r="N5" s="4" t="n">
        <x:v>38119805</x:v>
      </x:c>
      <x:c r="O5" s="4" t="n">
        <x:v>38625418</x:v>
      </x:c>
      <x:c r="P5" s="4" t="n">
        <x:v>35256144</x:v>
      </x:c>
      <x:c r="Q5" s="4" t="n">
        <x:f>SUM(E5:P5)</x:f>
        <x:v>437205755</x:v>
      </x:c>
    </x:row>
    <x:row r="6">
      <x:c r="A6" t="s">
        <x:v>27</x:v>
      </x:c>
      <x:c r="B6" t="s">
        <x:v>28</x:v>
      </x:c>
      <x:c r="C6" t="s">
        <x:v>84</x:v>
      </x:c>
      <x:c r="D6" t="s">
        <x:v>77</x:v>
      </x:c>
      <x:c r="E6" s="4" t="n">
        <x:v>3029242</x:v>
      </x:c>
      <x:c r="F6" s="4" t="n">
        <x:v>3885974</x:v>
      </x:c>
      <x:c r="G6" s="4" t="n">
        <x:v>3900758</x:v>
      </x:c>
      <x:c r="H6" s="4" t="n">
        <x:v>3849014</x:v>
      </x:c>
      <x:c r="I6" s="4" t="n">
        <x:v>3908150</x:v>
      </x:c>
      <x:c r="J6" s="4" t="n">
        <x:v>3593990</x:v>
      </x:c>
      <x:c r="K6" s="4" t="n">
        <x:v>3866016</x:v>
      </x:c>
      <x:c r="L6" s="4" t="n">
        <x:v>3976896</x:v>
      </x:c>
      <x:c r="M6" s="4" t="n">
        <x:v>3200736</x:v>
      </x:c>
      <x:c r="N6" s="4" t="n">
        <x:v>3655344</x:v>
      </x:c>
      <x:c r="O6" s="4" t="n">
        <x:v>3931066</x:v>
      </x:c>
      <x:c r="P6" s="4" t="n">
        <x:v>3255437</x:v>
      </x:c>
      <x:c r="Q6" s="4" t="n">
        <x:f>SUM(E6:P6)</x:f>
        <x:v>44052623</x:v>
      </x:c>
    </x:row>
    <x:row r="7">
      <x:c r="A7" t="s">
        <x:v>27</x:v>
      </x:c>
      <x:c r="B7" t="s">
        <x:v>28</x:v>
      </x:c>
      <x:c r="C7" t="s">
        <x:v>85</x:v>
      </x:c>
      <x:c r="D7" t="s">
        <x:v>77</x:v>
      </x:c>
      <x:c r="E7" s="4" t="n">
        <x:v>2299651</x:v>
      </x:c>
      <x:c r="F7" s="4" t="n">
        <x:v>2080848</x:v>
      </x:c>
      <x:c r="G7" s="4" t="n">
        <x:v>2348438</x:v>
      </x:c>
      <x:c r="H7" s="4" t="n">
        <x:v>2384659</x:v>
      </x:c>
      <x:c r="I7" s="4" t="n">
        <x:v>2524368</x:v>
      </x:c>
      <x:c r="J7" s="4" t="n">
        <x:v>2086022</x:v>
      </x:c>
      <x:c r="K7" s="4" t="n">
        <x:v>2105981</x:v>
      </x:c>
      <x:c r="L7" s="4" t="n">
        <x:v>2740214</x:v>
      </x:c>
      <x:c r="M7" s="4" t="n">
        <x:v>2692906</x:v>
      </x:c>
      <x:c r="N7" s="4" t="n">
        <x:v>2115590</x:v>
      </x:c>
      <x:c r="O7" s="4" t="n">
        <x:v>2214643</x:v>
      </x:c>
      <x:c r="P7" s="4" t="n">
        <x:v>2214643</x:v>
      </x:c>
      <x:c r="Q7" s="4" t="n">
        <x:f>SUM(E7:P7)</x:f>
        <x:v>27807963</x:v>
      </x:c>
    </x:row>
    <x:row r="8">
      <x:c r="A8" t="s">
        <x:v>30</x:v>
      </x:c>
      <x:c r="B8" t="s">
        <x:v>31</x:v>
      </x:c>
      <x:c r="C8" t="s">
        <x:v>80</x:v>
      </x:c>
      <x:c r="D8" t="s">
        <x:v>77</x:v>
      </x:c>
      <x:c r="E8" s="4" t="n">
        <x:v>10470768</x:v>
      </x:c>
      <x:c r="F8" s="4" t="n">
        <x:v>11263190</x:v>
      </x:c>
      <x:c r="G8" s="4" t="n">
        <x:v>11623920</x:v>
      </x:c>
      <x:c r="H8" s="4" t="n">
        <x:v>11368157</x:v>
      </x:c>
      <x:c r="I8" s="4" t="n">
        <x:v>9697565</x:v>
      </x:c>
      <x:c r="J8" s="4" t="n">
        <x:v>12549398</x:v>
      </x:c>
      <x:c r="K8" s="4" t="n">
        <x:v>9983635</x:v>
      </x:c>
      <x:c r="L8" s="4" t="n">
        <x:v>10039814</x:v>
      </x:c>
      <x:c r="M8" s="4" t="n">
        <x:v>12048221</x:v>
      </x:c>
      <x:c r="N8" s="4" t="n">
        <x:v>12388992</x:v>
      </x:c>
      <x:c r="O8" s="4" t="n">
        <x:v>12605578</x:v>
      </x:c>
      <x:c r="P8" s="4" t="n">
        <x:v>12287722</x:v>
      </x:c>
      <x:c r="Q8" s="4" t="n">
        <x:f>SUM(E8:P8)</x:f>
        <x:v>136326960</x:v>
      </x:c>
    </x:row>
    <x:row r="9">
      <x:c r="A9" t="s">
        <x:v>30</x:v>
      </x:c>
      <x:c r="B9" t="s">
        <x:v>31</x:v>
      </x:c>
      <x:c r="C9" t="s">
        <x:v>81</x:v>
      </x:c>
      <x:c r="D9" t="s">
        <x:v>77</x:v>
      </x:c>
      <x:c r="E9" s="4" t="n">
        <x:v>5679274</x:v>
      </x:c>
      <x:c r="F9" s="4" t="n">
        <x:v>5369549</x:v>
      </x:c>
      <x:c r="G9" s="4" t="n">
        <x:v>5823418</x:v>
      </x:c>
      <x:c r="H9" s="4" t="n">
        <x:v>5618659</x:v>
      </x:c>
      <x:c r="I9" s="4" t="n">
        <x:v>5207664</x:v>
      </x:c>
      <x:c r="J9" s="4" t="n">
        <x:v>4482509</x:v>
      </x:c>
      <x:c r="K9" s="4" t="n">
        <x:v>4607434</x:v>
      </x:c>
      <x:c r="L9" s="4" t="n">
        <x:v>5314848</x:v>
      </x:c>
      <x:c r="M9" s="4" t="n">
        <x:v>5787936</x:v>
      </x:c>
      <x:c r="N9" s="4" t="n">
        <x:v>4534992</x:v>
      </x:c>
      <x:c r="O9" s="4" t="n">
        <x:v>4521686</x:v>
      </x:c>
      <x:c r="P9" s="4" t="n">
        <x:v>5960170</x:v>
      </x:c>
      <x:c r="Q9" s="4" t="n">
        <x:f>SUM(E9:P9)</x:f>
        <x:v>62908139</x:v>
      </x:c>
    </x:row>
    <x:row r="10">
      <x:c r="A10" t="s">
        <x:v>30</x:v>
      </x:c>
      <x:c r="B10" t="s">
        <x:v>31</x:v>
      </x:c>
      <x:c r="C10" t="s">
        <x:v>82</x:v>
      </x:c>
      <x:c r="D10" t="s">
        <x:v>77</x:v>
      </x:c>
      <x:c r="E10" s="4" t="n">
        <x:v>6239587</x:v>
      </x:c>
      <x:c r="F10" s="4" t="n">
        <x:v>6940349</x:v>
      </x:c>
      <x:c r="G10" s="4" t="n">
        <x:v>7693594</x:v>
      </x:c>
      <x:c r="H10" s="4" t="n">
        <x:v>6201149</x:v>
      </x:c>
      <x:c r="I10" s="4" t="n">
        <x:v>6262502</x:v>
      </x:c>
      <x:c r="J10" s="4" t="n">
        <x:v>7808909</x:v>
      </x:c>
      <x:c r="K10" s="4" t="n">
        <x:v>7791168</x:v>
      </x:c>
      <x:c r="L10" s="4" t="n">
        <x:v>6943306</x:v>
      </x:c>
      <x:c r="M10" s="4" t="n">
        <x:v>7722422</x:v>
      </x:c>
      <x:c r="N10" s="4" t="n">
        <x:v>7665504</x:v>
      </x:c>
      <x:c r="O10" s="4" t="n">
        <x:v>7681027</x:v>
      </x:c>
      <x:c r="P10" s="4" t="n">
        <x:v>8125286</x:v>
      </x:c>
      <x:c r="Q10" s="4" t="n">
        <x:f>SUM(E10:P10)</x:f>
        <x:v>87074803</x:v>
      </x:c>
    </x:row>
    <x:row r="11">
      <x:c r="A11" t="s">
        <x:v>30</x:v>
      </x:c>
      <x:c r="B11" t="s">
        <x:v>31</x:v>
      </x:c>
      <x:c r="C11" t="s">
        <x:v>83</x:v>
      </x:c>
      <x:c r="D11" t="s">
        <x:v>77</x:v>
      </x:c>
      <x:c r="E11" s="4" t="n">
        <x:v>34299619</x:v>
      </x:c>
      <x:c r="F11" s="4" t="n">
        <x:v>39499152</x:v>
      </x:c>
      <x:c r="G11" s="4" t="n">
        <x:v>45613075</x:v>
      </x:c>
      <x:c r="H11" s="4" t="n">
        <x:v>35086128</x:v>
      </x:c>
      <x:c r="I11" s="4" t="n">
        <x:v>38354131</x:v>
      </x:c>
      <x:c r="J11" s="4" t="n">
        <x:v>35464598</x:v>
      </x:c>
      <x:c r="K11" s="4" t="n">
        <x:v>42850685</x:v>
      </x:c>
      <x:c r="L11" s="4" t="n">
        <x:v>35874854</x:v>
      </x:c>
      <x:c r="M11" s="4" t="n">
        <x:v>41327194</x:v>
      </x:c>
      <x:c r="N11" s="4" t="n">
        <x:v>42778243</x:v>
      </x:c>
      <x:c r="O11" s="4" t="n">
        <x:v>35562912</x:v>
      </x:c>
      <x:c r="P11" s="4" t="n">
        <x:v>44766691</x:v>
      </x:c>
      <x:c r="Q11" s="4" t="n">
        <x:f>SUM(E11:P11)</x:f>
        <x:v>471477282</x:v>
      </x:c>
    </x:row>
    <x:row r="12">
      <x:c r="A12" t="s">
        <x:v>30</x:v>
      </x:c>
      <x:c r="B12" t="s">
        <x:v>31</x:v>
      </x:c>
      <x:c r="C12" t="s">
        <x:v>84</x:v>
      </x:c>
      <x:c r="D12" t="s">
        <x:v>77</x:v>
      </x:c>
      <x:c r="E12" s="4" t="n">
        <x:v>3270960</x:v>
      </x:c>
      <x:c r="F12" s="4" t="n">
        <x:v>3784704</x:v>
      </x:c>
      <x:c r="G12" s="4" t="n">
        <x:v>3556291</x:v>
      </x:c>
      <x:c r="H12" s="4" t="n">
        <x:v>4036032</x:v>
      </x:c>
      <x:c r="I12" s="4" t="n">
        <x:v>4206048</x:v>
      </x:c>
      <x:c r="J12" s="4" t="n">
        <x:v>3625037</x:v>
      </x:c>
      <x:c r="K12" s="4" t="n">
        <x:v>3248784</x:v>
      </x:c>
      <x:c r="L12" s="4" t="n">
        <x:v>3857146</x:v>
      </x:c>
      <x:c r="M12" s="4" t="n">
        <x:v>3778051</x:v>
      </x:c>
      <x:c r="N12" s="4" t="n">
        <x:v>4149869</x:v>
      </x:c>
      <x:c r="O12" s="4" t="n">
        <x:v>4182394</x:v>
      </x:c>
      <x:c r="P12" s="4" t="n">
        <x:v>3232522</x:v>
      </x:c>
      <x:c r="Q12" s="4" t="n">
        <x:f>SUM(E12:P12)</x:f>
        <x:v>44927838</x:v>
      </x:c>
    </x:row>
    <x:row r="13">
      <x:c r="A13" t="s">
        <x:v>30</x:v>
      </x:c>
      <x:c r="B13" t="s">
        <x:v>31</x:v>
      </x:c>
      <x:c r="C13" t="s">
        <x:v>85</x:v>
      </x:c>
      <x:c r="D13" t="s">
        <x:v>77</x:v>
      </x:c>
      <x:c r="E13" s="4" t="n">
        <x:v>2479277</x:v>
      </x:c>
      <x:c r="F13" s="4" t="n">
        <x:v>2973062</x:v>
      </x:c>
      <x:c r="G13" s="4" t="n">
        <x:v>2937581</x:v>
      </x:c>
      <x:c r="H13" s="4" t="n">
        <x:v>2542848</x:v>
      </x:c>
      <x:c r="I13" s="4" t="n">
        <x:v>2600506</x:v>
      </x:c>
      <x:c r="J13" s="4" t="n">
        <x:v>2352134</x:v>
      </x:c>
      <x:c r="K13" s="4" t="n">
        <x:v>2805264</x:v>
      </x:c>
      <x:c r="L13" s="4" t="n">
        <x:v>2668512</x:v>
      </x:c>
      <x:c r="M13" s="4" t="n">
        <x:v>2409792</x:v>
      </x:c>
      <x:c r="N13" s="4" t="n">
        <x:v>2567981</x:v>
      </x:c>
      <x:c r="O13" s="4" t="n">
        <x:v>2423837</x:v>
      </x:c>
      <x:c r="P13" s="4" t="n">
        <x:v>2847398</x:v>
      </x:c>
      <x:c r="Q13" s="4" t="n">
        <x:f>SUM(E13:P13)</x:f>
        <x:v>31608192</x:v>
      </x:c>
    </x:row>
    <x:row r="14">
      <x:c r="A14" t="s">
        <x:v>33</x:v>
      </x:c>
      <x:c r="B14" t="str">
        <x:v>REPRESENTANT CHINE</x:v>
      </x:c>
      <x:c r="C14" t="s">
        <x:v>80</x:v>
      </x:c>
      <x:c r="D14" t="s">
        <x:v>77</x:v>
      </x:c>
      <x:c r="E14" s="4" t="n">
        <x:v>8500061</x:v>
      </x:c>
      <x:c r="F14" s="4" t="n">
        <x:v>10483334</x:v>
      </x:c>
      <x:c r="G14" s="4" t="n">
        <x:v>9271786</x:v>
      </x:c>
      <x:c r="H14" s="4" t="n">
        <x:v>9700522</x:v>
      </x:c>
      <x:c r="I14" s="4" t="n">
        <x:v>10019117</x:v>
      </x:c>
      <x:c r="J14" s="4" t="n">
        <x:v>7927920</x:v>
      </x:c>
      <x:c r="K14" s="4" t="n">
        <x:v>9023414</x:v>
      </x:c>
      <x:c r="L14" s="4" t="n">
        <x:v>9894931</x:v>
      </x:c>
      <x:c r="M14" s="4" t="n">
        <x:v>9820272</x:v>
      </x:c>
      <x:c r="N14" s="4" t="n">
        <x:v>10248269</x:v>
      </x:c>
      <x:c r="O14" s="4" t="n">
        <x:v>9128381</x:v>
      </x:c>
      <x:c r="P14" s="4" t="n">
        <x:v>8422445</x:v>
      </x:c>
      <x:c r="Q14" s="4" t="n">
        <x:f>SUM(E14:P14)</x:f>
        <x:v>112440452</x:v>
      </x:c>
    </x:row>
    <x:row r="15">
      <x:c r="A15" t="s">
        <x:v>33</x:v>
      </x:c>
      <x:c r="B15" t="str">
        <x:v>REPRESENTANT CHINE</x:v>
      </x:c>
      <x:c r="C15" t="s">
        <x:v>81</x:v>
      </x:c>
      <x:c r="D15" t="s">
        <x:v>77</x:v>
      </x:c>
      <x:c r="E15" s="4" t="n">
        <x:v>4178698</x:v>
      </x:c>
      <x:c r="F15" s="4" t="n">
        <x:v>4250400</x:v>
      </x:c>
      <x:c r="G15" s="4" t="n">
        <x:v>4186829</x:v>
      </x:c>
      <x:c r="H15" s="4" t="n">
        <x:v>3695261</x:v>
      </x:c>
      <x:c r="I15" s="4" t="n">
        <x:v>4514294</x:v>
      </x:c>
      <x:c r="J15" s="4" t="n">
        <x:v>3682694</x:v>
      </x:c>
      <x:c r="K15" s="4" t="n">
        <x:v>3846797</x:v>
      </x:c>
      <x:c r="L15" s="4" t="n">
        <x:v>4353149</x:v>
      </x:c>
      <x:c r="M15" s="4" t="n">
        <x:v>4226746</x:v>
      </x:c>
      <x:c r="N15" s="4" t="n">
        <x:v>4081123</x:v>
      </x:c>
      <x:c r="O15" s="4" t="n">
        <x:v>3765485</x:v>
      </x:c>
      <x:c r="P15" s="4" t="n">
        <x:v>4897939</x:v>
      </x:c>
      <x:c r="Q15" s="4" t="n">
        <x:f>SUM(E15:P15)</x:f>
        <x:v>49679415</x:v>
      </x:c>
    </x:row>
    <x:row r="16">
      <x:c r="A16" t="s">
        <x:v>33</x:v>
      </x:c>
      <x:c r="B16" t="str">
        <x:v>REPRESENTANT CHINE</x:v>
      </x:c>
      <x:c r="C16" t="s">
        <x:v>82</x:v>
      </x:c>
      <x:c r="D16" t="s">
        <x:v>77</x:v>
      </x:c>
      <x:c r="E16" s="4" t="n">
        <x:v>5298586</x:v>
      </x:c>
      <x:c r="F16" s="4" t="n">
        <x:v>5274192</x:v>
      </x:c>
      <x:c r="G16" s="4" t="n">
        <x:v>5011776</x:v>
      </x:c>
      <x:c r="H16" s="4" t="n">
        <x:v>6626189</x:v>
      </x:c>
      <x:c r="I16" s="4" t="n">
        <x:v>6236630</x:v>
      </x:c>
      <x:c r="J16" s="4" t="n">
        <x:v>5505562</x:v>
      </x:c>
      <x:c r="K16" s="4" t="n">
        <x:v>5520346</x:v>
      </x:c>
      <x:c r="L16" s="4" t="n">
        <x:v>6178973</x:v>
      </x:c>
      <x:c r="M16" s="4" t="n">
        <x:v>5526998</x:v>
      </x:c>
      <x:c r="N16" s="4" t="n">
        <x:v>5691840</x:v>
      </x:c>
      <x:c r="O16" s="4" t="n">
        <x:v>6163450</x:v>
      </x:c>
      <x:c r="P16" s="4" t="n">
        <x:v>5648966</x:v>
      </x:c>
      <x:c r="Q16" s="4" t="n">
        <x:f>SUM(E16:P16)</x:f>
        <x:v>68683508</x:v>
      </x:c>
    </x:row>
    <x:row r="17">
      <x:c r="A17" t="s">
        <x:v>33</x:v>
      </x:c>
      <x:c r="B17" t="str">
        <x:v>REPRESENTANT CHINE</x:v>
      </x:c>
      <x:c r="C17" t="s">
        <x:v>83</x:v>
      </x:c>
      <x:c r="D17" t="s">
        <x:v>77</x:v>
      </x:c>
      <x:c r="E17" s="4" t="n">
        <x:v>33956630</x:v>
      </x:c>
      <x:c r="F17" s="4" t="n">
        <x:v>33621034</x:v>
      </x:c>
      <x:c r="G17" s="4" t="n">
        <x:v>35519299</x:v>
      </x:c>
      <x:c r="H17" s="4" t="n">
        <x:v>28770403</x:v>
      </x:c>
      <x:c r="I17" s="4" t="n">
        <x:v>35123088</x:v>
      </x:c>
      <x:c r="J17" s="4" t="n">
        <x:v>36510566</x:v>
      </x:c>
      <x:c r="K17" s="4" t="n">
        <x:v>28348320</x:v>
      </x:c>
      <x:c r="L17" s="4" t="n">
        <x:v>35543693</x:v>
      </x:c>
      <x:c r="M17" s="4" t="n">
        <x:v>34947898</x:v>
      </x:c>
      <x:c r="N17" s="4" t="n">
        <x:v>32469360</x:v>
      </x:c>
      <x:c r="O17" s="4" t="n">
        <x:v>30556310</x:v>
      </x:c>
      <x:c r="P17" s="4" t="n">
        <x:v>34251571</x:v>
      </x:c>
      <x:c r="Q17" s="4" t="n">
        <x:f>SUM(E17:P17)</x:f>
        <x:v>399618172</x:v>
      </x:c>
    </x:row>
    <x:row r="18">
      <x:c r="A18" t="s">
        <x:v>33</x:v>
      </x:c>
      <x:c r="B18" t="str">
        <x:v>REPRESENTANT CHINE</x:v>
      </x:c>
      <x:c r="C18" t="s">
        <x:v>84</x:v>
      </x:c>
      <x:c r="D18" t="s">
        <x:v>77</x:v>
      </x:c>
      <x:c r="E18" s="4" t="n">
        <x:v>2960496</x:v>
      </x:c>
      <x:c r="F18" s="4" t="n">
        <x:v>2691427</x:v>
      </x:c>
      <x:c r="G18" s="4" t="n">
        <x:v>2673686</x:v>
      </x:c>
      <x:c r="H18" s="4" t="n">
        <x:v>3059549</x:v>
      </x:c>
      <x:c r="I18" s="4" t="n">
        <x:v>3207389</x:v>
      </x:c>
      <x:c r="J18" s="4" t="n">
        <x:v>3086160</x:v>
      </x:c>
      <x:c r="K18" s="4" t="n">
        <x:v>2836310</x:v>
      </x:c>
      <x:c r="L18" s="4" t="n">
        <x:v>2699558</x:v>
      </x:c>
      <x:c r="M18" s="4" t="n">
        <x:v>2724691</x:v>
      </x:c>
      <x:c r="N18" s="4" t="n">
        <x:v>2963453</x:v>
      </x:c>
      <x:c r="O18" s="4" t="n">
        <x:v>3517853</x:v>
      </x:c>
      <x:c r="P18" s="4" t="n">
        <x:v>3440976</x:v>
      </x:c>
      <x:c r="Q18" s="4" t="n">
        <x:f>SUM(E18:P18)</x:f>
        <x:v>35861548</x:v>
      </x:c>
    </x:row>
    <x:row r="19">
      <x:c r="A19" t="s">
        <x:v>33</x:v>
      </x:c>
      <x:c r="B19" t="str">
        <x:v>REPRESENTANT CHINE</x:v>
      </x:c>
      <x:c r="C19" t="s">
        <x:v>85</x:v>
      </x:c>
      <x:c r="D19" t="s">
        <x:v>77</x:v>
      </x:c>
      <x:c r="E19" s="4" t="n">
        <x:v>2185075</x:v>
      </x:c>
      <x:c r="F19" s="4" t="n">
        <x:v>2279693</x:v>
      </x:c>
      <x:c r="G19" s="4" t="n">
        <x:v>2003971</x:v>
      </x:c>
      <x:c r="H19" s="4" t="n">
        <x:v>1869437</x:v>
      </x:c>
      <x:c r="I19" s="4" t="n">
        <x:v>1848739</x:v>
      </x:c>
      <x:c r="J19" s="4" t="n">
        <x:v>1897526</x:v>
      </x:c>
      <x:c r="K19" s="4" t="n">
        <x:v>1893830</x:v>
      </x:c>
      <x:c r="L19" s="4" t="n">
        <x:v>2350656</x:v>
      </x:c>
      <x:c r="M19" s="4" t="n">
        <x:v>1866480</x:v>
      </x:c>
      <x:c r="N19" s="4" t="n">
        <x:v>1881264</x:v>
      </x:c>
      <x:c r="O19" s="4" t="n">
        <x:v>2232384</x:v>
      </x:c>
      <x:c r="P19" s="4" t="n">
        <x:v>2466710</x:v>
      </x:c>
      <x:c r="Q19" s="4" t="n">
        <x:f>SUM(E19:P19)</x:f>
        <x:v>24775765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26" customWidth="1"/>
    <x:col min="2" max="2" width="4.6640625" customWidth="1"/>
    <x:col min="3" max="14" width="11.1640625" customWidth="1"/>
    <x:col min="15" max="15" width="12.1640625" customWidth="1"/>
  </x:cols>
  <x:sheetData>
    <x:row r="1" ht="32">
      <x:c r="A1" s="1" t="s">
        <x:v>73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52</x:v>
      </x:c>
      <x:c r="K1" s="1" t="s">
        <x:v>53</x:v>
      </x:c>
      <x:c r="L1" s="1" t="s">
        <x:v>54</x:v>
      </x:c>
      <x:c r="M1" s="1" t="s">
        <x:v>55</x:v>
      </x:c>
      <x:c r="N1" s="1" t="s">
        <x:v>56</x:v>
      </x:c>
      <x:c r="O1" s="1" t="s">
        <x:v>57</x:v>
      </x:c>
    </x:row>
    <x:row r="2">
      <x:c r="A2" t="s">
        <x:v>86</x:v>
      </x:c>
      <x:c r="B2" t="s">
        <x:v>77</x:v>
      </x:c>
      <x:c r="C2" s="4" t="n">
        <x:f>SUMIF(Exportations!$E$10:$E$80,"Chiffre d'affaires MGA",Exportations!$G$10:$G$80)</x:f>
        <x:v>1399520970</x:v>
      </x:c>
      <x:c r="D2" s="4" t="n">
        <x:f>SUMIF(Exportations!$E$10:$E$80,"Chiffre d'affaires MGA",Exportations!$H$10:$H$80)</x:f>
        <x:v>1388271175</x:v>
      </x:c>
      <x:c r="E2" s="4" t="n">
        <x:f>SUMIF(Exportations!$E$10:$E$80,"Chiffre d'affaires MGA",Exportations!$I$10:$I$80)</x:f>
        <x:v>1373368915</x:v>
      </x:c>
      <x:c r="F2" s="4" t="n">
        <x:f>SUMIF(Exportations!$E$10:$E$80,"Chiffre d'affaires MGA",Exportations!$J$10:$J$80)</x:f>
        <x:v>1226711920</x:v>
      </x:c>
      <x:c r="G2" s="4" t="n">
        <x:f>SUMIF(Exportations!$E$10:$E$80,"Chiffre d'affaires MGA",Exportations!$K$10:$K$80)</x:f>
        <x:v>1348030455</x:v>
      </x:c>
      <x:c r="H2" s="4" t="n">
        <x:f>SUMIF(Exportations!$E$10:$E$80,"Chiffre d'affaires MGA",Exportations!$L$10:$L$80)</x:f>
        <x:v>1354532225</x:v>
      </x:c>
      <x:c r="I2" s="4" t="n">
        <x:f>SUMIF(Exportations!$E$10:$E$80,"Chiffre d'affaires MGA",Exportations!$M$10:$M$80)</x:f>
        <x:v>1330905560</x:v>
      </x:c>
      <x:c r="J2" s="4" t="n">
        <x:f>SUMIF(Exportations!$E$10:$E$80,"Chiffre d'affaires MGA",Exportations!$N$10:$N$80)</x:f>
        <x:v>1411813090</x:v>
      </x:c>
      <x:c r="K2" s="4" t="n">
        <x:f>SUMIF(Exportations!$E$10:$E$80,"Chiffre d'affaires MGA",Exportations!$O$10:$O$80)</x:f>
        <x:v>1273906740</x:v>
      </x:c>
      <x:c r="L2" s="4" t="n">
        <x:f>SUMIF(Exportations!$E$10:$E$80,"Chiffre d'affaires MGA",Exportations!$P$10:$P$80)</x:f>
        <x:v>1353034860</x:v>
      </x:c>
      <x:c r="M2" s="4" t="n">
        <x:f>SUMIF(Exportations!$E$10:$E$80,"Chiffre d'affaires MGA",Exportations!$Q$10:$Q$80)</x:f>
        <x:v>1202432010</x:v>
      </x:c>
      <x:c r="N2" s="4" t="n">
        <x:f>SUMIF(Exportations!$E$10:$E$80,"Chiffre d'affaires MGA",Exportations!$R$10:$R$80)</x:f>
        <x:v>1393382610</x:v>
      </x:c>
      <x:c r="O2" s="4" t="n">
        <x:f>SUM(C2:N2)</x:f>
        <x:v>16055910530</x:v>
      </x:c>
    </x:row>
    <x:row r="3">
      <x:c r="A3" t="s">
        <x:v>87</x:v>
      </x:c>
      <x:c r="B3" t="s">
        <x:v>77</x:v>
      </x:c>
      <x:c r="C3" s="4" t="n">
        <x:f>SUMIF(Charges!$A$2:$A$27,"PRODUCTION",Charges!$E$2:$E$27)+SUMIF(Charges!$A$2:$A$27,"ADMINISTRATION",Charges!$E$2:$E$27)-SUMIF(Charges!$B$2:$B$27,"Salaires administratifs",Charges!$E$2:$E$27)+SUMIF(Charges!$A$2:$A$27,"LOGISTIQUE",Charges!$E$2:$E$27)+SUMIF(Charges!$A$2:$A$27,"SECURITE",Charges!$E$2:$E$27)+SUMIF(Charges!$A$2:$A$27,"FISCAL",Charges!$E$2:$E$27)+C5+Amortissements!E13</x:f>
        <x:v>616643509.8095735</x:v>
      </x:c>
      <x:c r="D3" s="4" t="n">
        <x:f>SUMIF(Charges!$A$2:$A$27,"PRODUCTION",Charges!$F$2:$F$27)+SUMIF(Charges!$A$2:$A$27,"ADMINISTRATION",Charges!$F$2:$F$27)-SUMIF(Charges!$B$2:$B$27,"Salaires administratifs",Charges!$F$2:$F$27)+SUMIF(Charges!$A$2:$A$27,"LOGISTIQUE",Charges!$F$2:$F$27)+SUMIF(Charges!$A$2:$A$27,"SECURITE",Charges!$F$2:$F$27)+SUMIF(Charges!$A$2:$A$27,"FISCAL",Charges!$F$2:$F$27)+D5+Amortissements!F13</x:f>
        <x:v>631407874.8095735</x:v>
      </x:c>
      <x:c r="E3" s="4" t="n">
        <x:f>SUMIF(Charges!$A$2:$A$27,"PRODUCTION",Charges!$G$2:$G$27)+SUMIF(Charges!$A$2:$A$27,"ADMINISTRATION",Charges!$G$2:$G$27)-SUMIF(Charges!$B$2:$B$27,"Salaires administratifs",Charges!$G$2:$G$27)+SUMIF(Charges!$A$2:$A$27,"LOGISTIQUE",Charges!$G$2:$G$27)+SUMIF(Charges!$A$2:$A$27,"SECURITE",Charges!$G$2:$G$27)+SUMIF(Charges!$A$2:$A$27,"FISCAL",Charges!$G$2:$G$27)+E5+Amortissements!G13</x:f>
        <x:v>642734574.8095735</x:v>
      </x:c>
      <x:c r="F3" s="4" t="n">
        <x:f>SUMIF(Charges!$A$2:$A$27,"PRODUCTION",Charges!$H$2:$H$27)+SUMIF(Charges!$A$2:$A$27,"ADMINISTRATION",Charges!$H$2:$H$27)-SUMIF(Charges!$B$2:$B$27,"Salaires administratifs",Charges!$H$2:$H$27)+SUMIF(Charges!$A$2:$A$27,"LOGISTIQUE",Charges!$H$2:$H$27)+SUMIF(Charges!$A$2:$A$27,"SECURITE",Charges!$H$2:$H$27)+SUMIF(Charges!$A$2:$A$27,"FISCAL",Charges!$H$2:$H$27)+F5+Amortissements!H13</x:f>
        <x:v>610409204.8095735</x:v>
      </x:c>
      <x:c r="G3" s="4" t="n">
        <x:f>SUMIF(Charges!$A$2:$A$27,"PRODUCTION",Charges!$I$2:$I$27)+SUMIF(Charges!$A$2:$A$27,"ADMINISTRATION",Charges!$I$2:$I$27)-SUMIF(Charges!$B$2:$B$27,"Salaires administratifs",Charges!$I$2:$I$27)+SUMIF(Charges!$A$2:$A$27,"LOGISTIQUE",Charges!$I$2:$I$27)+SUMIF(Charges!$A$2:$A$27,"SECURITE",Charges!$I$2:$I$27)+SUMIF(Charges!$A$2:$A$27,"FISCAL",Charges!$I$2:$I$27)+G5+Amortissements!I13</x:f>
        <x:v>641152224.8095735</x:v>
      </x:c>
      <x:c r="H3" s="4" t="n">
        <x:f>SUMIF(Charges!$A$2:$A$27,"PRODUCTION",Charges!$J$2:$J$27)+SUMIF(Charges!$A$2:$A$27,"ADMINISTRATION",Charges!$J$2:$J$27)-SUMIF(Charges!$B$2:$B$27,"Salaires administratifs",Charges!$J$2:$J$27)+SUMIF(Charges!$A$2:$A$27,"LOGISTIQUE",Charges!$J$2:$J$27)+SUMIF(Charges!$A$2:$A$27,"SECURITE",Charges!$J$2:$J$27)+SUMIF(Charges!$A$2:$A$27,"FISCAL",Charges!$J$2:$J$27)+H5+Amortissements!J13</x:f>
        <x:v>614375474.8095735</x:v>
      </x:c>
      <x:c r="I3" s="4" t="n">
        <x:f>SUMIF(Charges!$A$2:$A$27,"PRODUCTION",Charges!$K$2:$K$27)+SUMIF(Charges!$A$2:$A$27,"ADMINISTRATION",Charges!$K$2:$K$27)-SUMIF(Charges!$B$2:$B$27,"Salaires administratifs",Charges!$K$2:$K$27)+SUMIF(Charges!$A$2:$A$27,"LOGISTIQUE",Charges!$K$2:$K$27)+SUMIF(Charges!$A$2:$A$27,"SECURITE",Charges!$K$2:$K$27)+SUMIF(Charges!$A$2:$A$27,"FISCAL",Charges!$K$2:$K$27)+I5+Amortissements!K13</x:f>
        <x:v>620120444.8095735</x:v>
      </x:c>
      <x:c r="J3" s="4" t="n">
        <x:f>SUMIF(Charges!$A$2:$A$27,"PRODUCTION",Charges!$L$2:$L$27)+SUMIF(Charges!$A$2:$A$27,"ADMINISTRATION",Charges!$L$2:$L$27)-SUMIF(Charges!$B$2:$B$27,"Salaires administratifs",Charges!$L$2:$L$27)+SUMIF(Charges!$A$2:$A$27,"LOGISTIQUE",Charges!$L$2:$L$27)+SUMIF(Charges!$A$2:$A$27,"SECURITE",Charges!$L$2:$L$27)+SUMIF(Charges!$A$2:$A$27,"FISCAL",Charges!$L$2:$L$27)+J5+Amortissements!L13</x:f>
        <x:v>624116744.8095735</x:v>
      </x:c>
      <x:c r="K3" s="4" t="n">
        <x:f>SUMIF(Charges!$A$2:$A$27,"PRODUCTION",Charges!$M$2:$M$27)+SUMIF(Charges!$A$2:$A$27,"ADMINISTRATION",Charges!$M$2:$M$27)-SUMIF(Charges!$B$2:$B$27,"Salaires administratifs",Charges!$M$2:$M$27)+SUMIF(Charges!$A$2:$A$27,"LOGISTIQUE",Charges!$M$2:$M$27)+SUMIF(Charges!$A$2:$A$27,"SECURITE",Charges!$M$2:$M$27)+SUMIF(Charges!$A$2:$A$27,"FISCAL",Charges!$M$2:$M$27)+K5+Amortissements!M13</x:f>
        <x:v>602683024.8095735</x:v>
      </x:c>
      <x:c r="L3" s="4" t="n">
        <x:f>SUMIF(Charges!$A$2:$A$27,"PRODUCTION",Charges!$N$2:$N$27)+SUMIF(Charges!$A$2:$A$27,"ADMINISTRATION",Charges!$N$2:$N$27)-SUMIF(Charges!$B$2:$B$27,"Salaires administratifs",Charges!$N$2:$N$27)+SUMIF(Charges!$A$2:$A$27,"LOGISTIQUE",Charges!$N$2:$N$27)+SUMIF(Charges!$A$2:$A$27,"SECURITE",Charges!$N$2:$N$27)+SUMIF(Charges!$A$2:$A$27,"FISCAL",Charges!$N$2:$N$27)+L5+Amortissements!N13</x:f>
        <x:v>613816454.8095735</x:v>
      </x:c>
      <x:c r="M3" s="4" t="n">
        <x:f>SUMIF(Charges!$A$2:$A$27,"PRODUCTION",Charges!$O$2:$O$27)+SUMIF(Charges!$A$2:$A$27,"ADMINISTRATION",Charges!$O$2:$O$27)-SUMIF(Charges!$B$2:$B$27,"Salaires administratifs",Charges!$O$2:$O$27)+SUMIF(Charges!$A$2:$A$27,"LOGISTIQUE",Charges!$O$2:$O$27)+SUMIF(Charges!$A$2:$A$27,"SECURITE",Charges!$O$2:$O$27)+SUMIF(Charges!$A$2:$A$27,"FISCAL",Charges!$O$2:$O$27)+M5+Amortissements!O13</x:f>
        <x:v>632391934.8095735</x:v>
      </x:c>
      <x:c r="N3" s="4" t="n">
        <x:f>SUMIF(Charges!$A$2:$A$27,"PRODUCTION",Charges!$P$2:$P$27)+SUMIF(Charges!$A$2:$A$27,"ADMINISTRATION",Charges!$P$2:$P$27)-SUMIF(Charges!$B$2:$B$27,"Salaires administratifs",Charges!$P$2:$P$27)+SUMIF(Charges!$A$2:$A$27,"LOGISTIQUE",Charges!$P$2:$P$27)+SUMIF(Charges!$A$2:$A$27,"SECURITE",Charges!$P$2:$P$27)+SUMIF(Charges!$A$2:$A$27,"FISCAL",Charges!$P$2:$P$27)+N5+Amortissements!P13</x:f>
        <x:v>627196744.8095735</x:v>
      </x:c>
      <x:c r="O3" s="4" t="n">
        <x:f>SUM(C3:N3)</x:f>
        <x:v>7477048212.714881</x:v>
      </x:c>
    </x:row>
    <x:row r="4">
      <x:c r="A4" t="s">
        <x:v>88</x:v>
      </x:c>
      <x:c r="B4" t="s">
        <x:v>77</x:v>
      </x:c>
      <x:c r="C4" s="4" t="n">
        <x:f>SUM('Frais Export'!E2:E50)</x:f>
        <x:v>179664779</x:v>
      </x:c>
      <x:c r="D4" s="4" t="n">
        <x:f>SUM('Frais Export'!F2:F50)</x:f>
        <x:v>194350463</x:v>
      </x:c>
      <x:c r="E4" s="4" t="n">
        <x:f>SUM('Frais Export'!G2:G50)</x:f>
        <x:v>200183490</x:v>
      </x:c>
      <x:c r="F4" s="4" t="n">
        <x:f>SUM('Frais Export'!H2:H50)</x:f>
        <x:v>179593076</x:v>
      </x:c>
      <x:c r="G4" s="4" t="n">
        <x:f>SUM('Frais Export'!I2:I50)</x:f>
        <x:v>192380495</x:v>
      </x:c>
      <x:c r="H4" s="4" t="n">
        <x:f>SUM('Frais Export'!J2:J50)</x:f>
        <x:v>190250120</x:v>
      </x:c>
      <x:c r="I4" s="4" t="n">
        <x:f>SUM('Frais Export'!K2:K50)</x:f>
        <x:v>185474150</x:v>
      </x:c>
      <x:c r="J4" s="4" t="n">
        <x:f>SUM('Frais Export'!L2:L50)</x:f>
        <x:v>195120709</x:v>
      </x:c>
      <x:c r="K4" s="4" t="n">
        <x:f>SUM('Frais Export'!M2:M50)</x:f>
        <x:v>191316048</x:v>
      </x:c>
      <x:c r="L4" s="4" t="n">
        <x:f>SUM('Frais Export'!N2:N50)</x:f>
        <x:v>199090214</x:v>
      </x:c>
      <x:c r="M4" s="4" t="n">
        <x:f>SUM('Frais Export'!O2:O50)</x:f>
        <x:v>187791544</x:v>
      </x:c>
      <x:c r="N4" s="4" t="n">
        <x:f>SUM('Frais Export'!P2:P50)</x:f>
        <x:v>198934243</x:v>
      </x:c>
      <x:c r="O4" s="4" t="n">
        <x:f>SUM(C4:N4)</x:f>
        <x:v>2294149331</x:v>
      </x:c>
    </x:row>
    <x:row r="5">
      <x:c r="A5" t="s">
        <x:v>89</x:v>
      </x:c>
      <x:c r="B5" t="s">
        <x:v>77</x:v>
      </x:c>
      <x:c r="C5" s="4" t="n">
        <x:f>SUM(Employes!$I$2:$I$100)</x:f>
        <x:v>252921620</x:v>
      </x:c>
      <x:c r="D5" s="4" t="n">
        <x:f>SUM(Employes!$I$2:$I$100)</x:f>
        <x:v>252921620</x:v>
      </x:c>
      <x:c r="E5" s="4" t="n">
        <x:f>SUM(Employes!$I$2:$I$100)</x:f>
        <x:v>252921620</x:v>
      </x:c>
      <x:c r="F5" s="4" t="n">
        <x:f>SUM(Employes!$I$2:$I$100)</x:f>
        <x:v>252921620</x:v>
      </x:c>
      <x:c r="G5" s="4" t="n">
        <x:f>SUM(Employes!$I$2:$I$100)</x:f>
        <x:v>252921620</x:v>
      </x:c>
      <x:c r="H5" s="4" t="n">
        <x:f>SUM(Employes!$I$2:$I$100)</x:f>
        <x:v>252921620</x:v>
      </x:c>
      <x:c r="I5" s="4" t="n">
        <x:f>SUM(Employes!$I$2:$I$100)</x:f>
        <x:v>252921620</x:v>
      </x:c>
      <x:c r="J5" s="4" t="n">
        <x:f>SUM(Employes!$I$2:$I$100)</x:f>
        <x:v>252921620</x:v>
      </x:c>
      <x:c r="K5" s="4" t="n">
        <x:f>SUM(Employes!$I$2:$I$100)</x:f>
        <x:v>252921620</x:v>
      </x:c>
      <x:c r="L5" s="4" t="n">
        <x:f>SUM(Employes!$I$2:$I$100)</x:f>
        <x:v>252921620</x:v>
      </x:c>
      <x:c r="M5" s="4" t="n">
        <x:f>SUM(Employes!$I$2:$I$100)</x:f>
        <x:v>252921620</x:v>
      </x:c>
      <x:c r="N5" s="4" t="n">
        <x:f>SUM(Employes!$I$2:$I$100)</x:f>
        <x:v>252921620</x:v>
      </x:c>
      <x:c r="O5" s="4" t="n">
        <x:f>SUM(C5:N5)</x:f>
        <x:v>3035059440</x:v>
      </x:c>
    </x:row>
    <x:row r="6">
      <x:c r="A6" t="s">
        <x:v>90</x:v>
      </x:c>
      <x:c r="B6" t="s">
        <x:v>77</x:v>
      </x:c>
      <x:c r="C6" s="4" t="n">
        <x:f t="shared" ref="C6:N6" si="0">C2-C3-C4</x:f>
        <x:v>603212681.1904265</x:v>
      </x:c>
      <x:c r="D6" s="4" t="n">
        <x:f t="shared" si="0">D2-D3-D4</x:f>
        <x:v>562512837.1904265</x:v>
      </x:c>
      <x:c r="E6" s="4" t="n">
        <x:f t="shared" si="0">E2-E3-E4</x:f>
        <x:v>530450850.19042647</x:v>
      </x:c>
      <x:c r="F6" s="4" t="n">
        <x:f t="shared" si="0">F2-F3-F4</x:f>
        <x:v>436709639.19042647</x:v>
      </x:c>
      <x:c r="G6" s="4" t="n">
        <x:f t="shared" si="0">G2-G3-G4</x:f>
        <x:v>514497735.19042647</x:v>
      </x:c>
      <x:c r="H6" s="4" t="n">
        <x:f t="shared" si="0">H2-H3-H4</x:f>
        <x:v>549906630.1904265</x:v>
      </x:c>
      <x:c r="I6" s="4" t="n">
        <x:f t="shared" si="0">I2-I3-I4</x:f>
        <x:v>525310965.19042647</x:v>
      </x:c>
      <x:c r="J6" s="4" t="n">
        <x:f t="shared" si="0">J2-J3-J4</x:f>
        <x:v>592575636.1904265</x:v>
      </x:c>
      <x:c r="K6" s="4" t="n">
        <x:f t="shared" si="0">K2-K3-K4</x:f>
        <x:v>479907667.19042647</x:v>
      </x:c>
      <x:c r="L6" s="4" t="n">
        <x:f t="shared" si="0">L2-L3-L4</x:f>
        <x:v>540128191.1904265</x:v>
      </x:c>
      <x:c r="M6" s="4" t="n">
        <x:f t="shared" si="0">M2-M3-M4</x:f>
        <x:v>382248531.19042647</x:v>
      </x:c>
      <x:c r="N6" s="4" t="n">
        <x:f t="shared" si="0">N2-N3-N4</x:f>
        <x:v>567251622.1904265</x:v>
      </x:c>
      <x:c r="O6" s="4" t="n">
        <x:f>SUM(C6:N6)</x:f>
        <x:v>6284712986.285119</x:v>
      </x:c>
    </x:row>
    <x:row r="7">
      <x:c r="A7" t="s">
        <x:v>91</x:v>
      </x:c>
      <x:c r="B7" t="s">
        <x:v>8</x:v>
      </x:c>
      <x:c r="C7" s="6" t="n">
        <x:f t="shared" ref="C7:O7" si="1">IFERROR(C6/C2,0)</x:f>
        <x:v>0.4310136783376861</x:v>
      </x:c>
      <x:c r="D7" s="6" t="n">
        <x:f t="shared" si="1">IFERROR(D6/D2,0)</x:f>
        <x:v>0.4051894524068228</x:v>
      </x:c>
      <x:c r="E7" s="6" t="n">
        <x:f t="shared" si="1">IFERROR(E6/E2,0)</x:f>
        <x:v>0.38624061197018317</x:v>
      </x:c>
      <x:c r="F7" s="6" t="n">
        <x:f t="shared" si="1">IFERROR(F6/F2,0)</x:f>
        <x:v>0.35600015950805014</x:v>
      </x:c>
      <x:c r="G7" s="6" t="n">
        <x:f t="shared" si="1">IFERROR(G6/G2,0)</x:f>
        <x:v>0.3816662548550704</x:v>
      </x:c>
      <x:c r="H7" s="6" t="n">
        <x:f t="shared" si="1">IFERROR(H6/H2,0)</x:f>
        <x:v>0.40597530279534433</x:v>
      </x:c>
      <x:c r="I7" s="6" t="n">
        <x:f t="shared" si="1">IFERROR(I6/I2,0)</x:f>
        <x:v>0.3947019089697292</x:v>
      </x:c>
      <x:c r="J7" s="6" t="n">
        <x:f t="shared" si="1">IFERROR(J6/J2,0)</x:f>
        <x:v>0.4197266907267636</x:v>
      </x:c>
      <x:c r="K7" s="6" t="n">
        <x:f t="shared" si="1">IFERROR(K6/K2,0)</x:f>
        <x:v>0.3767211932566009</x:v>
      </x:c>
      <x:c r="L7" s="6" t="n">
        <x:f t="shared" si="1">IFERROR(L6/L2,0)</x:f>
        <x:v>0.39919754261943147</x:v>
      </x:c>
      <x:c r="M7" s="6" t="n">
        <x:f t="shared" si="1">IFERROR(M6/M2,0)</x:f>
        <x:v>0.3178961704374674</x:v>
      </x:c>
      <x:c r="N7" s="6" t="n">
        <x:f t="shared" si="1">IFERROR(N6/N2,0)</x:f>
        <x:v>0.40710399148043513</x:v>
      </x:c>
      <x:c r="O7" s="6" t="n">
        <x:f t="shared" si="1">IFERROR(O6/O2,0)</x:f>
        <x:v>0.39142675680350336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97" t="str">
        <x:v>COMPTE DE RÉSULTAT PAR NATURE — SOMIDA 2019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</x:row>
    <x:row r="2">
      <x:c r="A2" t="str">
        <x:v>Montants en MGA</x:v>
      </x:c>
    </x:row>
    <x:row r="4">
      <x:c r="A4" s="102" t="str">
        <x:v>Rubriques</x:v>
      </x:c>
      <x:c r="B4" s="102" t="str">
        <x:v>Janvier</x:v>
      </x:c>
      <x:c r="C4" s="102" t="str">
        <x:v>Février</x:v>
      </x:c>
      <x:c r="D4" s="102" t="str">
        <x:v>Mars</x:v>
      </x:c>
      <x:c r="E4" s="102" t="str">
        <x:v>Avril</x:v>
      </x:c>
      <x:c r="F4" s="102" t="str">
        <x:v>Mai</x:v>
      </x:c>
      <x:c r="G4" s="102" t="str">
        <x:v>Juin</x:v>
      </x:c>
      <x:c r="H4" s="102" t="str">
        <x:v>Juillet</x:v>
      </x:c>
      <x:c r="I4" s="102" t="str">
        <x:v>Août</x:v>
      </x:c>
      <x:c r="J4" s="102" t="str">
        <x:v>Septembre</x:v>
      </x:c>
      <x:c r="K4" s="102" t="str">
        <x:v>Octobre</x:v>
      </x:c>
      <x:c r="L4" s="102" t="str">
        <x:v>Novembre</x:v>
      </x:c>
      <x:c r="M4" s="102" t="str">
        <x:v>Décembre</x:v>
      </x:c>
      <x:c r="N4" s="102" t="str">
        <x:v>Total annuel</x:v>
      </x:c>
    </x:row>
    <x:row r="5">
      <x:c r="A5" t="str">
        <x:v>Chiffre d'affaires</x:v>
      </x:c>
      <x:c r="B5" s="89" t="n">
        <x:f>IF(Synthese!C2="",0,Synthese!C2)</x:f>
        <x:v>1399520970</x:v>
      </x:c>
      <x:c r="C5" s="89" t="n">
        <x:f>IF(Synthese!D2="",0,Synthese!D2)</x:f>
        <x:v>1388271175</x:v>
      </x:c>
      <x:c r="D5" s="89" t="n">
        <x:f>IF(Synthese!E2="",0,Synthese!E2)</x:f>
        <x:v>1373368915</x:v>
      </x:c>
      <x:c r="E5" s="89" t="n">
        <x:f>IF(Synthese!F2="",0,Synthese!F2)</x:f>
        <x:v>1226711920</x:v>
      </x:c>
      <x:c r="F5" s="89" t="n">
        <x:f>IF(Synthese!G2="",0,Synthese!G2)</x:f>
        <x:v>1348030455</x:v>
      </x:c>
      <x:c r="G5" s="89" t="n">
        <x:f>IF(Synthese!H2="",0,Synthese!H2)</x:f>
        <x:v>1354532225</x:v>
      </x:c>
      <x:c r="H5" s="89" t="n">
        <x:f>IF(Synthese!I2="",0,Synthese!I2)</x:f>
        <x:v>1330905560</x:v>
      </x:c>
      <x:c r="I5" s="89" t="n">
        <x:f>IF(Synthese!J2="",0,Synthese!J2)</x:f>
        <x:v>1411813090</x:v>
      </x:c>
      <x:c r="J5" s="89" t="n">
        <x:f>IF(Synthese!K2="",0,Synthese!K2)</x:f>
        <x:v>1273906740</x:v>
      </x:c>
      <x:c r="K5" s="89" t="n">
        <x:f>IF(Synthese!L2="",0,Synthese!L2)</x:f>
        <x:v>1353034860</x:v>
      </x:c>
      <x:c r="L5" s="89" t="n">
        <x:f>IF(Synthese!M2="",0,Synthese!M2)</x:f>
        <x:v>1202432010</x:v>
      </x:c>
      <x:c r="M5" s="89" t="n">
        <x:f>IF(Synthese!N2="",0,Synthese!N2)</x:f>
        <x:v>1393382610</x:v>
      </x:c>
      <x:c r="N5" s="89" t="n">
        <x:f>SUM(B5:M5)</x:f>
        <x:v>16055910530</x:v>
      </x:c>
    </x:row>
    <x:row r="6">
      <x:c r="A6" t="str">
        <x:v>Production stockée</x:v>
      </x:c>
      <x:c r="B6" s="89" t="n">
        <x:f>0</x:f>
        <x:v>0</x:v>
      </x:c>
      <x:c r="C6" s="89" t="n">
        <x:f>0</x:f>
        <x:v>0</x:v>
      </x:c>
      <x:c r="D6" s="89" t="n">
        <x:f>0</x:f>
        <x:v>0</x:v>
      </x:c>
      <x:c r="E6" s="89" t="n">
        <x:f>0</x:f>
        <x:v>0</x:v>
      </x:c>
      <x:c r="F6" s="89" t="n">
        <x:f>0</x:f>
        <x:v>0</x:v>
      </x:c>
      <x:c r="G6" s="89" t="n">
        <x:f>0</x:f>
        <x:v>0</x:v>
      </x:c>
      <x:c r="H6" s="89" t="n">
        <x:f>0</x:f>
        <x:v>0</x:v>
      </x:c>
      <x:c r="I6" s="89" t="n">
        <x:f>0</x:f>
        <x:v>0</x:v>
      </x:c>
      <x:c r="J6" s="89" t="n">
        <x:f>0</x:f>
        <x:v>0</x:v>
      </x:c>
      <x:c r="K6" s="89" t="n">
        <x:f>0</x:f>
        <x:v>0</x:v>
      </x:c>
      <x:c r="L6" s="89" t="n">
        <x:f>0</x:f>
        <x:v>0</x:v>
      </x:c>
      <x:c r="M6" s="89" t="n">
        <x:f>0</x:f>
        <x:v>0</x:v>
      </x:c>
      <x:c r="N6" s="89" t="n">
        <x:f>SUM(B6:M6)</x:f>
        <x:v>0</x:v>
      </x:c>
    </x:row>
    <x:row r="7">
      <x:c r="A7" t="str">
        <x:v>Production immobilisée</x:v>
      </x:c>
      <x:c r="B7" s="89" t="n">
        <x:f>0</x:f>
        <x:v>0</x:v>
      </x:c>
      <x:c r="C7" s="89" t="n">
        <x:f>0</x:f>
        <x:v>0</x:v>
      </x:c>
      <x:c r="D7" s="89" t="n">
        <x:f>0</x:f>
        <x:v>0</x:v>
      </x:c>
      <x:c r="E7" s="89" t="n">
        <x:f>0</x:f>
        <x:v>0</x:v>
      </x:c>
      <x:c r="F7" s="89" t="n">
        <x:f>0</x:f>
        <x:v>0</x:v>
      </x:c>
      <x:c r="G7" s="89" t="n">
        <x:f>0</x:f>
        <x:v>0</x:v>
      </x:c>
      <x:c r="H7" s="89" t="n">
        <x:f>0</x:f>
        <x:v>0</x:v>
      </x:c>
      <x:c r="I7" s="89" t="n">
        <x:f>0</x:f>
        <x:v>0</x:v>
      </x:c>
      <x:c r="J7" s="89" t="n">
        <x:f>0</x:f>
        <x:v>0</x:v>
      </x:c>
      <x:c r="K7" s="89" t="n">
        <x:f>0</x:f>
        <x:v>0</x:v>
      </x:c>
      <x:c r="L7" s="89" t="n">
        <x:f>0</x:f>
        <x:v>0</x:v>
      </x:c>
      <x:c r="M7" s="89" t="n">
        <x:f>0</x:f>
        <x:v>0</x:v>
      </x:c>
      <x:c r="N7" s="89" t="n">
        <x:f>SUM(B7:M7)</x:f>
        <x:v>0</x:v>
      </x:c>
    </x:row>
    <x:row r="8">
      <x:c r="A8" s="106" t="str">
        <x:v>I. PRODUCTION DE L'EXERCICE</x:v>
      </x:c>
      <x:c r="B8" s="92" t="n">
        <x:f>SUM(B5:B7)</x:f>
        <x:v>1399520970</x:v>
      </x:c>
      <x:c r="C8" s="92" t="n">
        <x:f>SUM(C5:C7)</x:f>
        <x:v>1388271175</x:v>
      </x:c>
      <x:c r="D8" s="92" t="n">
        <x:f>SUM(D5:D7)</x:f>
        <x:v>1373368915</x:v>
      </x:c>
      <x:c r="E8" s="92" t="n">
        <x:f>SUM(E5:E7)</x:f>
        <x:v>1226711920</x:v>
      </x:c>
      <x:c r="F8" s="92" t="n">
        <x:f>SUM(F5:F7)</x:f>
        <x:v>1348030455</x:v>
      </x:c>
      <x:c r="G8" s="92" t="n">
        <x:f>SUM(G5:G7)</x:f>
        <x:v>1354532225</x:v>
      </x:c>
      <x:c r="H8" s="92" t="n">
        <x:f>SUM(H5:H7)</x:f>
        <x:v>1330905560</x:v>
      </x:c>
      <x:c r="I8" s="92" t="n">
        <x:f>SUM(I5:I7)</x:f>
        <x:v>1411813090</x:v>
      </x:c>
      <x:c r="J8" s="92" t="n">
        <x:f>SUM(J5:J7)</x:f>
        <x:v>1273906740</x:v>
      </x:c>
      <x:c r="K8" s="92" t="n">
        <x:f>SUM(K5:K7)</x:f>
        <x:v>1353034860</x:v>
      </x:c>
      <x:c r="L8" s="92" t="n">
        <x:f>SUM(L5:L7)</x:f>
        <x:v>1202432010</x:v>
      </x:c>
      <x:c r="M8" s="92" t="n">
        <x:f>SUM(M5:M7)</x:f>
        <x:v>1393382610</x:v>
      </x:c>
      <x:c r="N8" s="92" t="n">
        <x:f>SUM(B8:M8)</x:f>
        <x:v>16055910530</x:v>
      </x:c>
    </x:row>
    <x:row r="9">
      <x:c r="A9" t="str">
        <x:v>Achats consommés / charges directes de production</x:v>
      </x:c>
      <x:c r="B9" s="89" t="n">
        <x:f>SUMIF(Charges!$A$2:$A$27,"PRODUCTION",Charges!$E$2:$E$27)</x:f>
        <x:v>250032860</x:v>
      </x:c>
      <x:c r="C9" s="89" t="n">
        <x:f>SUMIF(Charges!$A$2:$A$27,"PRODUCTION",Charges!$F$2:$F$27)</x:f>
        <x:v>260452500</x:v>
      </x:c>
      <x:c r="D9" s="89" t="n">
        <x:f>SUMIF(Charges!$A$2:$A$27,"PRODUCTION",Charges!$G$2:$G$27)</x:f>
        <x:v>268446640</x:v>
      </x:c>
      <x:c r="E9" s="89" t="n">
        <x:f>SUMIF(Charges!$A$2:$A$27,"PRODUCTION",Charges!$H$2:$H$27)</x:f>
        <x:v>242438350</x:v>
      </x:c>
      <x:c r="F9" s="89" t="n">
        <x:f>SUMIF(Charges!$A$2:$A$27,"PRODUCTION",Charges!$I$2:$I$27)</x:f>
        <x:v>271314890</x:v>
      </x:c>
      <x:c r="G9" s="89" t="n">
        <x:f>SUMIF(Charges!$A$2:$A$27,"PRODUCTION",Charges!$J$2:$J$27)</x:f>
        <x:v>243530980</x:v>
      </x:c>
      <x:c r="H9" s="89" t="n">
        <x:f>SUMIF(Charges!$A$2:$A$27,"PRODUCTION",Charges!$K$2:$K$27)</x:f>
        <x:v>254881550</x:v>
      </x:c>
      <x:c r="I9" s="89" t="n">
        <x:f>SUMIF(Charges!$A$2:$A$27,"PRODUCTION",Charges!$L$2:$L$27)</x:f>
        <x:v>254871540</x:v>
      </x:c>
      <x:c r="J9" s="89" t="n">
        <x:f>SUMIF(Charges!$A$2:$A$27,"PRODUCTION",Charges!$M$2:$M$27)</x:f>
        <x:v>234834600</x:v>
      </x:c>
      <x:c r="K9" s="89" t="n">
        <x:f>SUMIF(Charges!$A$2:$A$27,"PRODUCTION",Charges!$N$2:$N$27)</x:f>
        <x:v>249797240</x:v>
      </x:c>
      <x:c r="L9" s="89" t="n">
        <x:f>SUMIF(Charges!$A$2:$A$27,"PRODUCTION",Charges!$O$2:$O$27)</x:f>
        <x:v>269434550</x:v>
      </x:c>
      <x:c r="M9" s="89" t="n">
        <x:f>SUMIF(Charges!$A$2:$A$27,"PRODUCTION",Charges!$P$2:$P$27)</x:f>
        <x:v>254635920</x:v>
      </x:c>
      <x:c r="N9" s="89" t="n">
        <x:f>SUM(B9:M9)</x:f>
        <x:v>3054671620</x:v>
      </x:c>
    </x:row>
    <x:row r="10">
      <x:c r="A10" t="str">
        <x:v>Services extérieurs et autres consommations</x:v>
      </x:c>
      <x:c r="B10" s="89" t="n">
        <x:f>SUMIF(Charges!$A$2:$A$27,"ADMINISTRATION",Charges!$E$2:$E$27)-SUMIF(Charges!$B$2:$B$27,"Salaires administratifs",Charges!$E$2:$E$27)+SUMIF(Charges!$A$2:$A$27,"LOGISTIQUE",Charges!$E$2:$E$27)+SUMIF(Charges!$A$2:$A$27,"SECURITE",Charges!$E$2:$E$27)+SUM('Frais Export'!$E$2:$E$50)</x:f>
        <x:v>267793589</x:v>
      </x:c>
      <x:c r="C10" s="89" t="n">
        <x:f>SUMIF(Charges!$A$2:$A$27,"ADMINISTRATION",Charges!$F$2:$F$27)-SUMIF(Charges!$B$2:$B$27,"Salaires administratifs",Charges!$F$2:$F$27)+SUMIF(Charges!$A$2:$A$27,"LOGISTIQUE",Charges!$F$2:$F$27)+SUMIF(Charges!$A$2:$A$27,"SECURITE",Charges!$F$2:$F$27)+SUM('Frais Export'!$F$2:$F$50)</x:f>
        <x:v>280448013</x:v>
      </x:c>
      <x:c r="D10" s="89" t="n">
        <x:f>SUMIF(Charges!$A$2:$A$27,"ADMINISTRATION",Charges!$G$2:$G$27)-SUMIF(Charges!$B$2:$B$27,"Salaires administratifs",Charges!$G$2:$G$27)+SUMIF(Charges!$A$2:$A$27,"LOGISTIQUE",Charges!$G$2:$G$27)+SUMIF(Charges!$A$2:$A$27,"SECURITE",Charges!$G$2:$G$27)+SUM('Frais Export'!$G$2:$G$50)</x:f>
        <x:v>290739340</x:v>
      </x:c>
      <x:c r="E10" s="89" t="n">
        <x:f>SUMIF(Charges!$A$2:$A$27,"ADMINISTRATION",Charges!$H$2:$H$27)-SUMIF(Charges!$B$2:$B$27,"Salaires administratifs",Charges!$H$2:$H$27)+SUMIF(Charges!$A$2:$A$27,"LOGISTIQUE",Charges!$H$2:$H$27)+SUMIF(Charges!$A$2:$A$27,"SECURITE",Charges!$H$2:$H$27)+SUM('Frais Export'!$H$2:$H$50)</x:f>
        <x:v>265296386</x:v>
      </x:c>
      <x:c r="F10" s="89" t="n">
        <x:f>SUMIF(Charges!$A$2:$A$27,"ADMINISTRATION",Charges!$I$2:$I$27)-SUMIF(Charges!$B$2:$B$27,"Salaires administratifs",Charges!$I$2:$I$27)+SUMIF(Charges!$A$2:$A$27,"LOGISTIQUE",Charges!$I$2:$I$27)+SUMIF(Charges!$A$2:$A$27,"SECURITE",Charges!$I$2:$I$27)+SUM('Frais Export'!$I$2:$I$50)</x:f>
        <x:v>278263215</x:v>
      </x:c>
      <x:c r="G10" s="89" t="n">
        <x:f>SUMIF(Charges!$A$2:$A$27,"ADMINISTRATION",Charges!$J$2:$J$27)-SUMIF(Charges!$B$2:$B$27,"Salaires administratifs",Charges!$J$2:$J$27)+SUMIF(Charges!$A$2:$A$27,"LOGISTIQUE",Charges!$J$2:$J$27)+SUMIF(Charges!$A$2:$A$27,"SECURITE",Charges!$J$2:$J$27)+SUM('Frais Export'!$J$2:$J$50)</x:f>
        <x:v>280074470</x:v>
      </x:c>
      <x:c r="H10" s="89" t="n">
        <x:f>SUMIF(Charges!$A$2:$A$27,"ADMINISTRATION",Charges!$K$2:$K$27)-SUMIF(Charges!$B$2:$B$27,"Salaires administratifs",Charges!$K$2:$K$27)+SUMIF(Charges!$A$2:$A$27,"LOGISTIQUE",Charges!$K$2:$K$27)+SUMIF(Charges!$A$2:$A$27,"SECURITE",Charges!$K$2:$K$27)+SUM('Frais Export'!$K$2:$K$50)</x:f>
        <x:v>266505870</x:v>
      </x:c>
      <x:c r="I10" s="89" t="n">
        <x:f>SUMIF(Charges!$A$2:$A$27,"ADMINISTRATION",Charges!$L$2:$L$27)-SUMIF(Charges!$B$2:$B$27,"Salaires administratifs",Charges!$L$2:$L$27)+SUMIF(Charges!$A$2:$A$27,"LOGISTIQUE",Charges!$L$2:$L$27)+SUMIF(Charges!$A$2:$A$27,"SECURITE",Charges!$L$2:$L$27)+SUM('Frais Export'!$L$2:$L$50)</x:f>
        <x:v>282924579</x:v>
      </x:c>
      <x:c r="J10" s="89" t="n">
        <x:f>SUMIF(Charges!$A$2:$A$27,"ADMINISTRATION",Charges!$M$2:$M$27)-SUMIF(Charges!$B$2:$B$27,"Salaires administratifs",Charges!$M$2:$M$27)+SUMIF(Charges!$A$2:$A$27,"LOGISTIQUE",Charges!$M$2:$M$27)+SUMIF(Charges!$A$2:$A$27,"SECURITE",Charges!$M$2:$M$27)+SUM('Frais Export'!$M$2:$M$50)</x:f>
        <x:v>278569368</x:v>
      </x:c>
      <x:c r="K10" s="89" t="n">
        <x:f>SUMIF(Charges!$A$2:$A$27,"ADMINISTRATION",Charges!$N$2:$N$27)-SUMIF(Charges!$B$2:$B$27,"Salaires administratifs",Charges!$N$2:$N$27)+SUMIF(Charges!$A$2:$A$27,"LOGISTIQUE",Charges!$N$2:$N$27)+SUMIF(Charges!$A$2:$A$27,"SECURITE",Charges!$N$2:$N$27)+SUM('Frais Export'!$N$2:$N$50)</x:f>
        <x:v>282225574</x:v>
      </x:c>
      <x:c r="L10" s="89" t="n">
        <x:f>SUMIF(Charges!$A$2:$A$27,"ADMINISTRATION",Charges!$O$2:$O$27)-SUMIF(Charges!$B$2:$B$27,"Salaires administratifs",Charges!$O$2:$O$27)+SUMIF(Charges!$A$2:$A$27,"LOGISTIQUE",Charges!$O$2:$O$27)+SUMIF(Charges!$A$2:$A$27,"SECURITE",Charges!$O$2:$O$27)+SUM('Frais Export'!$O$2:$O$50)</x:f>
        <x:v>269518574</x:v>
      </x:c>
      <x:c r="M10" s="89" t="n">
        <x:f>SUMIF(Charges!$A$2:$A$27,"ADMINISTRATION",Charges!$P$2:$P$27)-SUMIF(Charges!$B$2:$B$27,"Salaires administratifs",Charges!$P$2:$P$27)+SUMIF(Charges!$A$2:$A$27,"LOGISTIQUE",Charges!$P$2:$P$27)+SUMIF(Charges!$A$2:$A$27,"SECURITE",Charges!$P$2:$P$27)+SUM('Frais Export'!$P$2:$P$50)</x:f>
        <x:v>286806643</x:v>
      </x:c>
      <x:c r="N10" s="89" t="n">
        <x:f>SUM(B10:M10)</x:f>
        <x:v>3329165621</x:v>
      </x:c>
    </x:row>
    <x:row r="11">
      <x:c r="A11" s="106" t="str">
        <x:v>II. CONSOMMATION DE L'EXERCICE</x:v>
      </x:c>
      <x:c r="B11" s="92" t="n">
        <x:f>SUM(B9:B10)</x:f>
        <x:v>517826449</x:v>
      </x:c>
      <x:c r="C11" s="92" t="n">
        <x:f>SUM(C9:C10)</x:f>
        <x:v>540900513</x:v>
      </x:c>
      <x:c r="D11" s="92" t="n">
        <x:f>SUM(D9:D10)</x:f>
        <x:v>559185980</x:v>
      </x:c>
      <x:c r="E11" s="92" t="n">
        <x:f>SUM(E9:E10)</x:f>
        <x:v>507734736</x:v>
      </x:c>
      <x:c r="F11" s="92" t="n">
        <x:f>SUM(F9:F10)</x:f>
        <x:v>549578105</x:v>
      </x:c>
      <x:c r="G11" s="92" t="n">
        <x:f>SUM(G9:G10)</x:f>
        <x:v>523605450</x:v>
      </x:c>
      <x:c r="H11" s="92" t="n">
        <x:f>SUM(H9:H10)</x:f>
        <x:v>521387420</x:v>
      </x:c>
      <x:c r="I11" s="92" t="n">
        <x:f>SUM(I9:I10)</x:f>
        <x:v>537796119</x:v>
      </x:c>
      <x:c r="J11" s="92" t="n">
        <x:f>SUM(J9:J10)</x:f>
        <x:v>513403968</x:v>
      </x:c>
      <x:c r="K11" s="92" t="n">
        <x:f>SUM(K9:K10)</x:f>
        <x:v>532022814</x:v>
      </x:c>
      <x:c r="L11" s="92" t="n">
        <x:f>SUM(L9:L10)</x:f>
        <x:v>538953124</x:v>
      </x:c>
      <x:c r="M11" s="92" t="n">
        <x:f>SUM(M9:M10)</x:f>
        <x:v>541442563</x:v>
      </x:c>
      <x:c r="N11" s="92" t="n">
        <x:f>SUM(B11:M11)</x:f>
        <x:v>6383837241</x:v>
      </x:c>
    </x:row>
    <x:row r="12">
      <x:c r="A12" s="106" t="str">
        <x:v>III. VALEUR AJOUTÉE D'EXPLOITATION (I-II)</x:v>
      </x:c>
      <x:c r="B12" s="92" t="n">
        <x:f>B8-B11</x:f>
        <x:v>881694521</x:v>
      </x:c>
      <x:c r="C12" s="92" t="n">
        <x:f>C8-C11</x:f>
        <x:v>847370662</x:v>
      </x:c>
      <x:c r="D12" s="92" t="n">
        <x:f>D8-D11</x:f>
        <x:v>814182935</x:v>
      </x:c>
      <x:c r="E12" s="92" t="n">
        <x:f>E8-E11</x:f>
        <x:v>718977184</x:v>
      </x:c>
      <x:c r="F12" s="92" t="n">
        <x:f>F8-F11</x:f>
        <x:v>798452350</x:v>
      </x:c>
      <x:c r="G12" s="92" t="n">
        <x:f>G8-G11</x:f>
        <x:v>830926775</x:v>
      </x:c>
      <x:c r="H12" s="92" t="n">
        <x:f>H8-H11</x:f>
        <x:v>809518140</x:v>
      </x:c>
      <x:c r="I12" s="92" t="n">
        <x:f>I8-I11</x:f>
        <x:v>874016971</x:v>
      </x:c>
      <x:c r="J12" s="92" t="n">
        <x:f>J8-J11</x:f>
        <x:v>760502772</x:v>
      </x:c>
      <x:c r="K12" s="92" t="n">
        <x:f>K8-K11</x:f>
        <x:v>821012046</x:v>
      </x:c>
      <x:c r="L12" s="92" t="n">
        <x:f>L8-L11</x:f>
        <x:v>663478886</x:v>
      </x:c>
      <x:c r="M12" s="92" t="n">
        <x:f>M8-M11</x:f>
        <x:v>851940047</x:v>
      </x:c>
      <x:c r="N12" s="92" t="n">
        <x:f>SUM(B12:M12)</x:f>
        <x:v>9672073289</x:v>
      </x:c>
    </x:row>
    <x:row r="13">
      <x:c r="A13" t="str">
        <x:v>Subventions d'exploitation</x:v>
      </x:c>
      <x:c r="B13" s="89" t="n">
        <x:f>0</x:f>
        <x:v>0</x:v>
      </x:c>
      <x:c r="C13" s="89" t="n">
        <x:f>0</x:f>
        <x:v>0</x:v>
      </x:c>
      <x:c r="D13" s="89" t="n">
        <x:f>0</x:f>
        <x:v>0</x:v>
      </x:c>
      <x:c r="E13" s="89" t="n">
        <x:f>0</x:f>
        <x:v>0</x:v>
      </x:c>
      <x:c r="F13" s="89" t="n">
        <x:f>0</x:f>
        <x:v>0</x:v>
      </x:c>
      <x:c r="G13" s="89" t="n">
        <x:f>0</x:f>
        <x:v>0</x:v>
      </x:c>
      <x:c r="H13" s="89" t="n">
        <x:f>0</x:f>
        <x:v>0</x:v>
      </x:c>
      <x:c r="I13" s="89" t="n">
        <x:f>0</x:f>
        <x:v>0</x:v>
      </x:c>
      <x:c r="J13" s="89" t="n">
        <x:f>0</x:f>
        <x:v>0</x:v>
      </x:c>
      <x:c r="K13" s="89" t="n">
        <x:f>0</x:f>
        <x:v>0</x:v>
      </x:c>
      <x:c r="L13" s="89" t="n">
        <x:f>0</x:f>
        <x:v>0</x:v>
      </x:c>
      <x:c r="M13" s="89" t="n">
        <x:f>0</x:f>
        <x:v>0</x:v>
      </x:c>
      <x:c r="N13" s="89" t="n">
        <x:f>SUM(B13:M13)</x:f>
        <x:v>0</x:v>
      </x:c>
    </x:row>
    <x:row r="14">
      <x:c r="A14" t="str">
        <x:v>Impôts, taxes et versements assimilés</x:v>
      </x:c>
      <x:c r="B14" s="89" t="n">
        <x:f>SUMIF(Charges!$A$2:$A$27,"FISCAL",Charges!$E$2:$E$27)</x:f>
        <x:v>21021770</x:v>
      </x:c>
      <x:c r="C14" s="89" t="n">
        <x:f>SUMIF(Charges!$A$2:$A$27,"FISCAL",Charges!$F$2:$F$27)</x:f>
        <x:v>23114630</x:v>
      </x:c>
      <x:c r="D14" s="89" t="n">
        <x:f>SUMIF(Charges!$A$2:$A$27,"FISCAL",Charges!$G$2:$G$27)</x:f>
        <x:v>21988890</x:v>
      </x:c>
      <x:c r="E14" s="89" t="n">
        <x:f>SUMIF(Charges!$A$2:$A$27,"FISCAL",Charges!$H$2:$H$27)</x:f>
        <x:v>20524350</x:v>
      </x:c>
      <x:c r="F14" s="89" t="n">
        <x:f>SUMIF(Charges!$A$2:$A$27,"FISCAL",Charges!$I$2:$I$27)</x:f>
        <x:v>22211420</x:v>
      </x:c>
      <x:c r="G14" s="89" t="n">
        <x:f>SUMIF(Charges!$A$2:$A$27,"FISCAL",Charges!$J$2:$J$27)</x:f>
        <x:v>19276950</x:v>
      </x:c>
      <x:c r="H14" s="89" t="n">
        <x:f>SUMIF(Charges!$A$2:$A$27,"FISCAL",Charges!$K$2:$K$27)</x:f>
        <x:v>22463980</x:v>
      </x:c>
      <x:c r="I14" s="89" t="n">
        <x:f>SUMIF(Charges!$A$2:$A$27,"FISCAL",Charges!$L$2:$L$27)</x:f>
        <x:v>19698140</x:v>
      </x:c>
      <x:c r="J14" s="89" t="n">
        <x:f>SUMIF(Charges!$A$2:$A$27,"FISCAL",Charges!$M$2:$M$27)</x:f>
        <x:v>18851910</x:v>
      </x:c>
      <x:c r="K14" s="89" t="n">
        <x:f>SUMIF(Charges!$A$2:$A$27,"FISCAL",Charges!$N$2:$N$27)</x:f>
        <x:v>19140660</x:v>
      </x:c>
      <x:c r="L14" s="89" t="n">
        <x:f>SUMIF(Charges!$A$2:$A$27,"FISCAL",Charges!$O$2:$O$27)</x:f>
        <x:v>19487160</x:v>
      </x:c>
      <x:c r="M14" s="89" t="n">
        <x:f>SUMIF(Charges!$A$2:$A$27,"FISCAL",Charges!$P$2:$P$27)</x:f>
        <x:v>22945230</x:v>
      </x:c>
      <x:c r="N14" s="89" t="n">
        <x:f>SUM(B14:M14)</x:f>
        <x:v>250725090</x:v>
      </x:c>
    </x:row>
    <x:row r="15">
      <x:c r="A15" t="str">
        <x:v>Charges de personnel</x:v>
      </x:c>
      <x:c r="B15" s="89" t="n">
        <x:f>IF(Synthese!C5="",0,Synthese!C5)</x:f>
        <x:v>252921620</x:v>
      </x:c>
      <x:c r="C15" s="89" t="n">
        <x:f>IF(Synthese!D5="",0,Synthese!D5)</x:f>
        <x:v>252921620</x:v>
      </x:c>
      <x:c r="D15" s="89" t="n">
        <x:f>IF(Synthese!E5="",0,Synthese!E5)</x:f>
        <x:v>252921620</x:v>
      </x:c>
      <x:c r="E15" s="89" t="n">
        <x:f>IF(Synthese!F5="",0,Synthese!F5)</x:f>
        <x:v>252921620</x:v>
      </x:c>
      <x:c r="F15" s="89" t="n">
        <x:f>IF(Synthese!G5="",0,Synthese!G5)</x:f>
        <x:v>252921620</x:v>
      </x:c>
      <x:c r="G15" s="89" t="n">
        <x:f>IF(Synthese!H5="",0,Synthese!H5)</x:f>
        <x:v>252921620</x:v>
      </x:c>
      <x:c r="H15" s="89" t="n">
        <x:f>IF(Synthese!I5="",0,Synthese!I5)</x:f>
        <x:v>252921620</x:v>
      </x:c>
      <x:c r="I15" s="89" t="n">
        <x:f>IF(Synthese!J5="",0,Synthese!J5)</x:f>
        <x:v>252921620</x:v>
      </x:c>
      <x:c r="J15" s="89" t="n">
        <x:f>IF(Synthese!K5="",0,Synthese!K5)</x:f>
        <x:v>252921620</x:v>
      </x:c>
      <x:c r="K15" s="89" t="n">
        <x:f>IF(Synthese!L5="",0,Synthese!L5)</x:f>
        <x:v>252921620</x:v>
      </x:c>
      <x:c r="L15" s="89" t="n">
        <x:f>IF(Synthese!M5="",0,Synthese!M5)</x:f>
        <x:v>252921620</x:v>
      </x:c>
      <x:c r="M15" s="89" t="n">
        <x:f>IF(Synthese!N5="",0,Synthese!N5)</x:f>
        <x:v>252921620</x:v>
      </x:c>
      <x:c r="N15" s="89" t="n">
        <x:f>SUM(B15:M15)</x:f>
        <x:v>3035059440</x:v>
      </x:c>
    </x:row>
    <x:row r="16">
      <x:c r="A16" s="106" t="str">
        <x:v>IV. EXCÉDENT BRUT D'EXPLOITATION</x:v>
      </x:c>
      <x:c r="B16" s="92" t="n">
        <x:f>B12+B13-B14-B15</x:f>
        <x:v>607751131</x:v>
      </x:c>
      <x:c r="C16" s="92" t="n">
        <x:f>C12+C13-C14-C15</x:f>
        <x:v>571334412</x:v>
      </x:c>
      <x:c r="D16" s="92" t="n">
        <x:f>D12+D13-D14-D15</x:f>
        <x:v>539272425</x:v>
      </x:c>
      <x:c r="E16" s="92" t="n">
        <x:f>E12+E13-E14-E15</x:f>
        <x:v>445531214</x:v>
      </x:c>
      <x:c r="F16" s="92" t="n">
        <x:f>F12+F13-F14-F15</x:f>
        <x:v>523319310</x:v>
      </x:c>
      <x:c r="G16" s="92" t="n">
        <x:f>G12+G13-G14-G15</x:f>
        <x:v>558728205</x:v>
      </x:c>
      <x:c r="H16" s="92" t="n">
        <x:f>H12+H13-H14-H15</x:f>
        <x:v>534132540</x:v>
      </x:c>
      <x:c r="I16" s="92" t="n">
        <x:f>I12+I13-I14-I15</x:f>
        <x:v>601397211</x:v>
      </x:c>
      <x:c r="J16" s="92" t="n">
        <x:f>J12+J13-J14-J15</x:f>
        <x:v>488729242</x:v>
      </x:c>
      <x:c r="K16" s="92" t="n">
        <x:f>K12+K13-K14-K15</x:f>
        <x:v>548949766</x:v>
      </x:c>
      <x:c r="L16" s="92" t="n">
        <x:f>L12+L13-L14-L15</x:f>
        <x:v>391070106</x:v>
      </x:c>
      <x:c r="M16" s="92" t="n">
        <x:f>M12+M13-M14-M15</x:f>
        <x:v>576073197</x:v>
      </x:c>
      <x:c r="N16" s="92" t="n">
        <x:f>SUM(B16:M16)</x:f>
        <x:v>6386288759</x:v>
      </x:c>
    </x:row>
    <x:row r="17">
      <x:c r="A17" t="str">
        <x:v>Autres produits opérationnels</x:v>
      </x:c>
      <x:c r="B17" s="89" t="n">
        <x:f>0</x:f>
        <x:v>0</x:v>
      </x:c>
      <x:c r="C17" s="89" t="n">
        <x:f>0</x:f>
        <x:v>0</x:v>
      </x:c>
      <x:c r="D17" s="89" t="n">
        <x:f>0</x:f>
        <x:v>0</x:v>
      </x:c>
      <x:c r="E17" s="89" t="n">
        <x:f>0</x:f>
        <x:v>0</x:v>
      </x:c>
      <x:c r="F17" s="89" t="n">
        <x:f>0</x:f>
        <x:v>0</x:v>
      </x:c>
      <x:c r="G17" s="89" t="n">
        <x:f>0</x:f>
        <x:v>0</x:v>
      </x:c>
      <x:c r="H17" s="89" t="n">
        <x:f>0</x:f>
        <x:v>0</x:v>
      </x:c>
      <x:c r="I17" s="89" t="n">
        <x:f>0</x:f>
        <x:v>0</x:v>
      </x:c>
      <x:c r="J17" s="89" t="n">
        <x:f>0</x:f>
        <x:v>0</x:v>
      </x:c>
      <x:c r="K17" s="89" t="n">
        <x:f>0</x:f>
        <x:v>0</x:v>
      </x:c>
      <x:c r="L17" s="89" t="n">
        <x:f>0</x:f>
        <x:v>0</x:v>
      </x:c>
      <x:c r="M17" s="89" t="n">
        <x:f>0</x:f>
        <x:v>0</x:v>
      </x:c>
      <x:c r="N17" s="89" t="n">
        <x:f>SUM(B17:M17)</x:f>
        <x:v>0</x:v>
      </x:c>
    </x:row>
    <x:row r="18">
      <x:c r="A18" t="str">
        <x:v>Autres charges opérationnelles</x:v>
      </x:c>
      <x:c r="B18" s="89" t="n">
        <x:f>0</x:f>
        <x:v>0</x:v>
      </x:c>
      <x:c r="C18" s="89" t="n">
        <x:f>0</x:f>
        <x:v>0</x:v>
      </x:c>
      <x:c r="D18" s="89" t="n">
        <x:f>0</x:f>
        <x:v>0</x:v>
      </x:c>
      <x:c r="E18" s="89" t="n">
        <x:f>0</x:f>
        <x:v>0</x:v>
      </x:c>
      <x:c r="F18" s="89" t="n">
        <x:f>0</x:f>
        <x:v>0</x:v>
      </x:c>
      <x:c r="G18" s="89" t="n">
        <x:f>0</x:f>
        <x:v>0</x:v>
      </x:c>
      <x:c r="H18" s="89" t="n">
        <x:f>0</x:f>
        <x:v>0</x:v>
      </x:c>
      <x:c r="I18" s="89" t="n">
        <x:f>0</x:f>
        <x:v>0</x:v>
      </x:c>
      <x:c r="J18" s="89" t="n">
        <x:f>0</x:f>
        <x:v>0</x:v>
      </x:c>
      <x:c r="K18" s="89" t="n">
        <x:f>0</x:f>
        <x:v>0</x:v>
      </x:c>
      <x:c r="L18" s="89" t="n">
        <x:f>0</x:f>
        <x:v>0</x:v>
      </x:c>
      <x:c r="M18" s="89" t="n">
        <x:f>0</x:f>
        <x:v>0</x:v>
      </x:c>
      <x:c r="N18" s="89" t="n">
        <x:f>SUM(B18:M18)</x:f>
        <x:v>0</x:v>
      </x:c>
    </x:row>
    <x:row r="19">
      <x:c r="A19" t="str">
        <x:v>Dotations aux amortissements</x:v>
      </x:c>
      <x:c r="B19" s="89" t="n">
        <x:f>Amortissements!E13</x:f>
        <x:v>4538449.809573568</x:v>
      </x:c>
      <x:c r="C19" s="89" t="n">
        <x:f>Amortissements!F13</x:f>
        <x:v>8821574.809573567</x:v>
      </x:c>
      <x:c r="D19" s="89" t="n">
        <x:f>Amortissements!G13</x:f>
        <x:v>8821574.809573567</x:v>
      </x:c>
      <x:c r="E19" s="89" t="n">
        <x:f>Amortissements!H13</x:f>
        <x:v>8821574.809573567</x:v>
      </x:c>
      <x:c r="F19" s="89" t="n">
        <x:f>Amortissements!I13</x:f>
        <x:v>8821574.809573567</x:v>
      </x:c>
      <x:c r="G19" s="89" t="n">
        <x:f>Amortissements!J13</x:f>
        <x:v>8821574.809573567</x:v>
      </x:c>
      <x:c r="H19" s="89" t="n">
        <x:f>Amortissements!K13</x:f>
        <x:v>8821574.809573567</x:v>
      </x:c>
      <x:c r="I19" s="89" t="n">
        <x:f>Amortissements!L13</x:f>
        <x:v>8821574.809573567</x:v>
      </x:c>
      <x:c r="J19" s="89" t="n">
        <x:f>Amortissements!M13</x:f>
        <x:v>8821574.809573567</x:v>
      </x:c>
      <x:c r="K19" s="89" t="n">
        <x:f>Amortissements!N13</x:f>
        <x:v>8821574.809573567</x:v>
      </x:c>
      <x:c r="L19" s="89" t="n">
        <x:f>Amortissements!O13</x:f>
        <x:v>8821574.809573567</x:v>
      </x:c>
      <x:c r="M19" s="89" t="n">
        <x:f>Amortissements!P13</x:f>
        <x:v>8821574.809573567</x:v>
      </x:c>
      <x:c r="N19" s="89" t="n">
        <x:f>SUM(B19:M19)</x:f>
        <x:v>101575772.71488279</x:v>
      </x:c>
    </x:row>
    <x:row r="20">
      <x:c r="A20" t="str">
        <x:v>Provisions et pertes de valeur</x:v>
      </x:c>
      <x:c r="B20" s="89" t="n">
        <x:f>0</x:f>
        <x:v>0</x:v>
      </x:c>
      <x:c r="C20" s="89" t="n">
        <x:f>0</x:f>
        <x:v>0</x:v>
      </x:c>
      <x:c r="D20" s="89" t="n">
        <x:f>0</x:f>
        <x:v>0</x:v>
      </x:c>
      <x:c r="E20" s="89" t="n">
        <x:f>0</x:f>
        <x:v>0</x:v>
      </x:c>
      <x:c r="F20" s="89" t="n">
        <x:f>0</x:f>
        <x:v>0</x:v>
      </x:c>
      <x:c r="G20" s="89" t="n">
        <x:f>0</x:f>
        <x:v>0</x:v>
      </x:c>
      <x:c r="H20" s="89" t="n">
        <x:f>0</x:f>
        <x:v>0</x:v>
      </x:c>
      <x:c r="I20" s="89" t="n">
        <x:f>0</x:f>
        <x:v>0</x:v>
      </x:c>
      <x:c r="J20" s="89" t="n">
        <x:f>0</x:f>
        <x:v>0</x:v>
      </x:c>
      <x:c r="K20" s="89" t="n">
        <x:f>0</x:f>
        <x:v>0</x:v>
      </x:c>
      <x:c r="L20" s="89" t="n">
        <x:f>0</x:f>
        <x:v>0</x:v>
      </x:c>
      <x:c r="M20" s="89" t="n">
        <x:f>0</x:f>
        <x:v>0</x:v>
      </x:c>
      <x:c r="N20" s="89" t="n">
        <x:f>SUM(B20:M20)</x:f>
        <x:v>0</x:v>
      </x:c>
    </x:row>
    <x:row r="21">
      <x:c r="A21" t="str">
        <x:v>Reprises sur provisions et pertes de valeur</x:v>
      </x:c>
      <x:c r="B21" s="89" t="n">
        <x:f>0</x:f>
        <x:v>0</x:v>
      </x:c>
      <x:c r="C21" s="89" t="n">
        <x:f>0</x:f>
        <x:v>0</x:v>
      </x:c>
      <x:c r="D21" s="89" t="n">
        <x:f>0</x:f>
        <x:v>0</x:v>
      </x:c>
      <x:c r="E21" s="89" t="n">
        <x:f>0</x:f>
        <x:v>0</x:v>
      </x:c>
      <x:c r="F21" s="89" t="n">
        <x:f>0</x:f>
        <x:v>0</x:v>
      </x:c>
      <x:c r="G21" s="89" t="n">
        <x:f>0</x:f>
        <x:v>0</x:v>
      </x:c>
      <x:c r="H21" s="89" t="n">
        <x:f>0</x:f>
        <x:v>0</x:v>
      </x:c>
      <x:c r="I21" s="89" t="n">
        <x:f>0</x:f>
        <x:v>0</x:v>
      </x:c>
      <x:c r="J21" s="89" t="n">
        <x:f>0</x:f>
        <x:v>0</x:v>
      </x:c>
      <x:c r="K21" s="89" t="n">
        <x:f>0</x:f>
        <x:v>0</x:v>
      </x:c>
      <x:c r="L21" s="89" t="n">
        <x:f>0</x:f>
        <x:v>0</x:v>
      </x:c>
      <x:c r="M21" s="89" t="n">
        <x:f>0</x:f>
        <x:v>0</x:v>
      </x:c>
      <x:c r="N21" s="89" t="n">
        <x:f>SUM(B21:M21)</x:f>
        <x:v>0</x:v>
      </x:c>
    </x:row>
    <x:row r="22">
      <x:c r="A22" s="106" t="str">
        <x:v>V. RÉSULTAT OPÉRATIONNEL</x:v>
      </x:c>
      <x:c r="B22" s="92" t="n">
        <x:f>B16+B17-B18-B19-B20+B21</x:f>
        <x:v>603212681.1904265</x:v>
      </x:c>
      <x:c r="C22" s="92" t="n">
        <x:f>C16+C17-C18-C19-C20+C21</x:f>
        <x:v>562512837.1904265</x:v>
      </x:c>
      <x:c r="D22" s="92" t="n">
        <x:f>D16+D17-D18-D19-D20+D21</x:f>
        <x:v>530450850.1904264</x:v>
      </x:c>
      <x:c r="E22" s="92" t="n">
        <x:f>E16+E17-E18-E19-E20+E21</x:f>
        <x:v>436709639.1904264</x:v>
      </x:c>
      <x:c r="F22" s="92" t="n">
        <x:f>F16+F17-F18-F19-F20+F21</x:f>
        <x:v>514497735.1904264</x:v>
      </x:c>
      <x:c r="G22" s="92" t="n">
        <x:f>G16+G17-G18-G19-G20+G21</x:f>
        <x:v>549906630.1904265</x:v>
      </x:c>
      <x:c r="H22" s="92" t="n">
        <x:f>H16+H17-H18-H19-H20+H21</x:f>
        <x:v>525310965.1904264</x:v>
      </x:c>
      <x:c r="I22" s="92" t="n">
        <x:f>I16+I17-I18-I19-I20+I21</x:f>
        <x:v>592575636.1904265</x:v>
      </x:c>
      <x:c r="J22" s="92" t="n">
        <x:f>J16+J17-J18-J19-J20+J21</x:f>
        <x:v>479907667.1904264</x:v>
      </x:c>
      <x:c r="K22" s="92" t="n">
        <x:f>K16+K17-K18-K19-K20+K21</x:f>
        <x:v>540128191.1904265</x:v>
      </x:c>
      <x:c r="L22" s="92" t="n">
        <x:f>L16+L17-L18-L19-L20+L21</x:f>
        <x:v>382248531.1904264</x:v>
      </x:c>
      <x:c r="M22" s="92" t="n">
        <x:f>M16+M17-M18-M19-M20+M21</x:f>
        <x:v>567251622.1904265</x:v>
      </x:c>
      <x:c r="N22" s="92" t="n">
        <x:f>SUM(B22:M22)</x:f>
        <x:v>6284712986.285119</x:v>
      </x:c>
    </x:row>
    <x:row r="23">
      <x:c r="A23" t="str">
        <x:v>Produits financiers</x:v>
      </x:c>
      <x:c r="B23" s="89" t="n">
        <x:f>0</x:f>
        <x:v>0</x:v>
      </x:c>
      <x:c r="C23" s="89" t="n">
        <x:f>0</x:f>
        <x:v>0</x:v>
      </x:c>
      <x:c r="D23" s="89" t="n">
        <x:f>0</x:f>
        <x:v>0</x:v>
      </x:c>
      <x:c r="E23" s="89" t="n">
        <x:f>0</x:f>
        <x:v>0</x:v>
      </x:c>
      <x:c r="F23" s="89" t="n">
        <x:f>0</x:f>
        <x:v>0</x:v>
      </x:c>
      <x:c r="G23" s="89" t="n">
        <x:f>0</x:f>
        <x:v>0</x:v>
      </x:c>
      <x:c r="H23" s="89" t="n">
        <x:f>0</x:f>
        <x:v>0</x:v>
      </x:c>
      <x:c r="I23" s="89" t="n">
        <x:f>0</x:f>
        <x:v>0</x:v>
      </x:c>
      <x:c r="J23" s="89" t="n">
        <x:f>0</x:f>
        <x:v>0</x:v>
      </x:c>
      <x:c r="K23" s="89" t="n">
        <x:f>0</x:f>
        <x:v>0</x:v>
      </x:c>
      <x:c r="L23" s="89" t="n">
        <x:f>0</x:f>
        <x:v>0</x:v>
      </x:c>
      <x:c r="M23" s="89" t="n">
        <x:f>0</x:f>
        <x:v>0</x:v>
      </x:c>
      <x:c r="N23" s="89" t="n">
        <x:f>SUM(B23:M23)</x:f>
        <x:v>0</x:v>
      </x:c>
    </x:row>
    <x:row r="24">
      <x:c r="A24" t="str">
        <x:v>Charges financières</x:v>
      </x:c>
      <x:c r="B24" s="89" t="n">
        <x:f>SUMIF(Charges!$A$2:$A$27,"FINANCE",Charges!$E$2:$E$27)</x:f>
        <x:v>8032640</x:v>
      </x:c>
      <x:c r="C24" s="89" t="n">
        <x:f>SUMIF(Charges!$A$2:$A$27,"FINANCE",Charges!$F$2:$F$27)</x:f>
        <x:v>7614530</x:v>
      </x:c>
      <x:c r="D24" s="89" t="n">
        <x:f>SUMIF(Charges!$A$2:$A$27,"FINANCE",Charges!$G$2:$G$27)</x:f>
        <x:v>9497950</x:v>
      </x:c>
      <x:c r="E24" s="89" t="n">
        <x:f>SUMIF(Charges!$A$2:$A$27,"FINANCE",Charges!$H$2:$H$27)</x:f>
        <x:v>9240000</x:v>
      </x:c>
      <x:c r="F24" s="89" t="n">
        <x:f>SUMIF(Charges!$A$2:$A$27,"FINANCE",Charges!$I$2:$I$27)</x:f>
        <x:v>7983360</x:v>
      </x:c>
      <x:c r="G24" s="89" t="n">
        <x:f>SUMIF(Charges!$A$2:$A$27,"FINANCE",Charges!$J$2:$J$27)</x:f>
        <x:v>9360120</x:v>
      </x:c>
      <x:c r="H24" s="89" t="n">
        <x:f>SUMIF(Charges!$A$2:$A$27,"FINANCE",Charges!$K$2:$K$27)</x:f>
        <x:v>9524900</x:v>
      </x:c>
      <x:c r="I24" s="89" t="n">
        <x:f>SUMIF(Charges!$A$2:$A$27,"FINANCE",Charges!$L$2:$L$27)</x:f>
        <x:v>7629160</x:v>
      </x:c>
      <x:c r="J24" s="89" t="n">
        <x:f>SUMIF(Charges!$A$2:$A$27,"FINANCE",Charges!$M$2:$M$27)</x:f>
        <x:v>8237460</x:v>
      </x:c>
      <x:c r="K24" s="89" t="n">
        <x:f>SUMIF(Charges!$A$2:$A$27,"FINANCE",Charges!$N$2:$N$27)</x:f>
        <x:v>7813960</x:v>
      </x:c>
      <x:c r="L24" s="89" t="n">
        <x:f>SUMIF(Charges!$A$2:$A$27,"FINANCE",Charges!$O$2:$O$27)</x:f>
        <x:v>8216670</x:v>
      </x:c>
      <x:c r="M24" s="89" t="n">
        <x:f>SUMIF(Charges!$A$2:$A$27,"FINANCE",Charges!$P$2:$P$27)</x:f>
        <x:v>9113720</x:v>
      </x:c>
      <x:c r="N24" s="89" t="n">
        <x:f>SUM(B24:M24)</x:f>
        <x:v>102264470</x:v>
      </x:c>
    </x:row>
    <x:row r="25">
      <x:c r="A25" s="106" t="str">
        <x:v>VI. RÉSULTAT FINANCIER</x:v>
      </x:c>
      <x:c r="B25" s="92" t="n">
        <x:f>B23-B24</x:f>
        <x:v>-8032640</x:v>
      </x:c>
      <x:c r="C25" s="92" t="n">
        <x:f>C23-C24</x:f>
        <x:v>-7614530</x:v>
      </x:c>
      <x:c r="D25" s="92" t="n">
        <x:f>D23-D24</x:f>
        <x:v>-9497950</x:v>
      </x:c>
      <x:c r="E25" s="92" t="n">
        <x:f>E23-E24</x:f>
        <x:v>-9240000</x:v>
      </x:c>
      <x:c r="F25" s="92" t="n">
        <x:f>F23-F24</x:f>
        <x:v>-7983360</x:v>
      </x:c>
      <x:c r="G25" s="92" t="n">
        <x:f>G23-G24</x:f>
        <x:v>-9360120</x:v>
      </x:c>
      <x:c r="H25" s="92" t="n">
        <x:f>H23-H24</x:f>
        <x:v>-9524900</x:v>
      </x:c>
      <x:c r="I25" s="92" t="n">
        <x:f>I23-I24</x:f>
        <x:v>-7629160</x:v>
      </x:c>
      <x:c r="J25" s="92" t="n">
        <x:f>J23-J24</x:f>
        <x:v>-8237460</x:v>
      </x:c>
      <x:c r="K25" s="92" t="n">
        <x:f>K23-K24</x:f>
        <x:v>-7813960</x:v>
      </x:c>
      <x:c r="L25" s="92" t="n">
        <x:f>L23-L24</x:f>
        <x:v>-8216670</x:v>
      </x:c>
      <x:c r="M25" s="92" t="n">
        <x:f>M23-M24</x:f>
        <x:v>-9113720</x:v>
      </x:c>
      <x:c r="N25" s="92" t="n">
        <x:f>SUM(B25:M25)</x:f>
        <x:v>-102264470</x:v>
      </x:c>
    </x:row>
    <x:row r="26">
      <x:c r="A26" s="106" t="str">
        <x:v>VII. RÉSULTAT AVANT IMPÔTS (V+VI)</x:v>
      </x:c>
      <x:c r="B26" s="92" t="n">
        <x:f>B22+B25</x:f>
        <x:v>595180041.1904265</x:v>
      </x:c>
      <x:c r="C26" s="92" t="n">
        <x:f>C22+C25</x:f>
        <x:v>554898307.1904265</x:v>
      </x:c>
      <x:c r="D26" s="92" t="n">
        <x:f>D22+D25</x:f>
        <x:v>520952900.1904264</x:v>
      </x:c>
      <x:c r="E26" s="92" t="n">
        <x:f>E22+E25</x:f>
        <x:v>427469639.1904264</x:v>
      </x:c>
      <x:c r="F26" s="92" t="n">
        <x:f>F22+F25</x:f>
        <x:v>506514375.1904264</x:v>
      </x:c>
      <x:c r="G26" s="92" t="n">
        <x:f>G22+G25</x:f>
        <x:v>540546510.1904265</x:v>
      </x:c>
      <x:c r="H26" s="92" t="n">
        <x:f>H22+H25</x:f>
        <x:v>515786065.1904264</x:v>
      </x:c>
      <x:c r="I26" s="92" t="n">
        <x:f>I22+I25</x:f>
        <x:v>584946476.1904265</x:v>
      </x:c>
      <x:c r="J26" s="92" t="n">
        <x:f>J22+J25</x:f>
        <x:v>471670207.1904264</x:v>
      </x:c>
      <x:c r="K26" s="92" t="n">
        <x:f>K22+K25</x:f>
        <x:v>532314231.19042647</x:v>
      </x:c>
      <x:c r="L26" s="92" t="n">
        <x:f>L22+L25</x:f>
        <x:v>374031861.1904264</x:v>
      </x:c>
      <x:c r="M26" s="92" t="n">
        <x:f>M22+M25</x:f>
        <x:v>558137902.1904265</x:v>
      </x:c>
      <x:c r="N26" s="92" t="n">
        <x:f>SUM(B26:M26)</x:f>
        <x:v>6182448516.285118</x:v>
      </x:c>
    </x:row>
    <x:row r="27">
      <x:c r="A27" t="str">
        <x:v>Impôt exigible sur les résultats (20%)</x:v>
      </x:c>
      <x:c r="B27" s="89" t="n">
        <x:f>IF(B26&gt;0,B26*20%,0)</x:f>
        <x:v>119036008.2380853</x:v>
      </x:c>
      <x:c r="C27" s="89" t="n">
        <x:f>IF(C26&gt;0,C26*20%,0)</x:f>
        <x:v>110979661.4380853</x:v>
      </x:c>
      <x:c r="D27" s="89" t="n">
        <x:f>IF(D26&gt;0,D26*20%,0)</x:f>
        <x:v>104190580.03808528</x:v>
      </x:c>
      <x:c r="E27" s="89" t="n">
        <x:f>IF(E26&gt;0,E26*20%,0)</x:f>
        <x:v>85493927.8380853</x:v>
      </x:c>
      <x:c r="F27" s="89" t="n">
        <x:f>IF(F26&gt;0,F26*20%,0)</x:f>
        <x:v>101302875.03808528</x:v>
      </x:c>
      <x:c r="G27" s="89" t="n">
        <x:f>IF(G26&gt;0,G26*20%,0)</x:f>
        <x:v>108109302.0380853</x:v>
      </x:c>
      <x:c r="H27" s="89" t="n">
        <x:f>IF(H26&gt;0,H26*20%,0)</x:f>
        <x:v>103157213.03808528</x:v>
      </x:c>
      <x:c r="I27" s="89" t="n">
        <x:f>IF(I26&gt;0,I26*20%,0)</x:f>
        <x:v>116989295.2380853</x:v>
      </x:c>
      <x:c r="J27" s="89" t="n">
        <x:f>IF(J26&gt;0,J26*20%,0)</x:f>
        <x:v>94334041.43808529</x:v>
      </x:c>
      <x:c r="K27" s="89" t="n">
        <x:f>IF(K26&gt;0,K26*20%,0)</x:f>
        <x:v>106462846.2380853</x:v>
      </x:c>
      <x:c r="L27" s="89" t="n">
        <x:f>IF(L26&gt;0,L26*20%,0)</x:f>
        <x:v>74806372.23808528</x:v>
      </x:c>
      <x:c r="M27" s="89" t="n">
        <x:f>IF(M26&gt;0,M26*20%,0)</x:f>
        <x:v>111627580.4380853</x:v>
      </x:c>
      <x:c r="N27" s="89" t="n">
        <x:f>SUM(B27:M27)</x:f>
        <x:v>1236489703.2570236</x:v>
      </x:c>
    </x:row>
    <x:row r="28">
      <x:c r="A28" t="str">
        <x:v>Impôts différés</x:v>
      </x:c>
      <x:c r="B28" s="89" t="n">
        <x:f>0</x:f>
        <x:v>0</x:v>
      </x:c>
      <x:c r="C28" s="89" t="n">
        <x:f>0</x:f>
        <x:v>0</x:v>
      </x:c>
      <x:c r="D28" s="89" t="n">
        <x:f>0</x:f>
        <x:v>0</x:v>
      </x:c>
      <x:c r="E28" s="89" t="n">
        <x:f>0</x:f>
        <x:v>0</x:v>
      </x:c>
      <x:c r="F28" s="89" t="n">
        <x:f>0</x:f>
        <x:v>0</x:v>
      </x:c>
      <x:c r="G28" s="89" t="n">
        <x:f>0</x:f>
        <x:v>0</x:v>
      </x:c>
      <x:c r="H28" s="89" t="n">
        <x:f>0</x:f>
        <x:v>0</x:v>
      </x:c>
      <x:c r="I28" s="89" t="n">
        <x:f>0</x:f>
        <x:v>0</x:v>
      </x:c>
      <x:c r="J28" s="89" t="n">
        <x:f>0</x:f>
        <x:v>0</x:v>
      </x:c>
      <x:c r="K28" s="89" t="n">
        <x:f>0</x:f>
        <x:v>0</x:v>
      </x:c>
      <x:c r="L28" s="89" t="n">
        <x:f>0</x:f>
        <x:v>0</x:v>
      </x:c>
      <x:c r="M28" s="89" t="n">
        <x:f>0</x:f>
        <x:v>0</x:v>
      </x:c>
      <x:c r="N28" s="89" t="n">
        <x:f>SUM(B28:M28)</x:f>
        <x:v>0</x:v>
      </x:c>
    </x:row>
    <x:row r="29">
      <x:c r="A29" s="106" t="str">
        <x:v>VIII. RÉSULTAT NET DES ACTIVITÉS ORDINAIRES</x:v>
      </x:c>
      <x:c r="B29" s="92" t="n">
        <x:f>B26-B27-B28</x:f>
        <x:v>476144032.9523412</x:v>
      </x:c>
      <x:c r="C29" s="92" t="n">
        <x:f>C26-C27-C28</x:f>
        <x:v>443918645.75234115</x:v>
      </x:c>
      <x:c r="D29" s="92" t="n">
        <x:f>D26-D27-D28</x:f>
        <x:v>416762320.1523411</x:v>
      </x:c>
      <x:c r="E29" s="92" t="n">
        <x:f>E26-E27-E28</x:f>
        <x:v>341975711.3523411</x:v>
      </x:c>
      <x:c r="F29" s="92" t="n">
        <x:f>F26-F27-F28</x:f>
        <x:v>405211500.1523411</x:v>
      </x:c>
      <x:c r="G29" s="92" t="n">
        <x:f>G26-G27-G28</x:f>
        <x:v>432437208.1523412</x:v>
      </x:c>
      <x:c r="H29" s="92" t="n">
        <x:f>H26-H27-H28</x:f>
        <x:v>412628852.1523411</x:v>
      </x:c>
      <x:c r="I29" s="92" t="n">
        <x:f>I26-I27-I28</x:f>
        <x:v>467957180.9523412</x:v>
      </x:c>
      <x:c r="J29" s="92" t="n">
        <x:f>J26-J27-J28</x:f>
        <x:v>377336165.75234115</x:v>
      </x:c>
      <x:c r="K29" s="92" t="n">
        <x:f>K26-K27-K28</x:f>
        <x:v>425851384.9523412</x:v>
      </x:c>
      <x:c r="L29" s="92" t="n">
        <x:f>L26-L27-L28</x:f>
        <x:v>299225488.95234114</x:v>
      </x:c>
      <x:c r="M29" s="92" t="n">
        <x:f>M26-M27-M28</x:f>
        <x:v>446510321.75234115</x:v>
      </x:c>
      <x:c r="N29" s="92" t="n">
        <x:f>SUM(B29:M29)</x:f>
        <x:v>4945958813.028094</x:v>
      </x:c>
    </x:row>
    <x:row r="30">
      <x:c r="A30" t="str">
        <x:v>Éléments extraordinaires - produits</x:v>
      </x:c>
      <x:c r="B30" s="89" t="n">
        <x:f>0</x:f>
        <x:v>0</x:v>
      </x:c>
      <x:c r="C30" s="89" t="n">
        <x:f>0</x:f>
        <x:v>0</x:v>
      </x:c>
      <x:c r="D30" s="89" t="n">
        <x:f>0</x:f>
        <x:v>0</x:v>
      </x:c>
      <x:c r="E30" s="89" t="n">
        <x:f>0</x:f>
        <x:v>0</x:v>
      </x:c>
      <x:c r="F30" s="89" t="n">
        <x:f>0</x:f>
        <x:v>0</x:v>
      </x:c>
      <x:c r="G30" s="89" t="n">
        <x:f>0</x:f>
        <x:v>0</x:v>
      </x:c>
      <x:c r="H30" s="89" t="n">
        <x:f>0</x:f>
        <x:v>0</x:v>
      </x:c>
      <x:c r="I30" s="89" t="n">
        <x:f>0</x:f>
        <x:v>0</x:v>
      </x:c>
      <x:c r="J30" s="89" t="n">
        <x:f>0</x:f>
        <x:v>0</x:v>
      </x:c>
      <x:c r="K30" s="89" t="n">
        <x:f>0</x:f>
        <x:v>0</x:v>
      </x:c>
      <x:c r="L30" s="89" t="n">
        <x:f>0</x:f>
        <x:v>0</x:v>
      </x:c>
      <x:c r="M30" s="89" t="n">
        <x:f>0</x:f>
        <x:v>0</x:v>
      </x:c>
      <x:c r="N30" s="89" t="n">
        <x:f>SUM(B30:M30)</x:f>
        <x:v>0</x:v>
      </x:c>
    </x:row>
    <x:row r="31">
      <x:c r="A31" t="str">
        <x:v>Éléments extraordinaires - charges</x:v>
      </x:c>
      <x:c r="B31" s="89" t="n">
        <x:f>0</x:f>
        <x:v>0</x:v>
      </x:c>
      <x:c r="C31" s="89" t="n">
        <x:f>0</x:f>
        <x:v>0</x:v>
      </x:c>
      <x:c r="D31" s="89" t="n">
        <x:f>0</x:f>
        <x:v>0</x:v>
      </x:c>
      <x:c r="E31" s="89" t="n">
        <x:f>0</x:f>
        <x:v>0</x:v>
      </x:c>
      <x:c r="F31" s="89" t="n">
        <x:f>0</x:f>
        <x:v>0</x:v>
      </x:c>
      <x:c r="G31" s="89" t="n">
        <x:f>0</x:f>
        <x:v>0</x:v>
      </x:c>
      <x:c r="H31" s="89" t="n">
        <x:f>0</x:f>
        <x:v>0</x:v>
      </x:c>
      <x:c r="I31" s="89" t="n">
        <x:f>0</x:f>
        <x:v>0</x:v>
      </x:c>
      <x:c r="J31" s="89" t="n">
        <x:f>0</x:f>
        <x:v>0</x:v>
      </x:c>
      <x:c r="K31" s="89" t="n">
        <x:f>0</x:f>
        <x:v>0</x:v>
      </x:c>
      <x:c r="L31" s="89" t="n">
        <x:f>0</x:f>
        <x:v>0</x:v>
      </x:c>
      <x:c r="M31" s="89" t="n">
        <x:f>0</x:f>
        <x:v>0</x:v>
      </x:c>
      <x:c r="N31" s="89" t="n">
        <x:f>SUM(B31:M31)</x:f>
        <x:v>0</x:v>
      </x:c>
    </x:row>
    <x:row r="32">
      <x:c r="A32" s="106" t="str">
        <x:v>IX. RÉSULTAT EXTRAORDINAIRE</x:v>
      </x:c>
      <x:c r="B32" s="92" t="n">
        <x:f>B30-B31</x:f>
        <x:v>0</x:v>
      </x:c>
      <x:c r="C32" s="92" t="n">
        <x:f>C30-C31</x:f>
        <x:v>0</x:v>
      </x:c>
      <x:c r="D32" s="92" t="n">
        <x:f>D30-D31</x:f>
        <x:v>0</x:v>
      </x:c>
      <x:c r="E32" s="92" t="n">
        <x:f>E30-E31</x:f>
        <x:v>0</x:v>
      </x:c>
      <x:c r="F32" s="92" t="n">
        <x:f>F30-F31</x:f>
        <x:v>0</x:v>
      </x:c>
      <x:c r="G32" s="92" t="n">
        <x:f>G30-G31</x:f>
        <x:v>0</x:v>
      </x:c>
      <x:c r="H32" s="92" t="n">
        <x:f>H30-H31</x:f>
        <x:v>0</x:v>
      </x:c>
      <x:c r="I32" s="92" t="n">
        <x:f>I30-I31</x:f>
        <x:v>0</x:v>
      </x:c>
      <x:c r="J32" s="92" t="n">
        <x:f>J30-J31</x:f>
        <x:v>0</x:v>
      </x:c>
      <x:c r="K32" s="92" t="n">
        <x:f>K30-K31</x:f>
        <x:v>0</x:v>
      </x:c>
      <x:c r="L32" s="92" t="n">
        <x:f>L30-L31</x:f>
        <x:v>0</x:v>
      </x:c>
      <x:c r="M32" s="92" t="n">
        <x:f>M30-M31</x:f>
        <x:v>0</x:v>
      </x:c>
      <x:c r="N32" s="92" t="n">
        <x:f>SUM(B32:M32)</x:f>
        <x:v>0</x:v>
      </x:c>
    </x:row>
    <x:row r="33">
      <x:c r="A33" s="110" t="str">
        <x:v>X. RÉSULTAT NET DE L'EXERCICE</x:v>
      </x:c>
      <x:c r="B33" s="113" t="n">
        <x:f>B29+B32</x:f>
        <x:v>476144032.9523412</x:v>
      </x:c>
      <x:c r="C33" s="113" t="n">
        <x:f>C29+C32</x:f>
        <x:v>443918645.75234115</x:v>
      </x:c>
      <x:c r="D33" s="113" t="n">
        <x:f>D29+D32</x:f>
        <x:v>416762320.1523411</x:v>
      </x:c>
      <x:c r="E33" s="113" t="n">
        <x:f>E29+E32</x:f>
        <x:v>341975711.3523411</x:v>
      </x:c>
      <x:c r="F33" s="113" t="n">
        <x:f>F29+F32</x:f>
        <x:v>405211500.1523411</x:v>
      </x:c>
      <x:c r="G33" s="113" t="n">
        <x:f>G29+G32</x:f>
        <x:v>432437208.1523412</x:v>
      </x:c>
      <x:c r="H33" s="113" t="n">
        <x:f>H29+H32</x:f>
        <x:v>412628852.1523411</x:v>
      </x:c>
      <x:c r="I33" s="113" t="n">
        <x:f>I29+I32</x:f>
        <x:v>467957180.9523412</x:v>
      </x:c>
      <x:c r="J33" s="113" t="n">
        <x:f>J29+J32</x:f>
        <x:v>377336165.75234115</x:v>
      </x:c>
      <x:c r="K33" s="113" t="n">
        <x:f>K29+K32</x:f>
        <x:v>425851384.9523412</x:v>
      </x:c>
      <x:c r="L33" s="113" t="n">
        <x:f>L29+L32</x:f>
        <x:v>299225488.95234114</x:v>
      </x:c>
      <x:c r="M33" s="113" t="n">
        <x:f>M29+M32</x:f>
        <x:v>446510321.75234115</x:v>
      </x:c>
      <x:c r="N33" s="113" t="n">
        <x:f>SUM(B33:M33)</x:f>
        <x:v>4945958813.028094</x:v>
      </x:c>
    </x:row>
    <x:row r="34">
      <x:c r="A34" t="str">
        <x:v>Marge nette</x:v>
      </x:c>
      <x:c r="B34" s="115" t="n">
        <x:f>IFERROR(B33/B5,0)</x:f>
        <x:v>0.34021929157113034</x:v>
      </x:c>
      <x:c r="C34" s="115" t="n">
        <x:f>IFERROR(C33/C5,0)</x:f>
        <x:v>0.31976364110011946</x:v>
      </x:c>
      <x:c r="D34" s="115" t="n">
        <x:f>IFERROR(D33/D5,0)</x:f>
        <x:v>0.3034598465135212</x:v>
      </x:c>
      <x:c r="E34" s="115" t="n">
        <x:f>IFERROR(E33/E5,0)</x:f>
        <x:v>0.27877426295192526</x:v>
      </x:c>
      <x:c r="F34" s="115" t="n">
        <x:f>IFERROR(F33/F5,0)</x:f>
        <x:v>0.30059521181392085</x:v>
      </x:c>
      <x:c r="G34" s="115" t="n">
        <x:f>IFERROR(G33/G5,0)</x:f>
        <x:v>0.31925206368002146</x:v>
      </x:c>
      <x:c r="H34" s="115" t="n">
        <x:f>IFERROR(H33/H5,0)</x:f>
        <x:v>0.31003616225958297</x:v>
      </x:c>
      <x:c r="I34" s="115" t="n">
        <x:f>IFERROR(I33/I5,0)</x:f>
        <x:v>0.3314583100744173</x:v>
      </x:c>
      <x:c r="J34" s="115" t="n">
        <x:f>IFERROR(J33/J5,0)</x:f>
        <x:v>0.2962039165852448</x:v>
      </x:c>
      <x:c r="K34" s="115" t="n">
        <x:f>IFERROR(K33/K5,0)</x:f>
        <x:v>0.3147379254902133</x:v>
      </x:c>
      <x:c r="L34" s="115" t="n">
        <x:f>IFERROR(L33/L5,0)</x:f>
        <x:v>0.24885023557576544</x:v>
      </x:c>
      <x:c r="M34" s="115" t="n">
        <x:f>IFERROR(M33/M5,0)</x:f>
        <x:v>0.3204506203449325</x:v>
      </x:c>
      <x:c r="N34" s="115" t="n">
        <x:f>IFERROR(N33/N5,0)</x:f>
        <x:v>0.30804598741296635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5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1" hidden="0" customWidth="1"/>
  </x:cols>
  <x:sheetData>
    <x:row r="1" ht="32" customHeight="1">
      <x:c r="A1" s="172" t="str">
        <x:v>Catégorie</x:v>
      </x:c>
      <x:c r="B1" s="172" t="str">
        <x:v>Nature</x:v>
      </x:c>
      <x:c r="C1" s="172" t="str">
        <x:v>Périmètre général</x:v>
      </x:c>
      <x:c r="D1" s="172" t="str">
        <x:v>Unité</x:v>
      </x:c>
      <x:c r="E1" s="172" t="str">
        <x:v>Janvier</x:v>
      </x:c>
      <x:c r="F1" s="172" t="str">
        <x:v>Février</x:v>
      </x:c>
      <x:c r="G1" s="172" t="str">
        <x:v>Mars</x:v>
      </x:c>
      <x:c r="H1" s="172" t="str">
        <x:v>Avril</x:v>
      </x:c>
      <x:c r="I1" s="172" t="str">
        <x:v>Mai</x:v>
      </x:c>
      <x:c r="J1" s="172" t="str">
        <x:v>Juin</x:v>
      </x:c>
      <x:c r="K1" s="172" t="str">
        <x:v>Juillet</x:v>
      </x:c>
      <x:c r="L1" s="172" t="str">
        <x:v>Août</x:v>
      </x:c>
      <x:c r="M1" s="172" t="str">
        <x:v>Septembre</x:v>
      </x:c>
      <x:c r="N1" s="172" t="str">
        <x:v>Octobre</x:v>
      </x:c>
      <x:c r="O1" s="172" t="str">
        <x:v>Novembre</x:v>
      </x:c>
      <x:c r="P1" s="172" t="str">
        <x:v>Décembre</x:v>
      </x:c>
      <x:c r="Q1" s="172" t="str">
        <x:v>Total annuel</x:v>
      </x:c>
    </x:row>
    <x:row r="2" ht="21" customHeight="1">
      <x:c r="A2" s="175" t="str">
        <x:v>AMORTISSEMENT</x:v>
      </x:c>
      <x:c r="B2" s="175" t="str">
        <x:v>DOT.AMORT.MAT &amp; OUTILLAGE</x:v>
      </x:c>
      <x:c r="C2" s="175"/>
      <x:c r="D2" s="175" t="str">
        <x:v>MGA</x:v>
      </x:c>
      <x:c r="E2" s="176" t="n">
        <x:v>1028335.6775999999</x:v>
      </x:c>
      <x:c r="F2" s="176" t="n">
        <x:v>1028335.6775999999</x:v>
      </x:c>
      <x:c r="G2" s="176" t="n">
        <x:v>1028335.6775999999</x:v>
      </x:c>
      <x:c r="H2" s="176" t="n">
        <x:v>1028335.6775999999</x:v>
      </x:c>
      <x:c r="I2" s="176" t="n">
        <x:v>1028335.6775999999</x:v>
      </x:c>
      <x:c r="J2" s="176" t="n">
        <x:v>1028335.6775999999</x:v>
      </x:c>
      <x:c r="K2" s="176" t="n">
        <x:v>1028335.6775999999</x:v>
      </x:c>
      <x:c r="L2" s="176" t="n">
        <x:v>1028335.6775999999</x:v>
      </x:c>
      <x:c r="M2" s="176" t="n">
        <x:v>1028335.6775999999</x:v>
      </x:c>
      <x:c r="N2" s="176" t="n">
        <x:v>1028335.6775999999</x:v>
      </x:c>
      <x:c r="O2" s="176" t="n">
        <x:v>1028335.6775999999</x:v>
      </x:c>
      <x:c r="P2" s="176" t="n">
        <x:v>1028335.6775999999</x:v>
      </x:c>
      <x:c r="Q2" s="176" t="n">
        <x:v>12340028.131199999</x:v>
      </x:c>
    </x:row>
    <x:row r="3" ht="21" customHeight="1">
      <x:c r="A3" s="173" t="str">
        <x:v>AMORTISSEMENT</x:v>
      </x:c>
      <x:c r="B3" s="173" t="str">
        <x:v>DOT.AMORT.VEHICULE UTILITAIRE</x:v>
      </x:c>
      <x:c r="C3" s="173"/>
      <x:c r="D3" s="173" t="str">
        <x:v>MGA</x:v>
      </x:c>
      <x:c r="E3" s="174" t="n">
        <x:v>1733900.4375</x:v>
      </x:c>
      <x:c r="F3" s="174" t="n">
        <x:v>1733900.4375</x:v>
      </x:c>
      <x:c r="G3" s="174" t="n">
        <x:v>1733900.4375</x:v>
      </x:c>
      <x:c r="H3" s="174" t="n">
        <x:v>1733900.4375</x:v>
      </x:c>
      <x:c r="I3" s="174" t="n">
        <x:v>1733900.4375</x:v>
      </x:c>
      <x:c r="J3" s="174" t="n">
        <x:v>1733900.4375</x:v>
      </x:c>
      <x:c r="K3" s="174" t="n">
        <x:v>1733900.4375</x:v>
      </x:c>
      <x:c r="L3" s="174" t="n">
        <x:v>1733900.4375</x:v>
      </x:c>
      <x:c r="M3" s="174" t="n">
        <x:v>1733900.4375</x:v>
      </x:c>
      <x:c r="N3" s="174" t="n">
        <x:v>1733900.4375</x:v>
      </x:c>
      <x:c r="O3" s="174" t="n">
        <x:v>1733900.4375</x:v>
      </x:c>
      <x:c r="P3" s="174" t="n">
        <x:v>1733900.4375</x:v>
      </x:c>
      <x:c r="Q3" s="174" t="n">
        <x:v>20806805.25</x:v>
      </x:c>
    </x:row>
    <x:row r="4" ht="21" customHeight="1">
      <x:c r="A4" s="175" t="str">
        <x:v>AMORTISSEMENT</x:v>
      </x:c>
      <x:c r="B4" s="175" t="str">
        <x:v>Autres immobilisations 1</x:v>
      </x:c>
      <x:c r="C4" s="175"/>
      <x:c r="D4" s="175" t="str">
        <x:v>MGA</x:v>
      </x:c>
      <x:c r="E4" s="176" t="n">
        <x:v>0</x:v>
      </x:c>
      <x:c r="F4" s="176" t="n">
        <x:v>256666.66666666666</x:v>
      </x:c>
      <x:c r="G4" s="176" t="n">
        <x:v>256666.66666666666</x:v>
      </x:c>
      <x:c r="H4" s="176" t="n">
        <x:v>256666.66666666666</x:v>
      </x:c>
      <x:c r="I4" s="176" t="n">
        <x:v>256666.66666666666</x:v>
      </x:c>
      <x:c r="J4" s="176" t="n">
        <x:v>256666.66666666666</x:v>
      </x:c>
      <x:c r="K4" s="176" t="n">
        <x:v>256666.66666666666</x:v>
      </x:c>
      <x:c r="L4" s="176" t="n">
        <x:v>256666.66666666666</x:v>
      </x:c>
      <x:c r="M4" s="176" t="n">
        <x:v>256666.66666666666</x:v>
      </x:c>
      <x:c r="N4" s="176" t="n">
        <x:v>256666.66666666666</x:v>
      </x:c>
      <x:c r="O4" s="176" t="n">
        <x:v>256666.66666666666</x:v>
      </x:c>
      <x:c r="P4" s="176" t="n">
        <x:v>256666.66666666666</x:v>
      </x:c>
      <x:c r="Q4" s="176" t="n">
        <x:v>2823333.333333333</x:v>
      </x:c>
    </x:row>
    <x:row r="5" ht="21" customHeight="1">
      <x:c r="A5" s="173" t="str">
        <x:v>AMORTISSEMENT</x:v>
      </x:c>
      <x:c r="B5" s="173" t="str">
        <x:v>DOT.AMORT Réparations toitures</x:v>
      </x:c>
      <x:c r="C5" s="173"/>
      <x:c r="D5" s="173" t="str">
        <x:v>MGA</x:v>
      </x:c>
      <x:c r="E5" s="174" t="n">
        <x:v>0</x:v>
      </x:c>
      <x:c r="F5" s="174" t="n">
        <x:v>3850000</x:v>
      </x:c>
      <x:c r="G5" s="174" t="n">
        <x:v>3850000</x:v>
      </x:c>
      <x:c r="H5" s="174" t="n">
        <x:v>3850000</x:v>
      </x:c>
      <x:c r="I5" s="174" t="n">
        <x:v>3850000</x:v>
      </x:c>
      <x:c r="J5" s="174" t="n">
        <x:v>3850000</x:v>
      </x:c>
      <x:c r="K5" s="174" t="n">
        <x:v>3850000</x:v>
      </x:c>
      <x:c r="L5" s="174" t="n">
        <x:v>3850000</x:v>
      </x:c>
      <x:c r="M5" s="174" t="n">
        <x:v>3850000</x:v>
      </x:c>
      <x:c r="N5" s="174" t="n">
        <x:v>3850000</x:v>
      </x:c>
      <x:c r="O5" s="174" t="n">
        <x:v>3850000</x:v>
      </x:c>
      <x:c r="P5" s="174" t="n">
        <x:v>3850000</x:v>
      </x:c>
      <x:c r="Q5" s="174" t="n">
        <x:v>42350000</x:v>
      </x:c>
    </x:row>
    <x:row r="6" ht="21" customHeight="1">
      <x:c r="A6" s="175" t="str">
        <x:v>AMORTISSEMENT</x:v>
      </x:c>
      <x:c r="B6" s="175" t="str">
        <x:v>Autres immobilisations 2</x:v>
      </x:c>
      <x:c r="C6" s="175"/>
      <x:c r="D6" s="175" t="str">
        <x:v>MGA</x:v>
      </x:c>
      <x:c r="E6" s="176" t="n">
        <x:v>0</x:v>
      </x:c>
      <x:c r="F6" s="176" t="n">
        <x:v>64166.666666666664</x:v>
      </x:c>
      <x:c r="G6" s="176" t="n">
        <x:v>64166.666666666664</x:v>
      </x:c>
      <x:c r="H6" s="176" t="n">
        <x:v>64166.666666666664</x:v>
      </x:c>
      <x:c r="I6" s="176" t="n">
        <x:v>64166.666666666664</x:v>
      </x:c>
      <x:c r="J6" s="176" t="n">
        <x:v>64166.666666666664</x:v>
      </x:c>
      <x:c r="K6" s="176" t="n">
        <x:v>64166.666666666664</x:v>
      </x:c>
      <x:c r="L6" s="176" t="n">
        <x:v>64166.666666666664</x:v>
      </x:c>
      <x:c r="M6" s="176" t="n">
        <x:v>64166.666666666664</x:v>
      </x:c>
      <x:c r="N6" s="176" t="n">
        <x:v>64166.666666666664</x:v>
      </x:c>
      <x:c r="O6" s="176" t="n">
        <x:v>64166.666666666664</x:v>
      </x:c>
      <x:c r="P6" s="176" t="n">
        <x:v>64166.666666666664</x:v>
      </x:c>
      <x:c r="Q6" s="176" t="n">
        <x:v>705833.3333333333</x:v>
      </x:c>
    </x:row>
    <x:row r="7" ht="21" customHeight="1">
      <x:c r="A7" s="173" t="str">
        <x:v>AMORTISSEMENT</x:v>
      </x:c>
      <x:c r="B7" s="173" t="str">
        <x:v>DOT.AMORT.AGENC AMENAG CONSTRUC</x:v>
      </x:c>
      <x:c r="C7" s="173"/>
      <x:c r="D7" s="173" t="str">
        <x:v>MGA</x:v>
      </x:c>
      <x:c r="E7" s="174" t="n">
        <x:v>0</x:v>
      </x:c>
      <x:c r="F7" s="174" t="n">
        <x:v>0</x:v>
      </x:c>
      <x:c r="G7" s="174" t="n">
        <x:v>0</x:v>
      </x:c>
      <x:c r="H7" s="174" t="n">
        <x:v>0</x:v>
      </x:c>
      <x:c r="I7" s="174" t="n">
        <x:v>0</x:v>
      </x:c>
      <x:c r="J7" s="174" t="n">
        <x:v>0</x:v>
      </x:c>
      <x:c r="K7" s="174" t="n">
        <x:v>0</x:v>
      </x:c>
      <x:c r="L7" s="174" t="n">
        <x:v>0</x:v>
      </x:c>
      <x:c r="M7" s="174" t="n">
        <x:v>0</x:v>
      </x:c>
      <x:c r="N7" s="174" t="n">
        <x:v>0</x:v>
      </x:c>
      <x:c r="O7" s="174" t="n">
        <x:v>0</x:v>
      </x:c>
      <x:c r="P7" s="174" t="n">
        <x:v>0</x:v>
      </x:c>
      <x:c r="Q7" s="174" t="n">
        <x:v>0</x:v>
      </x:c>
    </x:row>
    <x:row r="8" ht="21" customHeight="1">
      <x:c r="A8" s="175" t="str">
        <x:v>AMORTISSEMENT</x:v>
      </x:c>
      <x:c r="B8" s="175" t="str">
        <x:v>DOT.AMORT.AUTRES INSTALLATIONS</x:v>
      </x:c>
      <x:c r="C8" s="175"/>
      <x:c r="D8" s="175" t="str">
        <x:v>MGA</x:v>
      </x:c>
      <x:c r="E8" s="176" t="n">
        <x:v>9112.343625</x:v>
      </x:c>
      <x:c r="F8" s="176" t="n">
        <x:v>9112.343625</x:v>
      </x:c>
      <x:c r="G8" s="176" t="n">
        <x:v>9112.343625</x:v>
      </x:c>
      <x:c r="H8" s="176" t="n">
        <x:v>9112.343625</x:v>
      </x:c>
      <x:c r="I8" s="176" t="n">
        <x:v>9112.343625</x:v>
      </x:c>
      <x:c r="J8" s="176" t="n">
        <x:v>9112.343625</x:v>
      </x:c>
      <x:c r="K8" s="176" t="n">
        <x:v>9112.343625</x:v>
      </x:c>
      <x:c r="L8" s="176" t="n">
        <x:v>9112.343625</x:v>
      </x:c>
      <x:c r="M8" s="176" t="n">
        <x:v>9112.343625</x:v>
      </x:c>
      <x:c r="N8" s="176" t="n">
        <x:v>9112.343625</x:v>
      </x:c>
      <x:c r="O8" s="176" t="n">
        <x:v>9112.343625</x:v>
      </x:c>
      <x:c r="P8" s="176" t="n">
        <x:v>9112.343625</x:v>
      </x:c>
      <x:c r="Q8" s="176" t="n">
        <x:v>109348.12349999999</x:v>
      </x:c>
    </x:row>
    <x:row r="9" ht="21" customHeight="1">
      <x:c r="A9" s="173" t="str">
        <x:v>AMORTISSEMENT</x:v>
      </x:c>
      <x:c r="B9" s="173" t="str">
        <x:v>DOT.AMORT.MATERIEL DE BUREAU</x:v>
      </x:c>
      <x:c r="C9" s="173"/>
      <x:c r="D9" s="173" t="str">
        <x:v>MGA</x:v>
      </x:c>
      <x:c r="E9" s="174" t="n">
        <x:v>1438671.2835687501</x:v>
      </x:c>
      <x:c r="F9" s="174" t="n">
        <x:v>1438671.2835687501</x:v>
      </x:c>
      <x:c r="G9" s="174" t="n">
        <x:v>1438671.2835687501</x:v>
      </x:c>
      <x:c r="H9" s="174" t="n">
        <x:v>1438671.2835687501</x:v>
      </x:c>
      <x:c r="I9" s="174" t="n">
        <x:v>1438671.2835687501</x:v>
      </x:c>
      <x:c r="J9" s="174" t="n">
        <x:v>1438671.2835687501</x:v>
      </x:c>
      <x:c r="K9" s="174" t="n">
        <x:v>1438671.2835687501</x:v>
      </x:c>
      <x:c r="L9" s="174" t="n">
        <x:v>1438671.2835687501</x:v>
      </x:c>
      <x:c r="M9" s="174" t="n">
        <x:v>1438671.2835687501</x:v>
      </x:c>
      <x:c r="N9" s="174" t="n">
        <x:v>1438671.2835687501</x:v>
      </x:c>
      <x:c r="O9" s="174" t="n">
        <x:v>1438671.2835687501</x:v>
      </x:c>
      <x:c r="P9" s="174" t="n">
        <x:v>1438671.2835687501</x:v>
      </x:c>
      <x:c r="Q9" s="174" t="n">
        <x:v>17264055.402825</x:v>
      </x:c>
    </x:row>
    <x:row r="10" ht="21" customHeight="1">
      <x:c r="A10" s="175" t="str">
        <x:v>AMORTISSEMENT</x:v>
      </x:c>
      <x:c r="B10" s="175" t="str">
        <x:v>DOT.AMORT.MATERIEL INFORMATIQUE</x:v>
      </x:c>
      <x:c r="C10" s="175"/>
      <x:c r="D10" s="175" t="str">
        <x:v>MGA</x:v>
      </x:c>
      <x:c r="E10" s="176" t="n">
        <x:v>123888.98408906245</x:v>
      </x:c>
      <x:c r="F10" s="176" t="n">
        <x:v>123888.98408906245</x:v>
      </x:c>
      <x:c r="G10" s="176" t="n">
        <x:v>123888.98408906245</x:v>
      </x:c>
      <x:c r="H10" s="176" t="n">
        <x:v>123888.98408906245</x:v>
      </x:c>
      <x:c r="I10" s="176" t="n">
        <x:v>123888.98408906245</x:v>
      </x:c>
      <x:c r="J10" s="176" t="n">
        <x:v>123888.98408906245</x:v>
      </x:c>
      <x:c r="K10" s="176" t="n">
        <x:v>123888.98408906245</x:v>
      </x:c>
      <x:c r="L10" s="176" t="n">
        <x:v>123888.98408906245</x:v>
      </x:c>
      <x:c r="M10" s="176" t="n">
        <x:v>123888.98408906245</x:v>
      </x:c>
      <x:c r="N10" s="176" t="n">
        <x:v>123888.98408906245</x:v>
      </x:c>
      <x:c r="O10" s="176" t="n">
        <x:v>123888.98408906245</x:v>
      </x:c>
      <x:c r="P10" s="176" t="n">
        <x:v>123888.98408906245</x:v>
      </x:c>
      <x:c r="Q10" s="176" t="n">
        <x:v>1486667.8090687494</x:v>
      </x:c>
    </x:row>
    <x:row r="11" ht="21" customHeight="1">
      <x:c r="A11" s="173" t="str">
        <x:v>AMORTISSEMENT</x:v>
      </x:c>
      <x:c r="B11" s="173" t="str">
        <x:v>DOT.AMORT.MAT.&amp; MOB.DE LOGEMENT</x:v>
      </x:c>
      <x:c r="C11" s="173"/>
      <x:c r="D11" s="173" t="str">
        <x:v>MGA</x:v>
      </x:c>
      <x:c r="E11" s="174" t="n">
        <x:v>204541.08319075516</x:v>
      </x:c>
      <x:c r="F11" s="174" t="n">
        <x:v>204541.08319075516</x:v>
      </x:c>
      <x:c r="G11" s="174" t="n">
        <x:v>204541.08319075516</x:v>
      </x:c>
      <x:c r="H11" s="174" t="n">
        <x:v>204541.08319075516</x:v>
      </x:c>
      <x:c r="I11" s="174" t="n">
        <x:v>204541.08319075516</x:v>
      </x:c>
      <x:c r="J11" s="174" t="n">
        <x:v>204541.08319075516</x:v>
      </x:c>
      <x:c r="K11" s="174" t="n">
        <x:v>204541.08319075516</x:v>
      </x:c>
      <x:c r="L11" s="174" t="n">
        <x:v>204541.08319075516</x:v>
      </x:c>
      <x:c r="M11" s="174" t="n">
        <x:v>204541.08319075516</x:v>
      </x:c>
      <x:c r="N11" s="174" t="n">
        <x:v>204541.08319075516</x:v>
      </x:c>
      <x:c r="O11" s="174" t="n">
        <x:v>204541.08319075516</x:v>
      </x:c>
      <x:c r="P11" s="174" t="n">
        <x:v>204541.08319075516</x:v>
      </x:c>
      <x:c r="Q11" s="174" t="n">
        <x:v>2454492.9982890617</x:v>
      </x:c>
    </x:row>
    <x:row r="12" ht="21" customHeight="1">
      <x:c r="A12" s="175" t="str">
        <x:v>AMORTISSEMENT</x:v>
      </x:c>
      <x:c r="B12" s="175" t="str">
        <x:v>Autres amortissements</x:v>
      </x:c>
      <x:c r="C12" s="175"/>
      <x:c r="D12" s="175" t="str">
        <x:v>MGA</x:v>
      </x:c>
      <x:c r="E12" s="176" t="n">
        <x:v>0</x:v>
      </x:c>
      <x:c r="F12" s="176" t="n">
        <x:v>112291.66666666667</x:v>
      </x:c>
      <x:c r="G12" s="176" t="n">
        <x:v>112291.66666666667</x:v>
      </x:c>
      <x:c r="H12" s="176" t="n">
        <x:v>112291.66666666667</x:v>
      </x:c>
      <x:c r="I12" s="176" t="n">
        <x:v>112291.66666666667</x:v>
      </x:c>
      <x:c r="J12" s="176" t="n">
        <x:v>112291.66666666667</x:v>
      </x:c>
      <x:c r="K12" s="176" t="n">
        <x:v>112291.66666666667</x:v>
      </x:c>
      <x:c r="L12" s="176" t="n">
        <x:v>112291.66666666667</x:v>
      </x:c>
      <x:c r="M12" s="176" t="n">
        <x:v>112291.66666666667</x:v>
      </x:c>
      <x:c r="N12" s="176" t="n">
        <x:v>112291.66666666667</x:v>
      </x:c>
      <x:c r="O12" s="176" t="n">
        <x:v>112291.66666666667</x:v>
      </x:c>
      <x:c r="P12" s="176" t="n">
        <x:v>112291.66666666667</x:v>
      </x:c>
      <x:c r="Q12" s="176" t="n">
        <x:v>1235208.3333333335</x:v>
      </x:c>
    </x:row>
    <x:row r="13" ht="21" customHeight="1">
      <x:c r="A13" s="173" t="str">
        <x:v>AMORTISSEMENT</x:v>
      </x:c>
      <x:c r="B13" s="173" t="str">
        <x:v>TOTAL DOTATIONS AUX AMORTISSEMENTS</x:v>
      </x:c>
      <x:c r="C13" s="173"/>
      <x:c r="D13" s="173" t="str">
        <x:v>MGA</x:v>
      </x:c>
      <x:c r="E13" s="174" t="n">
        <x:f>SUM(E2:E12)</x:f>
        <x:v>4538449.809573568</x:v>
      </x:c>
      <x:c r="F13" s="174" t="n">
        <x:f>SUM(F2:F12)</x:f>
        <x:v>8821574.809573567</x:v>
      </x:c>
      <x:c r="G13" s="174" t="n">
        <x:f>SUM(G2:G12)</x:f>
        <x:v>8821574.809573567</x:v>
      </x:c>
      <x:c r="H13" s="174" t="n">
        <x:f>SUM(H2:H12)</x:f>
        <x:v>8821574.809573567</x:v>
      </x:c>
      <x:c r="I13" s="174" t="n">
        <x:f>SUM(I2:I12)</x:f>
        <x:v>8821574.809573567</x:v>
      </x:c>
      <x:c r="J13" s="174" t="n">
        <x:f>SUM(J2:J12)</x:f>
        <x:v>8821574.809573567</x:v>
      </x:c>
      <x:c r="K13" s="174" t="n">
        <x:f>SUM(K2:K12)</x:f>
        <x:v>8821574.809573567</x:v>
      </x:c>
      <x:c r="L13" s="174" t="n">
        <x:f>SUM(L2:L12)</x:f>
        <x:v>8821574.809573567</x:v>
      </x:c>
      <x:c r="M13" s="174" t="n">
        <x:f>SUM(M2:M12)</x:f>
        <x:v>8821574.809573567</x:v>
      </x:c>
      <x:c r="N13" s="174" t="n">
        <x:f>SUM(N2:N12)</x:f>
        <x:v>8821574.809573567</x:v>
      </x:c>
      <x:c r="O13" s="174" t="n">
        <x:f>SUM(O2:O12)</x:f>
        <x:v>8821574.809573567</x:v>
      </x:c>
      <x:c r="P13" s="174" t="n">
        <x:f>SUM(P2:P12)</x:f>
        <x:v>8821574.809573567</x:v>
      </x:c>
      <x:c r="Q13" s="174" t="n">
        <x:f>SUM(E13:P13)</x:f>
        <x:v>101575772.71488279</x:v>
      </x:c>
    </x:row>
    <x:row r="14" ht="21" customHeight="1">
      <x:c r="A14" s="175"/>
      <x:c r="B14" s="175"/>
      <x:c r="C14" s="175"/>
      <x:c r="D14" s="175"/>
      <x:c r="E14" s="176"/>
      <x:c r="F14" s="176"/>
      <x:c r="G14" s="176"/>
      <x:c r="H14" s="176"/>
      <x:c r="I14" s="176"/>
      <x:c r="J14" s="176"/>
      <x:c r="K14" s="176"/>
      <x:c r="L14" s="176"/>
      <x:c r="M14" s="176"/>
      <x:c r="N14" s="176"/>
      <x:c r="O14" s="176"/>
      <x:c r="P14" s="176"/>
      <x:c r="Q14" s="176"/>
    </x:row>
    <x:row r="15" ht="21" customHeight="1">
      <x:c r="A15" s="173"/>
      <x:c r="B15" s="173"/>
      <x:c r="C15" s="173"/>
      <x:c r="D15" s="173"/>
      <x:c r="E15" s="174"/>
      <x:c r="F15" s="174"/>
      <x:c r="G15" s="174"/>
      <x:c r="H15" s="174"/>
      <x:c r="I15" s="174"/>
      <x:c r="J15" s="174"/>
      <x:c r="K15" s="174"/>
      <x:c r="L15" s="174"/>
      <x:c r="M15" s="174"/>
      <x:c r="N15" s="174"/>
      <x:c r="O15" s="174"/>
      <x:c r="P15" s="174"/>
      <x:c r="Q15" s="174"/>
    </x:row>
    <x:row r="16" ht="21" customHeight="1">
      <x:c r="A16" s="175"/>
      <x:c r="B16" s="175"/>
      <x:c r="C16" s="175"/>
      <x:c r="D16" s="175"/>
      <x:c r="E16" s="176"/>
      <x:c r="F16" s="176"/>
      <x:c r="G16" s="176"/>
      <x:c r="H16" s="176"/>
      <x:c r="I16" s="176"/>
      <x:c r="J16" s="176"/>
      <x:c r="K16" s="176"/>
      <x:c r="L16" s="176"/>
      <x:c r="M16" s="176"/>
      <x:c r="N16" s="176"/>
      <x:c r="O16" s="176"/>
      <x:c r="P16" s="176"/>
      <x:c r="Q16" s="176"/>
    </x:row>
    <x:row r="17" ht="21" customHeight="1">
      <x:c r="A17" s="173"/>
      <x:c r="B17" s="173"/>
      <x:c r="C17" s="173"/>
      <x:c r="D17" s="173"/>
      <x:c r="E17" s="174"/>
      <x:c r="F17" s="174"/>
      <x:c r="G17" s="174"/>
      <x:c r="H17" s="174"/>
      <x:c r="I17" s="174"/>
      <x:c r="J17" s="174"/>
      <x:c r="K17" s="174"/>
      <x:c r="L17" s="174"/>
      <x:c r="M17" s="174"/>
      <x:c r="N17" s="174"/>
      <x:c r="O17" s="174"/>
      <x:c r="P17" s="174"/>
      <x:c r="Q17" s="174"/>
    </x:row>
    <x:row r="18" ht="21" customHeight="1">
      <x:c r="A18" s="175"/>
      <x:c r="B18" s="175"/>
      <x:c r="C18" s="175"/>
      <x:c r="D18" s="175"/>
      <x:c r="E18" s="176"/>
      <x:c r="F18" s="176"/>
      <x:c r="G18" s="176"/>
      <x:c r="H18" s="176"/>
      <x:c r="I18" s="176"/>
      <x:c r="J18" s="176"/>
      <x:c r="K18" s="176"/>
      <x:c r="L18" s="176"/>
      <x:c r="M18" s="176"/>
      <x:c r="N18" s="176"/>
      <x:c r="O18" s="176"/>
      <x:c r="P18" s="176"/>
      <x:c r="Q18" s="176"/>
    </x:row>
    <x:row r="19" ht="21" customHeight="1">
      <x:c r="A19" s="173"/>
      <x:c r="B19" s="173"/>
      <x:c r="C19" s="173"/>
      <x:c r="D19" s="173"/>
      <x:c r="E19" s="174"/>
      <x:c r="F19" s="174"/>
      <x:c r="G19" s="174"/>
      <x:c r="H19" s="174"/>
      <x:c r="I19" s="174"/>
      <x:c r="J19" s="174"/>
      <x:c r="K19" s="174"/>
      <x:c r="L19" s="174"/>
      <x:c r="M19" s="174"/>
      <x:c r="N19" s="174"/>
      <x:c r="O19" s="174"/>
      <x:c r="P19" s="174"/>
      <x:c r="Q19" s="174"/>
    </x:row>
    <x:row r="20" ht="21" customHeight="1">
      <x:c r="A20" s="175"/>
      <x:c r="B20" s="175"/>
      <x:c r="C20" s="175"/>
      <x:c r="D20" s="175"/>
      <x:c r="E20" s="176"/>
      <x:c r="F20" s="176"/>
      <x:c r="G20" s="176"/>
      <x:c r="H20" s="176"/>
      <x:c r="I20" s="176"/>
      <x:c r="J20" s="176"/>
      <x:c r="K20" s="176"/>
      <x:c r="L20" s="176"/>
      <x:c r="M20" s="176"/>
      <x:c r="N20" s="176"/>
      <x:c r="O20" s="176"/>
      <x:c r="P20" s="176"/>
      <x:c r="Q20" s="176"/>
    </x:row>
    <x:row r="21" ht="21" customHeight="1">
      <x:c r="A21" s="173"/>
      <x:c r="B21" s="173"/>
      <x:c r="C21" s="173"/>
      <x:c r="D21" s="173"/>
      <x:c r="E21" s="174"/>
      <x:c r="F21" s="174"/>
      <x:c r="G21" s="174"/>
      <x:c r="H21" s="174"/>
      <x:c r="I21" s="174"/>
      <x:c r="J21" s="174"/>
      <x:c r="K21" s="174"/>
      <x:c r="L21" s="174"/>
      <x:c r="M21" s="174"/>
      <x:c r="N21" s="174"/>
      <x:c r="O21" s="174"/>
      <x:c r="P21" s="174"/>
      <x:c r="Q21" s="174"/>
    </x:row>
    <x:row r="22" ht="21" customHeight="1">
      <x:c r="A22" s="175"/>
      <x:c r="B22" s="175"/>
      <x:c r="C22" s="175"/>
      <x:c r="D22" s="175"/>
      <x:c r="E22" s="176"/>
      <x:c r="F22" s="176"/>
      <x:c r="G22" s="176"/>
      <x:c r="H22" s="176"/>
      <x:c r="I22" s="176"/>
      <x:c r="J22" s="176"/>
      <x:c r="K22" s="176"/>
      <x:c r="L22" s="176"/>
      <x:c r="M22" s="176"/>
      <x:c r="N22" s="176"/>
      <x:c r="O22" s="176"/>
      <x:c r="P22" s="176"/>
      <x:c r="Q22" s="176"/>
    </x:row>
    <x:row r="23" ht="21" customHeight="1">
      <x:c r="A23" s="173"/>
      <x:c r="B23" s="173"/>
      <x:c r="C23" s="173"/>
      <x:c r="D23" s="173"/>
      <x:c r="E23" s="174"/>
      <x:c r="F23" s="174"/>
      <x:c r="G23" s="174"/>
      <x:c r="H23" s="174"/>
      <x:c r="I23" s="174"/>
      <x:c r="J23" s="174"/>
      <x:c r="K23" s="174"/>
      <x:c r="L23" s="174"/>
      <x:c r="M23" s="174"/>
      <x:c r="N23" s="174"/>
      <x:c r="O23" s="174"/>
      <x:c r="P23" s="174"/>
      <x:c r="Q23" s="174"/>
    </x:row>
    <x:row r="24" ht="21" customHeight="1">
      <x:c r="A24" s="175"/>
      <x:c r="B24" s="175"/>
      <x:c r="C24" s="175"/>
      <x:c r="D24" s="175"/>
      <x:c r="E24" s="176"/>
      <x:c r="F24" s="176"/>
      <x:c r="G24" s="176"/>
      <x:c r="H24" s="176"/>
      <x:c r="I24" s="176"/>
      <x:c r="J24" s="176"/>
      <x:c r="K24" s="176"/>
      <x:c r="L24" s="176"/>
      <x:c r="M24" s="176"/>
      <x:c r="N24" s="176"/>
      <x:c r="O24" s="176"/>
      <x:c r="P24" s="176"/>
      <x:c r="Q24" s="176"/>
    </x:row>
    <x:row r="25" ht="21" customHeight="1">
      <x:c r="A25" s="173"/>
      <x:c r="B25" s="173"/>
      <x:c r="C25" s="173"/>
      <x:c r="D25" s="173"/>
      <x:c r="E25" s="174"/>
      <x:c r="F25" s="174"/>
      <x:c r="G25" s="174"/>
      <x:c r="H25" s="174"/>
      <x:c r="I25" s="174"/>
      <x:c r="J25" s="174"/>
      <x:c r="K25" s="174"/>
      <x:c r="L25" s="174"/>
      <x:c r="M25" s="174"/>
      <x:c r="N25" s="174"/>
      <x:c r="O25" s="174"/>
      <x:c r="P25" s="174"/>
      <x:c r="Q25" s="174"/>
    </x:row>
    <x:row r="26" ht="21" customHeight="1">
      <x:c r="A26" s="175"/>
      <x:c r="B26" s="175"/>
      <x:c r="C26" s="175"/>
      <x:c r="D26" s="175"/>
      <x:c r="E26" s="176"/>
      <x:c r="F26" s="176"/>
      <x:c r="G26" s="176"/>
      <x:c r="H26" s="176"/>
      <x:c r="I26" s="176"/>
      <x:c r="J26" s="176"/>
      <x:c r="K26" s="176"/>
      <x:c r="L26" s="176"/>
      <x:c r="M26" s="176"/>
      <x:c r="N26" s="176"/>
      <x:c r="O26" s="176"/>
      <x:c r="P26" s="176"/>
      <x:c r="Q26" s="176"/>
    </x:row>
    <x:row r="27" ht="21" customHeight="1">
      <x:c r="A27" s="173"/>
      <x:c r="B27" s="173"/>
      <x:c r="C27" s="173"/>
      <x:c r="D27" s="173"/>
      <x:c r="E27" s="174"/>
      <x:c r="F27" s="174"/>
      <x:c r="G27" s="174"/>
      <x:c r="H27" s="174"/>
      <x:c r="I27" s="174"/>
      <x:c r="J27" s="174"/>
      <x:c r="K27" s="174"/>
      <x:c r="L27" s="174"/>
      <x:c r="M27" s="174"/>
      <x:c r="N27" s="174"/>
      <x:c r="O27" s="174"/>
      <x:c r="P27" s="174"/>
      <x:c r="Q27" s="174"/>
    </x:row>
    <x:row r="28" ht="21" customHeight="1">
      <x:c r="A28" s="175"/>
      <x:c r="B28" s="175"/>
      <x:c r="C28" s="175"/>
      <x:c r="D28" s="175"/>
      <x:c r="E28" s="176"/>
      <x:c r="F28" s="176"/>
      <x:c r="G28" s="176"/>
      <x:c r="H28" s="176"/>
      <x:c r="I28" s="176"/>
      <x:c r="J28" s="176"/>
      <x:c r="K28" s="176"/>
      <x:c r="L28" s="176"/>
      <x:c r="M28" s="176"/>
      <x:c r="N28" s="176"/>
      <x:c r="O28" s="176"/>
      <x:c r="P28" s="176"/>
      <x:c r="Q28" s="176"/>
    </x:row>
    <x:row r="29" ht="21" customHeight="1">
      <x:c r="A29" s="173"/>
      <x:c r="B29" s="173"/>
      <x:c r="C29" s="173"/>
      <x:c r="D29" s="173"/>
      <x:c r="E29" s="174"/>
      <x:c r="F29" s="174"/>
      <x:c r="G29" s="174"/>
      <x:c r="H29" s="174"/>
      <x:c r="I29" s="174"/>
      <x:c r="J29" s="174"/>
      <x:c r="K29" s="174"/>
      <x:c r="L29" s="174"/>
      <x:c r="M29" s="174"/>
      <x:c r="N29" s="174"/>
      <x:c r="O29" s="174"/>
      <x:c r="P29" s="174"/>
      <x:c r="Q29" s="174"/>
    </x:row>
    <x:row r="30" ht="21" customHeight="1">
      <x:c r="A30" s="175"/>
      <x:c r="B30" s="175"/>
      <x:c r="C30" s="175"/>
      <x:c r="D30" s="175"/>
      <x:c r="E30" s="176"/>
      <x:c r="F30" s="176"/>
      <x:c r="G30" s="176"/>
      <x:c r="H30" s="176"/>
      <x:c r="I30" s="176"/>
      <x:c r="J30" s="176"/>
      <x:c r="K30" s="176"/>
      <x:c r="L30" s="176"/>
      <x:c r="M30" s="176"/>
      <x:c r="N30" s="176"/>
      <x:c r="O30" s="176"/>
      <x:c r="P30" s="176"/>
      <x:c r="Q30" s="176"/>
    </x:row>
    <x:row r="31" ht="21" customHeight="1">
      <x:c r="A31" s="173"/>
      <x:c r="B31" s="173"/>
      <x:c r="C31" s="173"/>
      <x:c r="D31" s="173"/>
      <x:c r="E31" s="174"/>
      <x:c r="F31" s="174"/>
      <x:c r="G31" s="174"/>
      <x:c r="H31" s="174"/>
      <x:c r="I31" s="174"/>
      <x:c r="J31" s="174"/>
      <x:c r="K31" s="174"/>
      <x:c r="L31" s="174"/>
      <x:c r="M31" s="174"/>
      <x:c r="N31" s="174"/>
      <x:c r="O31" s="174"/>
      <x:c r="P31" s="174"/>
      <x:c r="Q31" s="174"/>
    </x:row>
    <x:row r="32" ht="21" customHeight="1">
      <x:c r="A32" s="175"/>
      <x:c r="B32" s="175"/>
      <x:c r="C32" s="175"/>
      <x:c r="D32" s="175"/>
      <x:c r="E32" s="176"/>
      <x:c r="F32" s="176"/>
      <x:c r="G32" s="176"/>
      <x:c r="H32" s="176"/>
      <x:c r="I32" s="176"/>
      <x:c r="J32" s="176"/>
      <x:c r="K32" s="176"/>
      <x:c r="L32" s="176"/>
      <x:c r="M32" s="176"/>
      <x:c r="N32" s="176"/>
      <x:c r="O32" s="176"/>
      <x:c r="P32" s="176"/>
      <x:c r="Q32" s="176"/>
    </x:row>
    <x:row r="33" ht="21" customHeight="1">
      <x:c r="A33" s="173"/>
      <x:c r="B33" s="173"/>
      <x:c r="C33" s="173"/>
      <x:c r="D33" s="173"/>
      <x:c r="E33" s="174"/>
      <x:c r="F33" s="174"/>
      <x:c r="G33" s="174"/>
      <x:c r="H33" s="174"/>
      <x:c r="I33" s="174"/>
      <x:c r="J33" s="174"/>
      <x:c r="K33" s="174"/>
      <x:c r="L33" s="174"/>
      <x:c r="M33" s="174"/>
      <x:c r="N33" s="174"/>
      <x:c r="O33" s="174"/>
      <x:c r="P33" s="174"/>
      <x:c r="Q33" s="174"/>
    </x:row>
    <x:row r="34" ht="21" customHeight="1">
      <x:c r="A34" s="175"/>
      <x:c r="B34" s="175"/>
      <x:c r="C34" s="175"/>
      <x:c r="D34" s="175"/>
      <x:c r="E34" s="176"/>
      <x:c r="F34" s="176"/>
      <x:c r="G34" s="176"/>
      <x:c r="H34" s="176"/>
      <x:c r="I34" s="176"/>
      <x:c r="J34" s="176"/>
      <x:c r="K34" s="176"/>
      <x:c r="L34" s="176"/>
      <x:c r="M34" s="176"/>
      <x:c r="N34" s="176"/>
      <x:c r="O34" s="176"/>
      <x:c r="P34" s="176"/>
      <x:c r="Q34" s="176"/>
    </x:row>
    <x:row r="35" ht="21" customHeight="1">
      <x:c r="A35" s="173"/>
      <x:c r="B35" s="173"/>
      <x:c r="C35" s="173"/>
      <x:c r="D35" s="173"/>
      <x:c r="E35" s="174"/>
      <x:c r="F35" s="174"/>
      <x:c r="G35" s="174"/>
      <x:c r="H35" s="174"/>
      <x:c r="I35" s="174"/>
      <x:c r="J35" s="174"/>
      <x:c r="K35" s="174"/>
      <x:c r="L35" s="174"/>
      <x:c r="M35" s="174"/>
      <x:c r="N35" s="174"/>
      <x:c r="O35" s="174"/>
      <x:c r="P35" s="174"/>
      <x:c r="Q35" s="174"/>
    </x:row>
    <x:row r="36">
      <x:c r="C36"/>
    </x:row>
    <x:row r="37">
      <x:c r="C37"/>
    </x:row>
    <x:row r="38">
      <x:c r="C38"/>
    </x:row>
    <x:row r="39">
      <x:c r="C39"/>
    </x:row>
    <x:row r="40">
      <x:c r="C40"/>
    </x:row>
    <x:row r="41">
      <x:c r="C41"/>
    </x:row>
    <x:row r="42">
      <x:c r="C42"/>
    </x:row>
    <x:row r="43">
      <x:c r="C43"/>
    </x:row>
    <x:row r="44">
      <x:c r="C44"/>
    </x:row>
    <x:row r="45">
      <x:c r="C45"/>
    </x:row>
    <x:row r="46">
      <x:c r="C46"/>
    </x:row>
    <x:row r="47">
      <x:c r="C47"/>
    </x:row>
    <x:row r="48">
      <x:c r="C48"/>
    </x:row>
    <x:row r="49">
      <x:c r="C49"/>
    </x:row>
    <x:row r="50">
      <x:c r="C50"/>
    </x:row>
    <x:row r="51">
      <x:c r="C51"/>
    </x:row>
    <x:row r="52">
      <x:c r="C52"/>
    </x:row>
    <x:row r="53">
      <x:c r="C53"/>
    </x:row>
    <x:row r="54">
      <x:c r="C54"/>
    </x:row>
    <x:row r="55">
      <x:c r="C55"/>
    </x:row>
    <x:row r="56">
      <x:c r="C56"/>
    </x:row>
    <x:row r="57">
      <x:c r="C57"/>
    </x:row>
    <x:row r="58">
      <x:c r="C58"/>
    </x:row>
    <x:row r="59">
      <x:c r="C59"/>
    </x:row>
    <x:row r="60">
      <x:c r="C60"/>
    </x:row>
    <x:row r="61">
      <x:c r="C61"/>
    </x:row>
    <x:row r="62">
      <x:c r="C62"/>
    </x:row>
    <x:row r="63">
      <x:c r="C63"/>
    </x:row>
    <x:row r="64">
      <x:c r="C64"/>
    </x:row>
    <x:row r="65">
      <x:c r="C65"/>
    </x:row>
    <x:row r="66">
      <x:c r="C66"/>
    </x:row>
    <x:row r="67">
      <x:c r="C67"/>
    </x:row>
    <x:row r="68">
      <x:c r="C68"/>
    </x:row>
    <x:row r="69">
      <x:c r="C69"/>
    </x:row>
    <x:row r="70">
      <x:c r="C70"/>
    </x:row>
  </x:sheetData>
  <x:pageMargins left="0.7" right="0.7" top="0.75" bottom="0.75" header="0.3" footer="0.3"/>
</x:worksheet>
</file>