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37CBAA6-FB05-BE4F-9FB8-9AC741EF241A}" xr6:coauthVersionLast="47" xr6:coauthVersionMax="47" xr10:uidLastSave="{00000000-0000-0000-0000-000000000000}"/>
  <bookViews>
    <workbookView xWindow="0" yWindow="600" windowWidth="28800" windowHeight="16180" activeTab="6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M5" i="7"/>
  <c r="L5" i="7"/>
  <c r="K5" i="7"/>
  <c r="J5" i="7"/>
  <c r="I5" i="7"/>
  <c r="H5" i="7"/>
  <c r="G5" i="7"/>
  <c r="F5" i="7"/>
  <c r="E5" i="7"/>
  <c r="D5" i="7"/>
  <c r="C5" i="7"/>
  <c r="N4" i="7"/>
  <c r="M4" i="7"/>
  <c r="L4" i="7"/>
  <c r="K4" i="7"/>
  <c r="O4" i="7" s="1"/>
  <c r="J4" i="7"/>
  <c r="I4" i="7"/>
  <c r="H4" i="7"/>
  <c r="G4" i="7"/>
  <c r="F4" i="7"/>
  <c r="E4" i="7"/>
  <c r="D4" i="7"/>
  <c r="C4" i="7"/>
  <c r="N2" i="7"/>
  <c r="M2" i="7"/>
  <c r="L2" i="7"/>
  <c r="K2" i="7"/>
  <c r="J2" i="7"/>
  <c r="I2" i="7"/>
  <c r="H2" i="7"/>
  <c r="G2" i="7"/>
  <c r="F2" i="7"/>
  <c r="E2" i="7"/>
  <c r="D2" i="7"/>
  <c r="C2" i="7"/>
  <c r="O2" i="7" s="1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M5" i="5"/>
  <c r="J5" i="5"/>
  <c r="G5" i="5"/>
  <c r="D5" i="5"/>
  <c r="A5" i="5"/>
  <c r="P11" i="3"/>
  <c r="P10" i="3"/>
  <c r="P9" i="3"/>
  <c r="P8" i="3"/>
  <c r="P7" i="3"/>
  <c r="P6" i="3"/>
  <c r="P5" i="3"/>
  <c r="P4" i="3"/>
  <c r="P3" i="3"/>
  <c r="P2" i="3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N3" i="7" l="1"/>
  <c r="N6" i="7" s="1"/>
  <c r="N7" i="7" s="1"/>
  <c r="M3" i="7"/>
  <c r="M6" i="7" s="1"/>
  <c r="M7" i="7" s="1"/>
  <c r="L3" i="7"/>
  <c r="L6" i="7" s="1"/>
  <c r="L7" i="7" s="1"/>
  <c r="K3" i="7"/>
  <c r="K6" i="7" s="1"/>
  <c r="K7" i="7" s="1"/>
  <c r="J3" i="7"/>
  <c r="J6" i="7" s="1"/>
  <c r="J7" i="7" s="1"/>
  <c r="I3" i="7"/>
  <c r="I6" i="7" s="1"/>
  <c r="I7" i="7" s="1"/>
  <c r="H3" i="7"/>
  <c r="H6" i="7" s="1"/>
  <c r="H7" i="7" s="1"/>
  <c r="G3" i="7"/>
  <c r="G6" i="7" s="1"/>
  <c r="G7" i="7" s="1"/>
  <c r="F3" i="7"/>
  <c r="F6" i="7" s="1"/>
  <c r="F7" i="7" s="1"/>
  <c r="E3" i="7"/>
  <c r="E6" i="7" s="1"/>
  <c r="E7" i="7" s="1"/>
  <c r="D3" i="7"/>
  <c r="D6" i="7" s="1"/>
  <c r="D7" i="7" s="1"/>
  <c r="C3" i="7"/>
  <c r="O5" i="7"/>
  <c r="O3" i="7" l="1"/>
  <c r="C6" i="7"/>
  <c r="O6" i="7" l="1"/>
  <c r="O7" i="7" s="1"/>
  <c r="C7" i="7"/>
</calcChain>
</file>

<file path=xl/sharedStrings.xml><?xml version="1.0" encoding="utf-8"?>
<sst xmlns="http://schemas.openxmlformats.org/spreadsheetml/2006/main" count="950" uniqueCount="270">
  <si>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</si>
  <si>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</si>
  <si>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</si>
  <si>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</si>
  <si>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</si>
  <si>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</si>
  <si>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</si>
  <si>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Inflation annuelle</t>
  </si>
  <si>
    <t>%</t>
  </si>
  <si>
    <t>Taux USD/MGA</t>
  </si>
  <si>
    <t>MGA/USD</t>
  </si>
  <si>
    <t>Taux JPY/MGA</t>
  </si>
  <si>
    <t>MGA/JPY</t>
  </si>
  <si>
    <t>Augmentation salariale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</si>
  <si>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</si>
  <si>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</si>
  <si>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</si>
  <si>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</si>
  <si>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</si>
  <si>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</si>
  <si>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</si>
  <si>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</si>
  <si>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</si>
  <si>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</si>
  <si>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</si>
  <si>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</si>
  <si>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</si>
  <si>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</si>
  <si>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</si>
  <si>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</si>
  <si>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Russie</t>
  </si>
  <si>
    <t>ELINAR</t>
  </si>
  <si>
    <t>USD</t>
  </si>
  <si>
    <t>Chine</t>
  </si>
  <si>
    <t>Matricule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</si>
  <si>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</si>
  <si>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</si>
  <si>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</si>
  <si>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</si>
  <si>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</si>
  <si>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</si>
  <si>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</si>
  <si>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</si>
  <si>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</si>
  <si>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Direction</t>
  </si>
  <si>
    <t>Directeur Général</t>
  </si>
  <si>
    <t>Actif</t>
  </si>
  <si>
    <t>EMP-002</t>
  </si>
  <si>
    <t>DAF</t>
  </si>
  <si>
    <t>EMP-003</t>
  </si>
  <si>
    <t>Finance</t>
  </si>
  <si>
    <t>Chef comptable</t>
  </si>
  <si>
    <t>EMP-004</t>
  </si>
  <si>
    <t>Comptable</t>
  </si>
  <si>
    <t>EMP-005</t>
  </si>
  <si>
    <t>Assistant comptable</t>
  </si>
  <si>
    <t>EMP-006</t>
  </si>
  <si>
    <t>RH</t>
  </si>
  <si>
    <t>Responsable RH</t>
  </si>
  <si>
    <t>EMP-007</t>
  </si>
  <si>
    <t>Commercial</t>
  </si>
  <si>
    <t>Responsable commercial export</t>
  </si>
  <si>
    <t>EMP-008</t>
  </si>
  <si>
    <t>Agent export</t>
  </si>
  <si>
    <t>EMP-009</t>
  </si>
  <si>
    <t>Responsable production</t>
  </si>
  <si>
    <t>EMP-010</t>
  </si>
  <si>
    <t>Chef d'atelier</t>
  </si>
  <si>
    <t>EMP-011</t>
  </si>
  <si>
    <t>Contrôleur qualité</t>
  </si>
  <si>
    <t>EMP-012</t>
  </si>
  <si>
    <t>TRANOMARO</t>
  </si>
  <si>
    <t>Opérateur traitement</t>
  </si>
  <si>
    <t>EMP-013</t>
  </si>
  <si>
    <t>Coupeuse / trieuse</t>
  </si>
  <si>
    <t>EMP-014</t>
  </si>
  <si>
    <t>AMBOASARY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</si>
  <si>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</si>
  <si>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</si>
  <si>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</si>
  <si>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</si>
  <si>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</si>
  <si>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</si>
  <si>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</si>
  <si>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</si>
  <si>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</si>
  <si>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</si>
  <si>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</si>
  <si>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</si>
  <si>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</si>
  <si>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</si>
  <si>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</si>
  <si>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</si>
  <si>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</si>
  <si>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</si>
  <si>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</si>
  <si>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</si>
  <si>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</si>
  <si>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</si>
  <si>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</si>
  <si>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</si>
  <si>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</si>
  <si>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</si>
  <si>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</si>
  <si>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</si>
  <si>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</si>
  <si>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</si>
  <si>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</si>
  <si>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</si>
  <si>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</si>
  <si>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</si>
  <si>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</si>
  <si>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</si>
  <si>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</si>
  <si>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</si>
  <si>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</si>
  <si>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</si>
  <si>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</si>
  <si>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</si>
  <si>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</si>
  <si>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</si>
  <si>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</si>
  <si>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</si>
  <si>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</si>
  <si>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</si>
  <si>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</si>
  <si>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</si>
  <si>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</si>
  <si>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</si>
  <si>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</si>
  <si>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</si>
  <si>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</si>
  <si>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</si>
  <si>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</si>
  <si>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</si>
  <si>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</si>
  <si>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</si>
  <si>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</si>
  <si>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</si>
  <si>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</si>
  <si>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</si>
  <si>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</si>
  <si>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</si>
  <si>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</si>
  <si>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</si>
  <si>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</si>
  <si>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</si>
  <si>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</si>
  <si>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</si>
  <si>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</si>
  <si>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</si>
  <si>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</si>
  <si>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</si>
  <si>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</si>
  <si>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</si>
  <si>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</si>
  <si>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</si>
  <si>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</si>
  <si>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</si>
  <si>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</si>
  <si>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</si>
  <si>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</si>
  <si>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</si>
  <si>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</si>
  <si>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</si>
  <si>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</si>
  <si>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MGA</t>
  </si>
  <si>
    <t>REPRESENTANT CHINE - A VALIDER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</si>
  <si>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</si>
  <si>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</si>
  <si>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</si>
  <si>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</si>
  <si>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</si>
  <si>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</si>
  <si>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</si>
  <si>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</si>
  <si>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</si>
  <si>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</si>
  <si>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</si>
  <si>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</si>
  <si>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</si>
  <si>
    <t>Paramètre annuel</t>
  </si>
  <si>
    <t>Taux de change</t>
  </si>
  <si>
    <t>Évolution salariale</t>
  </si>
  <si>
    <t>Marché export</t>
  </si>
  <si>
    <t>REPRESENTANT CHINE</t>
  </si>
  <si>
    <t>Nom</t>
  </si>
  <si>
    <t>RABE Hery</t>
  </si>
  <si>
    <t>RAKOTO Miora</t>
  </si>
  <si>
    <t>ANDRIA Fanja</t>
  </si>
  <si>
    <t>RAZAFY Toky</t>
  </si>
  <si>
    <t>RANDRIA Nirina</t>
  </si>
  <si>
    <t>RATSIM Lova</t>
  </si>
  <si>
    <t>RAJAO Aina</t>
  </si>
  <si>
    <t>RAMAN Tiana</t>
  </si>
  <si>
    <t>RAKOTON Zo</t>
  </si>
  <si>
    <t>RAZAN Mamy</t>
  </si>
  <si>
    <t>RABARY Lalaina</t>
  </si>
  <si>
    <t>RAKOTOMALALA Tahina</t>
  </si>
  <si>
    <t>ANDRIAMANANA Soa</t>
  </si>
  <si>
    <t>RAZAFINDRAKOTO Nomena</t>
  </si>
  <si>
    <t>RANDRIAMBOLOLONA Finaritra</t>
  </si>
  <si>
    <t>RASOLO Harena</t>
  </si>
  <si>
    <t>RATSIMBAZAFY Faniry</t>
  </si>
  <si>
    <t>RAKOTONDRABE Tsiory</t>
  </si>
  <si>
    <t>ANDRIANIRINA Mamy</t>
  </si>
  <si>
    <t>RABENJA Felana</t>
  </si>
  <si>
    <t>RAJAONARIVELO Faly</t>
  </si>
  <si>
    <t>RANORO Haja</t>
  </si>
  <si>
    <t>RAKOTOARISOA Tsanta</t>
  </si>
  <si>
    <t>RASOANIRINA Lova</t>
  </si>
  <si>
    <t>ANDRIAMAHENINA Onja</t>
  </si>
  <si>
    <t>RAKOTOMANGA Fitia</t>
  </si>
  <si>
    <t>RAKOTOVAO Tovo</t>
  </si>
  <si>
    <t>RANDRIANASOLO Mendrika</t>
  </si>
  <si>
    <t>RAVELO Aro</t>
  </si>
  <si>
    <t>RAZAFIMAHATRATRA Vola</t>
  </si>
  <si>
    <t>RAKOTOVOLOLONA Rado</t>
  </si>
  <si>
    <t>RABEMANANJARA Hery</t>
  </si>
  <si>
    <t>RAKOTOZAFY Mialy</t>
  </si>
  <si>
    <t>RAZAFINDRAKOTOA Ando</t>
  </si>
  <si>
    <t>RANAIVO Nantenaina</t>
  </si>
  <si>
    <t>RABEHARISOA Nirina</t>
  </si>
  <si>
    <t>RAKOTOMIARANA Toky</t>
  </si>
  <si>
    <t>ANDRIATSIMBA Tiana</t>
  </si>
  <si>
    <t>RASOAMALALA Sitraka</t>
  </si>
  <si>
    <t>RAZAFINDRABE Aina</t>
  </si>
  <si>
    <t>RATSIMANDRESY Fanja</t>
  </si>
  <si>
    <t>RAKOTONIRINA Miora</t>
  </si>
  <si>
    <t>RANDRIAMIHAMINA Hasina</t>
  </si>
  <si>
    <t>RABEZAFY Feno</t>
  </si>
  <si>
    <t>RANOMENJANAHARY Kanto</t>
  </si>
  <si>
    <t>RAKOTONIAINA Mamy</t>
  </si>
  <si>
    <t>RASOARIMALALA Tafita</t>
  </si>
  <si>
    <t>ANDRIANJAFY Rija</t>
  </si>
  <si>
    <t>RAKOTOMAHERY Vero</t>
  </si>
  <si>
    <t>RAKOTONDRAJAO Lanto</t>
  </si>
  <si>
    <t>RANDRIANANTENAINA Rindra</t>
  </si>
  <si>
    <t>RAVAOARISOA Miary</t>
  </si>
  <si>
    <t>RAZAFIMANANTSOA Solo</t>
  </si>
  <si>
    <t>RAKOTONANAHARY Noro</t>
  </si>
  <si>
    <t>RABEFENO Rina</t>
  </si>
  <si>
    <t>RAKOTOMANANA Tina</t>
  </si>
  <si>
    <t>RAKOTONANTENAINA Zo</t>
  </si>
  <si>
    <t>RANDRIATSARA Rado</t>
  </si>
  <si>
    <t>RASOLOFONIAINA Fetra</t>
  </si>
  <si>
    <t>RAKOTOVONINA Rova</t>
  </si>
  <si>
    <t>Catégorie</t>
  </si>
  <si>
    <t>Nature</t>
  </si>
  <si>
    <t>PRODUCTION</t>
  </si>
  <si>
    <t>Matières et consommables</t>
  </si>
  <si>
    <t>Énergie / électricité</t>
  </si>
  <si>
    <t>Traitement mica</t>
  </si>
  <si>
    <t>Maintenance équipements</t>
  </si>
  <si>
    <t>Emballages</t>
  </si>
  <si>
    <t>ADMINISTRATION</t>
  </si>
  <si>
    <t>Salaires administratifs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</si>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</sst>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2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  <font>
      <b/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165" fontId="11" fillId="11" borderId="0" xfId="0" applyNumberFormat="1" applyFont="1" applyFill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5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34" t="s">
        <v>0</v>
      </c>
      <c r="B1" s="34"/>
      <c r="C1" s="34"/>
      <c r="D1" s="34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2021</v>
      </c>
      <c r="C3" t="s">
        <v>6</v>
      </c>
      <c r="D3" t="s">
        <v>5</v>
      </c>
    </row>
    <row r="4" spans="1:4">
      <c r="A4" t="s">
        <v>7</v>
      </c>
      <c r="B4" s="3">
        <v>5.8000000000000003E-2</v>
      </c>
      <c r="C4" t="s">
        <v>8</v>
      </c>
      <c r="D4" t="s">
        <v>181</v>
      </c>
    </row>
    <row r="5" spans="1:4">
      <c r="A5" t="s">
        <v>9</v>
      </c>
      <c r="B5" s="2">
        <v>3990</v>
      </c>
      <c r="C5" t="s">
        <v>10</v>
      </c>
      <c r="D5" t="s">
        <v>182</v>
      </c>
    </row>
    <row r="6" spans="1:4">
      <c r="A6" t="s">
        <v>11</v>
      </c>
      <c r="B6" s="2">
        <v>36.4</v>
      </c>
      <c r="C6" t="s">
        <v>12</v>
      </c>
      <c r="D6" t="s">
        <v>182</v>
      </c>
    </row>
    <row r="7" spans="1:4">
      <c r="A7" t="s">
        <v>13</v>
      </c>
      <c r="B7" s="3">
        <v>0.05</v>
      </c>
      <c r="C7" t="s">
        <v>8</v>
      </c>
      <c r="D7" t="s">
        <v>183</v>
      </c>
    </row>
    <row r="8" spans="1:4">
      <c r="A8" t="s">
        <v>14</v>
      </c>
      <c r="B8" s="3">
        <v>0.2</v>
      </c>
      <c r="C8" t="s">
        <v>8</v>
      </c>
      <c r="D8" t="s">
        <v>15</v>
      </c>
    </row>
    <row r="9" spans="1:4">
      <c r="A9" t="s">
        <v>16</v>
      </c>
      <c r="B9" t="s">
        <v>17</v>
      </c>
      <c r="D9" t="s">
        <v>18</v>
      </c>
    </row>
    <row r="10" spans="1:4">
      <c r="A10" t="s">
        <v>19</v>
      </c>
      <c r="B10" t="s">
        <v>20</v>
      </c>
      <c r="D10" t="s">
        <v>21</v>
      </c>
    </row>
    <row r="12" spans="1:4" ht="16">
      <c r="A12" s="1" t="s">
        <v>22</v>
      </c>
      <c r="B12" s="1"/>
      <c r="C12" s="1"/>
      <c r="D12" s="1"/>
    </row>
    <row r="13" spans="1:4" ht="16">
      <c r="A13" s="1" t="s">
        <v>23</v>
      </c>
      <c r="B13" s="1" t="s">
        <v>24</v>
      </c>
      <c r="C13" s="1" t="s">
        <v>25</v>
      </c>
      <c r="D13" s="1" t="s">
        <v>26</v>
      </c>
    </row>
    <row r="14" spans="1:4">
      <c r="A14" t="s">
        <v>27</v>
      </c>
      <c r="B14" t="s">
        <v>28</v>
      </c>
      <c r="C14" t="s">
        <v>29</v>
      </c>
      <c r="D14" t="s">
        <v>184</v>
      </c>
    </row>
    <row r="15" spans="1:4">
      <c r="A15" t="s">
        <v>30</v>
      </c>
      <c r="B15" t="s">
        <v>31</v>
      </c>
      <c r="C15" t="s">
        <v>32</v>
      </c>
      <c r="D15" t="s">
        <v>184</v>
      </c>
    </row>
    <row r="16" spans="1:4">
      <c r="A16" t="s">
        <v>33</v>
      </c>
      <c r="B16" t="s">
        <v>185</v>
      </c>
      <c r="C16" t="s">
        <v>32</v>
      </c>
      <c r="D16" t="s">
        <v>184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5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34</v>
      </c>
      <c r="B1" s="1" t="s">
        <v>186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43</v>
      </c>
      <c r="B2" t="s">
        <v>187</v>
      </c>
      <c r="C2" t="s">
        <v>17</v>
      </c>
      <c r="D2" t="s">
        <v>44</v>
      </c>
      <c r="E2" t="s">
        <v>45</v>
      </c>
      <c r="F2" s="4">
        <v>11320400</v>
      </c>
      <c r="G2" s="4">
        <v>1132040</v>
      </c>
      <c r="H2" s="4">
        <v>2037490</v>
      </c>
      <c r="I2" s="4">
        <f t="shared" ref="I2:I33" si="0">SUM(F2:H2)</f>
        <v>14489930</v>
      </c>
      <c r="J2" t="s">
        <v>46</v>
      </c>
    </row>
    <row r="3" spans="1:10">
      <c r="A3" t="s">
        <v>47</v>
      </c>
      <c r="B3" t="s">
        <v>188</v>
      </c>
      <c r="C3" t="s">
        <v>20</v>
      </c>
      <c r="D3" t="s">
        <v>44</v>
      </c>
      <c r="E3" t="s">
        <v>48</v>
      </c>
      <c r="F3" s="4">
        <v>8481200</v>
      </c>
      <c r="G3" s="4">
        <v>848120</v>
      </c>
      <c r="H3" s="4">
        <v>1526980</v>
      </c>
      <c r="I3" s="4">
        <f t="shared" si="0"/>
        <v>10856300</v>
      </c>
      <c r="J3" t="s">
        <v>46</v>
      </c>
    </row>
    <row r="4" spans="1:10">
      <c r="A4" t="s">
        <v>49</v>
      </c>
      <c r="B4" t="s">
        <v>189</v>
      </c>
      <c r="C4" t="s">
        <v>17</v>
      </c>
      <c r="D4" t="s">
        <v>50</v>
      </c>
      <c r="E4" t="s">
        <v>51</v>
      </c>
      <c r="F4" s="4">
        <v>4832100</v>
      </c>
      <c r="G4" s="4">
        <v>579670</v>
      </c>
      <c r="H4" s="4">
        <v>869960</v>
      </c>
      <c r="I4" s="4">
        <f t="shared" si="0"/>
        <v>6281730</v>
      </c>
      <c r="J4" t="s">
        <v>46</v>
      </c>
    </row>
    <row r="5" spans="1:10">
      <c r="A5" t="s">
        <v>52</v>
      </c>
      <c r="B5" t="s">
        <v>190</v>
      </c>
      <c r="C5" t="s">
        <v>17</v>
      </c>
      <c r="D5" t="s">
        <v>50</v>
      </c>
      <c r="E5" t="s">
        <v>53</v>
      </c>
      <c r="F5" s="4">
        <v>3103100</v>
      </c>
      <c r="G5" s="4">
        <v>248430</v>
      </c>
      <c r="H5" s="4">
        <v>558740</v>
      </c>
      <c r="I5" s="4">
        <f t="shared" si="0"/>
        <v>3910270</v>
      </c>
      <c r="J5" t="s">
        <v>46</v>
      </c>
    </row>
    <row r="6" spans="1:10">
      <c r="A6" t="s">
        <v>54</v>
      </c>
      <c r="B6" t="s">
        <v>191</v>
      </c>
      <c r="C6" t="s">
        <v>20</v>
      </c>
      <c r="D6" t="s">
        <v>50</v>
      </c>
      <c r="E6" t="s">
        <v>55</v>
      </c>
      <c r="F6" s="4">
        <v>2065700</v>
      </c>
      <c r="G6" s="4">
        <v>103740</v>
      </c>
      <c r="H6" s="4">
        <v>372190</v>
      </c>
      <c r="I6" s="4">
        <f t="shared" si="0"/>
        <v>2541630</v>
      </c>
      <c r="J6" t="s">
        <v>46</v>
      </c>
    </row>
    <row r="7" spans="1:10">
      <c r="A7" t="s">
        <v>56</v>
      </c>
      <c r="B7" t="s">
        <v>192</v>
      </c>
      <c r="C7" t="s">
        <v>20</v>
      </c>
      <c r="D7" t="s">
        <v>57</v>
      </c>
      <c r="E7" t="s">
        <v>58</v>
      </c>
      <c r="F7" s="4">
        <v>4322500</v>
      </c>
      <c r="G7" s="4">
        <v>345800</v>
      </c>
      <c r="H7" s="4">
        <v>778050</v>
      </c>
      <c r="I7" s="4">
        <f t="shared" si="0"/>
        <v>5446350</v>
      </c>
      <c r="J7" t="s">
        <v>46</v>
      </c>
    </row>
    <row r="8" spans="1:10">
      <c r="A8" t="s">
        <v>59</v>
      </c>
      <c r="B8" t="s">
        <v>193</v>
      </c>
      <c r="C8" t="s">
        <v>20</v>
      </c>
      <c r="D8" t="s">
        <v>60</v>
      </c>
      <c r="E8" t="s">
        <v>61</v>
      </c>
      <c r="F8" s="4">
        <v>4904900</v>
      </c>
      <c r="G8" s="4">
        <v>392210</v>
      </c>
      <c r="H8" s="4">
        <v>882700</v>
      </c>
      <c r="I8" s="4">
        <f t="shared" si="0"/>
        <v>6179810</v>
      </c>
      <c r="J8" t="s">
        <v>46</v>
      </c>
    </row>
    <row r="9" spans="1:10">
      <c r="A9" t="s">
        <v>62</v>
      </c>
      <c r="B9" t="s">
        <v>194</v>
      </c>
      <c r="C9" t="s">
        <v>20</v>
      </c>
      <c r="D9" t="s">
        <v>60</v>
      </c>
      <c r="E9" t="s">
        <v>63</v>
      </c>
      <c r="F9" s="4">
        <v>2793700</v>
      </c>
      <c r="G9" s="4">
        <v>140140</v>
      </c>
      <c r="H9" s="4">
        <v>503230</v>
      </c>
      <c r="I9" s="4">
        <f t="shared" si="0"/>
        <v>3437070</v>
      </c>
      <c r="J9" t="s">
        <v>46</v>
      </c>
    </row>
    <row r="10" spans="1:10">
      <c r="A10" t="s">
        <v>64</v>
      </c>
      <c r="B10" t="s">
        <v>195</v>
      </c>
      <c r="C10" t="s">
        <v>17</v>
      </c>
      <c r="D10" t="s">
        <v>21</v>
      </c>
      <c r="E10" t="s">
        <v>65</v>
      </c>
      <c r="F10" s="4">
        <v>4832100</v>
      </c>
      <c r="G10" s="4">
        <v>579670</v>
      </c>
      <c r="H10" s="4">
        <v>869960</v>
      </c>
      <c r="I10" s="4">
        <f t="shared" si="0"/>
        <v>6281730</v>
      </c>
      <c r="J10" t="s">
        <v>46</v>
      </c>
    </row>
    <row r="11" spans="1:10">
      <c r="A11" t="s">
        <v>66</v>
      </c>
      <c r="B11" t="s">
        <v>196</v>
      </c>
      <c r="C11" t="s">
        <v>17</v>
      </c>
      <c r="D11" t="s">
        <v>21</v>
      </c>
      <c r="E11" t="s">
        <v>67</v>
      </c>
      <c r="F11" s="4">
        <v>3021200</v>
      </c>
      <c r="G11" s="4">
        <v>302120</v>
      </c>
      <c r="H11" s="4">
        <v>544180</v>
      </c>
      <c r="I11" s="4">
        <f t="shared" si="0"/>
        <v>3867500</v>
      </c>
      <c r="J11" t="s">
        <v>46</v>
      </c>
    </row>
    <row r="12" spans="1:10">
      <c r="A12" t="s">
        <v>68</v>
      </c>
      <c r="B12" t="s">
        <v>197</v>
      </c>
      <c r="C12" t="s">
        <v>17</v>
      </c>
      <c r="D12" t="s">
        <v>21</v>
      </c>
      <c r="E12" t="s">
        <v>69</v>
      </c>
      <c r="F12" s="4">
        <v>2311400</v>
      </c>
      <c r="G12" s="4">
        <v>184730</v>
      </c>
      <c r="H12" s="4">
        <v>415870</v>
      </c>
      <c r="I12" s="4">
        <f t="shared" si="0"/>
        <v>2912000</v>
      </c>
      <c r="J12" t="s">
        <v>46</v>
      </c>
    </row>
    <row r="13" spans="1:10">
      <c r="A13" t="s">
        <v>70</v>
      </c>
      <c r="B13" t="s">
        <v>198</v>
      </c>
      <c r="C13" t="s">
        <v>71</v>
      </c>
      <c r="D13" t="s">
        <v>21</v>
      </c>
      <c r="E13" t="s">
        <v>72</v>
      </c>
      <c r="F13" s="4">
        <v>1528800</v>
      </c>
      <c r="G13" s="4">
        <v>121940</v>
      </c>
      <c r="H13" s="4">
        <v>274820</v>
      </c>
      <c r="I13" s="4">
        <f t="shared" si="0"/>
        <v>1925560</v>
      </c>
      <c r="J13" t="s">
        <v>46</v>
      </c>
    </row>
    <row r="14" spans="1:10">
      <c r="A14" t="s">
        <v>73</v>
      </c>
      <c r="B14" t="s">
        <v>199</v>
      </c>
      <c r="C14" t="s">
        <v>17</v>
      </c>
      <c r="D14" t="s">
        <v>21</v>
      </c>
      <c r="E14" t="s">
        <v>74</v>
      </c>
      <c r="F14" s="4">
        <v>1164800</v>
      </c>
      <c r="G14" s="4">
        <v>92820</v>
      </c>
      <c r="H14" s="4">
        <v>209300</v>
      </c>
      <c r="I14" s="4">
        <f t="shared" si="0"/>
        <v>1466920</v>
      </c>
      <c r="J14" t="s">
        <v>46</v>
      </c>
    </row>
    <row r="15" spans="1:10">
      <c r="A15" t="s">
        <v>75</v>
      </c>
      <c r="B15" t="s">
        <v>200</v>
      </c>
      <c r="C15" t="s">
        <v>76</v>
      </c>
      <c r="D15" t="s">
        <v>77</v>
      </c>
      <c r="E15" t="s">
        <v>78</v>
      </c>
      <c r="F15" s="4">
        <v>3476200</v>
      </c>
      <c r="G15" s="4">
        <v>173810</v>
      </c>
      <c r="H15" s="4">
        <v>626080</v>
      </c>
      <c r="I15" s="4">
        <f t="shared" si="0"/>
        <v>4276090</v>
      </c>
      <c r="J15" t="s">
        <v>46</v>
      </c>
    </row>
    <row r="16" spans="1:10">
      <c r="A16" t="s">
        <v>79</v>
      </c>
      <c r="B16" t="s">
        <v>201</v>
      </c>
      <c r="C16" t="s">
        <v>20</v>
      </c>
      <c r="D16" t="s">
        <v>77</v>
      </c>
      <c r="E16" t="s">
        <v>80</v>
      </c>
      <c r="F16" s="4">
        <v>1446900</v>
      </c>
      <c r="G16" s="4">
        <v>144690</v>
      </c>
      <c r="H16" s="4">
        <v>260260</v>
      </c>
      <c r="I16" s="4">
        <f t="shared" si="0"/>
        <v>1851850</v>
      </c>
      <c r="J16" t="s">
        <v>46</v>
      </c>
    </row>
    <row r="17" spans="1:10">
      <c r="A17" t="s">
        <v>81</v>
      </c>
      <c r="B17" t="s">
        <v>202</v>
      </c>
      <c r="C17" t="s">
        <v>20</v>
      </c>
      <c r="D17" t="s">
        <v>82</v>
      </c>
      <c r="E17" t="s">
        <v>83</v>
      </c>
      <c r="F17" s="4">
        <v>2120300</v>
      </c>
      <c r="G17" s="4">
        <v>254800</v>
      </c>
      <c r="H17" s="4">
        <v>381290</v>
      </c>
      <c r="I17" s="4">
        <f t="shared" si="0"/>
        <v>2756390</v>
      </c>
      <c r="J17" t="s">
        <v>46</v>
      </c>
    </row>
    <row r="18" spans="1:10">
      <c r="A18" t="s">
        <v>84</v>
      </c>
      <c r="B18" t="s">
        <v>203</v>
      </c>
      <c r="C18" t="s">
        <v>17</v>
      </c>
      <c r="D18" t="s">
        <v>85</v>
      </c>
      <c r="E18" t="s">
        <v>86</v>
      </c>
      <c r="F18" s="4">
        <v>1064700</v>
      </c>
      <c r="G18" s="4">
        <v>85540</v>
      </c>
      <c r="H18" s="4">
        <v>192010</v>
      </c>
      <c r="I18" s="4">
        <f t="shared" si="0"/>
        <v>1342250</v>
      </c>
      <c r="J18" t="s">
        <v>46</v>
      </c>
    </row>
    <row r="19" spans="1:10">
      <c r="A19" t="s">
        <v>87</v>
      </c>
      <c r="B19" t="s">
        <v>204</v>
      </c>
      <c r="C19" t="s">
        <v>17</v>
      </c>
      <c r="D19" t="s">
        <v>88</v>
      </c>
      <c r="E19" t="s">
        <v>89</v>
      </c>
      <c r="F19" s="4">
        <v>1719900</v>
      </c>
      <c r="G19" s="4">
        <v>137410</v>
      </c>
      <c r="H19" s="4">
        <v>309400</v>
      </c>
      <c r="I19" s="4">
        <f t="shared" si="0"/>
        <v>2166710</v>
      </c>
      <c r="J19" t="s">
        <v>46</v>
      </c>
    </row>
    <row r="20" spans="1:10">
      <c r="A20" t="s">
        <v>90</v>
      </c>
      <c r="B20" t="s">
        <v>205</v>
      </c>
      <c r="C20" t="s">
        <v>17</v>
      </c>
      <c r="D20" t="s">
        <v>44</v>
      </c>
      <c r="E20" t="s">
        <v>45</v>
      </c>
      <c r="F20" s="4">
        <v>11365900</v>
      </c>
      <c r="G20" s="4">
        <v>909090</v>
      </c>
      <c r="H20" s="4">
        <v>2045680</v>
      </c>
      <c r="I20" s="4">
        <f t="shared" si="0"/>
        <v>14320670</v>
      </c>
      <c r="J20" t="s">
        <v>46</v>
      </c>
    </row>
    <row r="21" spans="1:10">
      <c r="A21" t="s">
        <v>91</v>
      </c>
      <c r="B21" t="s">
        <v>206</v>
      </c>
      <c r="C21" t="s">
        <v>76</v>
      </c>
      <c r="D21" t="s">
        <v>44</v>
      </c>
      <c r="E21" t="s">
        <v>48</v>
      </c>
      <c r="F21" s="4">
        <v>8353800</v>
      </c>
      <c r="G21" s="4">
        <v>835380</v>
      </c>
      <c r="H21" s="4">
        <v>1503320</v>
      </c>
      <c r="I21" s="4">
        <f t="shared" si="0"/>
        <v>10692500</v>
      </c>
      <c r="J21" t="s">
        <v>46</v>
      </c>
    </row>
    <row r="22" spans="1:10">
      <c r="A22" t="s">
        <v>92</v>
      </c>
      <c r="B22" t="s">
        <v>207</v>
      </c>
      <c r="C22" t="s">
        <v>71</v>
      </c>
      <c r="D22" t="s">
        <v>50</v>
      </c>
      <c r="E22" t="s">
        <v>51</v>
      </c>
      <c r="F22" s="4">
        <v>5114200</v>
      </c>
      <c r="G22" s="4">
        <v>613340</v>
      </c>
      <c r="H22" s="4">
        <v>920920</v>
      </c>
      <c r="I22" s="4">
        <f t="shared" si="0"/>
        <v>6648460</v>
      </c>
      <c r="J22" t="s">
        <v>46</v>
      </c>
    </row>
    <row r="23" spans="1:10">
      <c r="A23" t="s">
        <v>93</v>
      </c>
      <c r="B23" t="s">
        <v>208</v>
      </c>
      <c r="C23" t="s">
        <v>17</v>
      </c>
      <c r="D23" t="s">
        <v>50</v>
      </c>
      <c r="E23" t="s">
        <v>53</v>
      </c>
      <c r="F23" s="4">
        <v>3185000</v>
      </c>
      <c r="G23" s="4">
        <v>254800</v>
      </c>
      <c r="H23" s="4">
        <v>573300</v>
      </c>
      <c r="I23" s="4">
        <f t="shared" si="0"/>
        <v>4013100</v>
      </c>
      <c r="J23" t="s">
        <v>46</v>
      </c>
    </row>
    <row r="24" spans="1:10">
      <c r="A24" t="s">
        <v>94</v>
      </c>
      <c r="B24" t="s">
        <v>209</v>
      </c>
      <c r="C24" t="s">
        <v>17</v>
      </c>
      <c r="D24" t="s">
        <v>50</v>
      </c>
      <c r="E24" t="s">
        <v>55</v>
      </c>
      <c r="F24" s="4">
        <v>1911000</v>
      </c>
      <c r="G24" s="4">
        <v>95550</v>
      </c>
      <c r="H24" s="4">
        <v>343980</v>
      </c>
      <c r="I24" s="4">
        <f t="shared" si="0"/>
        <v>2350530</v>
      </c>
      <c r="J24" t="s">
        <v>46</v>
      </c>
    </row>
    <row r="25" spans="1:10">
      <c r="A25" t="s">
        <v>95</v>
      </c>
      <c r="B25" t="s">
        <v>210</v>
      </c>
      <c r="C25" t="s">
        <v>71</v>
      </c>
      <c r="D25" t="s">
        <v>57</v>
      </c>
      <c r="E25" t="s">
        <v>58</v>
      </c>
      <c r="F25" s="4">
        <v>4222400</v>
      </c>
      <c r="G25" s="4">
        <v>211120</v>
      </c>
      <c r="H25" s="4">
        <v>759850</v>
      </c>
      <c r="I25" s="4">
        <f t="shared" si="0"/>
        <v>5193370</v>
      </c>
      <c r="J25" t="s">
        <v>46</v>
      </c>
    </row>
    <row r="26" spans="1:10">
      <c r="A26" t="s">
        <v>96</v>
      </c>
      <c r="B26" t="s">
        <v>211</v>
      </c>
      <c r="C26" t="s">
        <v>17</v>
      </c>
      <c r="D26" t="s">
        <v>60</v>
      </c>
      <c r="E26" t="s">
        <v>61</v>
      </c>
      <c r="F26" s="4">
        <v>4686500</v>
      </c>
      <c r="G26" s="4">
        <v>374920</v>
      </c>
      <c r="H26" s="4">
        <v>843570</v>
      </c>
      <c r="I26" s="4">
        <f t="shared" si="0"/>
        <v>5904990</v>
      </c>
      <c r="J26" t="s">
        <v>46</v>
      </c>
    </row>
    <row r="27" spans="1:10">
      <c r="A27" t="s">
        <v>97</v>
      </c>
      <c r="B27" t="s">
        <v>212</v>
      </c>
      <c r="C27" t="s">
        <v>17</v>
      </c>
      <c r="D27" t="s">
        <v>60</v>
      </c>
      <c r="E27" t="s">
        <v>63</v>
      </c>
      <c r="F27" s="4">
        <v>2466100</v>
      </c>
      <c r="G27" s="4">
        <v>246610</v>
      </c>
      <c r="H27" s="4">
        <v>444080</v>
      </c>
      <c r="I27" s="4">
        <f t="shared" si="0"/>
        <v>3156790</v>
      </c>
      <c r="J27" t="s">
        <v>46</v>
      </c>
    </row>
    <row r="28" spans="1:10">
      <c r="A28" t="s">
        <v>98</v>
      </c>
      <c r="B28" t="s">
        <v>213</v>
      </c>
      <c r="C28" t="s">
        <v>20</v>
      </c>
      <c r="D28" t="s">
        <v>21</v>
      </c>
      <c r="E28" t="s">
        <v>65</v>
      </c>
      <c r="F28" s="4">
        <v>4704700</v>
      </c>
      <c r="G28" s="4">
        <v>470470</v>
      </c>
      <c r="H28" s="4">
        <v>847210</v>
      </c>
      <c r="I28" s="4">
        <f t="shared" si="0"/>
        <v>6022380</v>
      </c>
      <c r="J28" t="s">
        <v>46</v>
      </c>
    </row>
    <row r="29" spans="1:10">
      <c r="A29" t="s">
        <v>99</v>
      </c>
      <c r="B29" t="s">
        <v>214</v>
      </c>
      <c r="C29" t="s">
        <v>17</v>
      </c>
      <c r="D29" t="s">
        <v>21</v>
      </c>
      <c r="E29" t="s">
        <v>67</v>
      </c>
      <c r="F29" s="4">
        <v>3084900</v>
      </c>
      <c r="G29" s="4">
        <v>370370</v>
      </c>
      <c r="H29" s="4">
        <v>555100</v>
      </c>
      <c r="I29" s="4">
        <f t="shared" si="0"/>
        <v>4010370</v>
      </c>
      <c r="J29" t="s">
        <v>46</v>
      </c>
    </row>
    <row r="30" spans="1:10">
      <c r="A30" t="s">
        <v>100</v>
      </c>
      <c r="B30" t="s">
        <v>215</v>
      </c>
      <c r="C30" t="s">
        <v>17</v>
      </c>
      <c r="D30" t="s">
        <v>21</v>
      </c>
      <c r="E30" t="s">
        <v>69</v>
      </c>
      <c r="F30" s="4">
        <v>2202200</v>
      </c>
      <c r="G30" s="4">
        <v>220220</v>
      </c>
      <c r="H30" s="4">
        <v>396760</v>
      </c>
      <c r="I30" s="4">
        <f t="shared" si="0"/>
        <v>2819180</v>
      </c>
      <c r="J30" t="s">
        <v>46</v>
      </c>
    </row>
    <row r="31" spans="1:10">
      <c r="A31" t="s">
        <v>101</v>
      </c>
      <c r="B31" t="s">
        <v>216</v>
      </c>
      <c r="C31" t="s">
        <v>20</v>
      </c>
      <c r="D31" t="s">
        <v>21</v>
      </c>
      <c r="E31" t="s">
        <v>72</v>
      </c>
      <c r="F31" s="4">
        <v>1565200</v>
      </c>
      <c r="G31" s="4">
        <v>156520</v>
      </c>
      <c r="H31" s="4">
        <v>282100</v>
      </c>
      <c r="I31" s="4">
        <f t="shared" si="0"/>
        <v>2003820</v>
      </c>
      <c r="J31" t="s">
        <v>46</v>
      </c>
    </row>
    <row r="32" spans="1:10">
      <c r="A32" t="s">
        <v>102</v>
      </c>
      <c r="B32" t="s">
        <v>217</v>
      </c>
      <c r="C32" t="s">
        <v>20</v>
      </c>
      <c r="D32" t="s">
        <v>21</v>
      </c>
      <c r="E32" t="s">
        <v>74</v>
      </c>
      <c r="F32" s="4">
        <v>1183000</v>
      </c>
      <c r="G32" s="4">
        <v>94640</v>
      </c>
      <c r="H32" s="4">
        <v>212940</v>
      </c>
      <c r="I32" s="4">
        <f t="shared" si="0"/>
        <v>1490580</v>
      </c>
      <c r="J32" t="s">
        <v>46</v>
      </c>
    </row>
    <row r="33" spans="1:10">
      <c r="A33" t="s">
        <v>103</v>
      </c>
      <c r="B33" t="s">
        <v>218</v>
      </c>
      <c r="C33" t="s">
        <v>17</v>
      </c>
      <c r="D33" t="s">
        <v>77</v>
      </c>
      <c r="E33" t="s">
        <v>78</v>
      </c>
      <c r="F33" s="4">
        <v>3448900</v>
      </c>
      <c r="G33" s="4">
        <v>275730</v>
      </c>
      <c r="H33" s="4">
        <v>620620</v>
      </c>
      <c r="I33" s="4">
        <f t="shared" si="0"/>
        <v>4345250</v>
      </c>
      <c r="J33" t="s">
        <v>46</v>
      </c>
    </row>
    <row r="34" spans="1:10">
      <c r="A34" t="s">
        <v>104</v>
      </c>
      <c r="B34" t="s">
        <v>219</v>
      </c>
      <c r="C34" t="s">
        <v>20</v>
      </c>
      <c r="D34" t="s">
        <v>77</v>
      </c>
      <c r="E34" t="s">
        <v>80</v>
      </c>
      <c r="F34" s="4">
        <v>1565200</v>
      </c>
      <c r="G34" s="4">
        <v>78260</v>
      </c>
      <c r="H34" s="4">
        <v>282100</v>
      </c>
      <c r="I34" s="4">
        <f t="shared" ref="I34:I65" si="1">SUM(F34:H34)</f>
        <v>1925560</v>
      </c>
      <c r="J34" t="s">
        <v>46</v>
      </c>
    </row>
    <row r="35" spans="1:10">
      <c r="A35" t="s">
        <v>105</v>
      </c>
      <c r="B35" t="s">
        <v>220</v>
      </c>
      <c r="C35" t="s">
        <v>76</v>
      </c>
      <c r="D35" t="s">
        <v>82</v>
      </c>
      <c r="E35" t="s">
        <v>83</v>
      </c>
      <c r="F35" s="4">
        <v>2238600</v>
      </c>
      <c r="G35" s="4">
        <v>268450</v>
      </c>
      <c r="H35" s="4">
        <v>403130</v>
      </c>
      <c r="I35" s="4">
        <f t="shared" si="1"/>
        <v>2910180</v>
      </c>
      <c r="J35" t="s">
        <v>46</v>
      </c>
    </row>
    <row r="36" spans="1:10">
      <c r="A36" t="s">
        <v>106</v>
      </c>
      <c r="B36" t="s">
        <v>221</v>
      </c>
      <c r="C36" t="s">
        <v>17</v>
      </c>
      <c r="D36" t="s">
        <v>85</v>
      </c>
      <c r="E36" t="s">
        <v>86</v>
      </c>
      <c r="F36" s="4">
        <v>1128400</v>
      </c>
      <c r="G36" s="4">
        <v>56420</v>
      </c>
      <c r="H36" s="4">
        <v>202930</v>
      </c>
      <c r="I36" s="4">
        <f t="shared" si="1"/>
        <v>1387750</v>
      </c>
      <c r="J36" t="s">
        <v>46</v>
      </c>
    </row>
    <row r="37" spans="1:10">
      <c r="A37" t="s">
        <v>107</v>
      </c>
      <c r="B37" t="s">
        <v>222</v>
      </c>
      <c r="C37" t="s">
        <v>76</v>
      </c>
      <c r="D37" t="s">
        <v>88</v>
      </c>
      <c r="E37" t="s">
        <v>89</v>
      </c>
      <c r="F37" s="4">
        <v>1601600</v>
      </c>
      <c r="G37" s="4">
        <v>128310</v>
      </c>
      <c r="H37" s="4">
        <v>288470</v>
      </c>
      <c r="I37" s="4">
        <f t="shared" si="1"/>
        <v>2018380</v>
      </c>
      <c r="J37" t="s">
        <v>46</v>
      </c>
    </row>
    <row r="38" spans="1:10">
      <c r="A38" t="s">
        <v>108</v>
      </c>
      <c r="B38" t="s">
        <v>223</v>
      </c>
      <c r="C38" t="s">
        <v>76</v>
      </c>
      <c r="D38" t="s">
        <v>44</v>
      </c>
      <c r="E38" t="s">
        <v>45</v>
      </c>
      <c r="F38" s="4">
        <v>10847200</v>
      </c>
      <c r="G38" s="4">
        <v>542360</v>
      </c>
      <c r="H38" s="4">
        <v>1952860</v>
      </c>
      <c r="I38" s="4">
        <f t="shared" si="1"/>
        <v>13342420</v>
      </c>
      <c r="J38" t="s">
        <v>46</v>
      </c>
    </row>
    <row r="39" spans="1:10">
      <c r="A39" t="s">
        <v>109</v>
      </c>
      <c r="B39" t="s">
        <v>224</v>
      </c>
      <c r="C39" t="s">
        <v>20</v>
      </c>
      <c r="D39" t="s">
        <v>44</v>
      </c>
      <c r="E39" t="s">
        <v>48</v>
      </c>
      <c r="F39" s="4">
        <v>7762300</v>
      </c>
      <c r="G39" s="4">
        <v>931840</v>
      </c>
      <c r="H39" s="4">
        <v>1396850</v>
      </c>
      <c r="I39" s="4">
        <f t="shared" si="1"/>
        <v>10090990</v>
      </c>
      <c r="J39" t="s">
        <v>46</v>
      </c>
    </row>
    <row r="40" spans="1:10">
      <c r="A40" t="s">
        <v>110</v>
      </c>
      <c r="B40" t="s">
        <v>225</v>
      </c>
      <c r="C40" t="s">
        <v>17</v>
      </c>
      <c r="D40" t="s">
        <v>50</v>
      </c>
      <c r="E40" t="s">
        <v>51</v>
      </c>
      <c r="F40" s="4">
        <v>4904900</v>
      </c>
      <c r="G40" s="4">
        <v>392210</v>
      </c>
      <c r="H40" s="4">
        <v>882700</v>
      </c>
      <c r="I40" s="4">
        <f t="shared" si="1"/>
        <v>6179810</v>
      </c>
      <c r="J40" t="s">
        <v>46</v>
      </c>
    </row>
    <row r="41" spans="1:10">
      <c r="A41" t="s">
        <v>111</v>
      </c>
      <c r="B41" t="s">
        <v>226</v>
      </c>
      <c r="C41" t="s">
        <v>20</v>
      </c>
      <c r="D41" t="s">
        <v>50</v>
      </c>
      <c r="E41" t="s">
        <v>53</v>
      </c>
      <c r="F41" s="4">
        <v>3148600</v>
      </c>
      <c r="G41" s="4">
        <v>157430</v>
      </c>
      <c r="H41" s="4">
        <v>566930</v>
      </c>
      <c r="I41" s="4">
        <f t="shared" si="1"/>
        <v>3872960</v>
      </c>
      <c r="J41" t="s">
        <v>46</v>
      </c>
    </row>
    <row r="42" spans="1:10">
      <c r="A42" t="s">
        <v>112</v>
      </c>
      <c r="B42" t="s">
        <v>227</v>
      </c>
      <c r="C42" t="s">
        <v>17</v>
      </c>
      <c r="D42" t="s">
        <v>50</v>
      </c>
      <c r="E42" t="s">
        <v>55</v>
      </c>
      <c r="F42" s="4">
        <v>2020200</v>
      </c>
      <c r="G42" s="4">
        <v>202020</v>
      </c>
      <c r="H42" s="4">
        <v>364000</v>
      </c>
      <c r="I42" s="4">
        <f t="shared" si="1"/>
        <v>2586220</v>
      </c>
      <c r="J42" t="s">
        <v>46</v>
      </c>
    </row>
    <row r="43" spans="1:10">
      <c r="A43" t="s">
        <v>113</v>
      </c>
      <c r="B43" t="s">
        <v>228</v>
      </c>
      <c r="C43" t="s">
        <v>17</v>
      </c>
      <c r="D43" t="s">
        <v>57</v>
      </c>
      <c r="E43" t="s">
        <v>58</v>
      </c>
      <c r="F43" s="4">
        <v>3867500</v>
      </c>
      <c r="G43" s="4">
        <v>309400</v>
      </c>
      <c r="H43" s="4">
        <v>696150</v>
      </c>
      <c r="I43" s="4">
        <f t="shared" si="1"/>
        <v>4873050</v>
      </c>
      <c r="J43" t="s">
        <v>46</v>
      </c>
    </row>
    <row r="44" spans="1:10">
      <c r="A44" t="s">
        <v>114</v>
      </c>
      <c r="B44" t="s">
        <v>229</v>
      </c>
      <c r="C44" t="s">
        <v>20</v>
      </c>
      <c r="D44" t="s">
        <v>60</v>
      </c>
      <c r="E44" t="s">
        <v>61</v>
      </c>
      <c r="F44" s="4">
        <v>4832100</v>
      </c>
      <c r="G44" s="4">
        <v>386750</v>
      </c>
      <c r="H44" s="4">
        <v>869960</v>
      </c>
      <c r="I44" s="4">
        <f t="shared" si="1"/>
        <v>6088810</v>
      </c>
      <c r="J44" t="s">
        <v>46</v>
      </c>
    </row>
    <row r="45" spans="1:10">
      <c r="A45" t="s">
        <v>115</v>
      </c>
      <c r="B45" t="s">
        <v>230</v>
      </c>
      <c r="C45" t="s">
        <v>17</v>
      </c>
      <c r="D45" t="s">
        <v>60</v>
      </c>
      <c r="E45" t="s">
        <v>63</v>
      </c>
      <c r="F45" s="4">
        <v>2702700</v>
      </c>
      <c r="G45" s="4">
        <v>323960</v>
      </c>
      <c r="H45" s="4">
        <v>486850</v>
      </c>
      <c r="I45" s="4">
        <f t="shared" si="1"/>
        <v>3513510</v>
      </c>
      <c r="J45" t="s">
        <v>46</v>
      </c>
    </row>
    <row r="46" spans="1:10">
      <c r="A46" t="s">
        <v>116</v>
      </c>
      <c r="B46" t="s">
        <v>231</v>
      </c>
      <c r="C46" t="s">
        <v>20</v>
      </c>
      <c r="D46" t="s">
        <v>21</v>
      </c>
      <c r="E46" t="s">
        <v>65</v>
      </c>
      <c r="F46" s="4">
        <v>4586400</v>
      </c>
      <c r="G46" s="4">
        <v>550550</v>
      </c>
      <c r="H46" s="4">
        <v>825370</v>
      </c>
      <c r="I46" s="4">
        <f t="shared" si="1"/>
        <v>5962320</v>
      </c>
      <c r="J46" t="s">
        <v>46</v>
      </c>
    </row>
    <row r="47" spans="1:10">
      <c r="A47" t="s">
        <v>117</v>
      </c>
      <c r="B47" t="s">
        <v>232</v>
      </c>
      <c r="C47" t="s">
        <v>17</v>
      </c>
      <c r="D47" t="s">
        <v>21</v>
      </c>
      <c r="E47" t="s">
        <v>67</v>
      </c>
      <c r="F47" s="4">
        <v>3066700</v>
      </c>
      <c r="G47" s="4">
        <v>245700</v>
      </c>
      <c r="H47" s="4">
        <v>552370</v>
      </c>
      <c r="I47" s="4">
        <f t="shared" si="1"/>
        <v>3864770</v>
      </c>
      <c r="J47" t="s">
        <v>46</v>
      </c>
    </row>
    <row r="48" spans="1:10">
      <c r="A48" t="s">
        <v>118</v>
      </c>
      <c r="B48" t="s">
        <v>233</v>
      </c>
      <c r="C48" t="s">
        <v>20</v>
      </c>
      <c r="D48" t="s">
        <v>21</v>
      </c>
      <c r="E48" t="s">
        <v>69</v>
      </c>
      <c r="F48" s="4">
        <v>2502500</v>
      </c>
      <c r="G48" s="4">
        <v>300300</v>
      </c>
      <c r="H48" s="4">
        <v>450450</v>
      </c>
      <c r="I48" s="4">
        <f t="shared" si="1"/>
        <v>3253250</v>
      </c>
      <c r="J48" t="s">
        <v>46</v>
      </c>
    </row>
    <row r="49" spans="1:10">
      <c r="A49" t="s">
        <v>119</v>
      </c>
      <c r="B49" t="s">
        <v>234</v>
      </c>
      <c r="C49" t="s">
        <v>17</v>
      </c>
      <c r="D49" t="s">
        <v>21</v>
      </c>
      <c r="E49" t="s">
        <v>72</v>
      </c>
      <c r="F49" s="4">
        <v>1456000</v>
      </c>
      <c r="G49" s="4">
        <v>116480</v>
      </c>
      <c r="H49" s="4">
        <v>262080</v>
      </c>
      <c r="I49" s="4">
        <f t="shared" si="1"/>
        <v>1834560</v>
      </c>
      <c r="J49" t="s">
        <v>46</v>
      </c>
    </row>
    <row r="50" spans="1:10">
      <c r="A50" t="s">
        <v>120</v>
      </c>
      <c r="B50" t="s">
        <v>235</v>
      </c>
      <c r="C50" t="s">
        <v>17</v>
      </c>
      <c r="D50" t="s">
        <v>21</v>
      </c>
      <c r="E50" t="s">
        <v>74</v>
      </c>
      <c r="F50" s="4">
        <v>1164800</v>
      </c>
      <c r="G50" s="4">
        <v>92820</v>
      </c>
      <c r="H50" s="4">
        <v>209300</v>
      </c>
      <c r="I50" s="4">
        <f t="shared" si="1"/>
        <v>1466920</v>
      </c>
      <c r="J50" t="s">
        <v>46</v>
      </c>
    </row>
    <row r="51" spans="1:10">
      <c r="A51" t="s">
        <v>121</v>
      </c>
      <c r="B51" t="s">
        <v>236</v>
      </c>
      <c r="C51" t="s">
        <v>17</v>
      </c>
      <c r="D51" t="s">
        <v>77</v>
      </c>
      <c r="E51" t="s">
        <v>78</v>
      </c>
      <c r="F51" s="4">
        <v>3749200</v>
      </c>
      <c r="G51" s="4">
        <v>187460</v>
      </c>
      <c r="H51" s="4">
        <v>675220</v>
      </c>
      <c r="I51" s="4">
        <f t="shared" si="1"/>
        <v>4611880</v>
      </c>
      <c r="J51" t="s">
        <v>46</v>
      </c>
    </row>
    <row r="52" spans="1:10">
      <c r="A52" t="s">
        <v>122</v>
      </c>
      <c r="B52" t="s">
        <v>237</v>
      </c>
      <c r="C52" t="s">
        <v>20</v>
      </c>
      <c r="D52" t="s">
        <v>77</v>
      </c>
      <c r="E52" t="s">
        <v>80</v>
      </c>
      <c r="F52" s="4">
        <v>1383200</v>
      </c>
      <c r="G52" s="4">
        <v>111020</v>
      </c>
      <c r="H52" s="4">
        <v>249340</v>
      </c>
      <c r="I52" s="4">
        <f t="shared" si="1"/>
        <v>1743560</v>
      </c>
      <c r="J52" t="s">
        <v>46</v>
      </c>
    </row>
    <row r="53" spans="1:10">
      <c r="A53" t="s">
        <v>123</v>
      </c>
      <c r="B53" t="s">
        <v>238</v>
      </c>
      <c r="C53" t="s">
        <v>17</v>
      </c>
      <c r="D53" t="s">
        <v>82</v>
      </c>
      <c r="E53" t="s">
        <v>83</v>
      </c>
      <c r="F53" s="4">
        <v>2065700</v>
      </c>
      <c r="G53" s="4">
        <v>103740</v>
      </c>
      <c r="H53" s="4">
        <v>372190</v>
      </c>
      <c r="I53" s="4">
        <f t="shared" si="1"/>
        <v>2541630</v>
      </c>
      <c r="J53" t="s">
        <v>46</v>
      </c>
    </row>
    <row r="54" spans="1:10">
      <c r="A54" t="s">
        <v>124</v>
      </c>
      <c r="B54" t="s">
        <v>239</v>
      </c>
      <c r="C54" t="s">
        <v>20</v>
      </c>
      <c r="D54" t="s">
        <v>85</v>
      </c>
      <c r="E54" t="s">
        <v>86</v>
      </c>
      <c r="F54" s="4">
        <v>1082900</v>
      </c>
      <c r="G54" s="4">
        <v>130130</v>
      </c>
      <c r="H54" s="4">
        <v>194740</v>
      </c>
      <c r="I54" s="4">
        <f t="shared" si="1"/>
        <v>1407770</v>
      </c>
      <c r="J54" t="s">
        <v>46</v>
      </c>
    </row>
    <row r="55" spans="1:10">
      <c r="A55" t="s">
        <v>125</v>
      </c>
      <c r="B55" t="s">
        <v>240</v>
      </c>
      <c r="C55" t="s">
        <v>17</v>
      </c>
      <c r="D55" t="s">
        <v>88</v>
      </c>
      <c r="E55" t="s">
        <v>89</v>
      </c>
      <c r="F55" s="4">
        <v>1601600</v>
      </c>
      <c r="G55" s="4">
        <v>160160</v>
      </c>
      <c r="H55" s="4">
        <v>288470</v>
      </c>
      <c r="I55" s="4">
        <f t="shared" si="1"/>
        <v>2050230</v>
      </c>
      <c r="J55" t="s">
        <v>46</v>
      </c>
    </row>
    <row r="56" spans="1:10">
      <c r="A56" t="s">
        <v>126</v>
      </c>
      <c r="B56" t="s">
        <v>241</v>
      </c>
      <c r="C56" t="s">
        <v>20</v>
      </c>
      <c r="D56" t="s">
        <v>44</v>
      </c>
      <c r="E56" t="s">
        <v>45</v>
      </c>
      <c r="F56" s="4">
        <v>11083800</v>
      </c>
      <c r="G56" s="4">
        <v>1108380</v>
      </c>
      <c r="H56" s="4">
        <v>1994720</v>
      </c>
      <c r="I56" s="4">
        <f t="shared" si="1"/>
        <v>14186900</v>
      </c>
      <c r="J56" t="s">
        <v>46</v>
      </c>
    </row>
    <row r="57" spans="1:10">
      <c r="A57" t="s">
        <v>127</v>
      </c>
      <c r="B57" t="s">
        <v>242</v>
      </c>
      <c r="C57" t="s">
        <v>71</v>
      </c>
      <c r="D57" t="s">
        <v>44</v>
      </c>
      <c r="E57" t="s">
        <v>48</v>
      </c>
      <c r="F57" s="4">
        <v>7744100</v>
      </c>
      <c r="G57" s="4">
        <v>387660</v>
      </c>
      <c r="H57" s="4">
        <v>1394120</v>
      </c>
      <c r="I57" s="4">
        <f t="shared" si="1"/>
        <v>9525880</v>
      </c>
      <c r="J57" t="s">
        <v>46</v>
      </c>
    </row>
    <row r="58" spans="1:10">
      <c r="A58" t="s">
        <v>128</v>
      </c>
      <c r="B58" t="s">
        <v>243</v>
      </c>
      <c r="C58" t="s">
        <v>76</v>
      </c>
      <c r="D58" t="s">
        <v>50</v>
      </c>
      <c r="E58" t="s">
        <v>51</v>
      </c>
      <c r="F58" s="4">
        <v>4995900</v>
      </c>
      <c r="G58" s="4">
        <v>249340</v>
      </c>
      <c r="H58" s="4">
        <v>899080</v>
      </c>
      <c r="I58" s="4">
        <f t="shared" si="1"/>
        <v>6144320</v>
      </c>
      <c r="J58" t="s">
        <v>46</v>
      </c>
    </row>
    <row r="59" spans="1:10">
      <c r="A59" t="s">
        <v>129</v>
      </c>
      <c r="B59" t="s">
        <v>244</v>
      </c>
      <c r="C59" t="s">
        <v>71</v>
      </c>
      <c r="D59" t="s">
        <v>50</v>
      </c>
      <c r="E59" t="s">
        <v>53</v>
      </c>
      <c r="F59" s="4">
        <v>2912000</v>
      </c>
      <c r="G59" s="4">
        <v>145600</v>
      </c>
      <c r="H59" s="4">
        <v>524160</v>
      </c>
      <c r="I59" s="4">
        <f t="shared" si="1"/>
        <v>3581760</v>
      </c>
      <c r="J59" t="s">
        <v>46</v>
      </c>
    </row>
    <row r="60" spans="1:10">
      <c r="A60" t="s">
        <v>130</v>
      </c>
      <c r="B60" t="s">
        <v>245</v>
      </c>
      <c r="C60" t="s">
        <v>20</v>
      </c>
      <c r="D60" t="s">
        <v>50</v>
      </c>
      <c r="E60" t="s">
        <v>55</v>
      </c>
      <c r="F60" s="4">
        <v>1938300</v>
      </c>
      <c r="G60" s="4">
        <v>193830</v>
      </c>
      <c r="H60" s="4">
        <v>348530</v>
      </c>
      <c r="I60" s="4">
        <f t="shared" si="1"/>
        <v>2480660</v>
      </c>
      <c r="J60" t="s">
        <v>46</v>
      </c>
    </row>
    <row r="61" spans="1:10">
      <c r="A61" t="s">
        <v>131</v>
      </c>
      <c r="B61" t="s">
        <v>246</v>
      </c>
      <c r="C61" t="s">
        <v>76</v>
      </c>
      <c r="D61" t="s">
        <v>57</v>
      </c>
      <c r="E61" t="s">
        <v>58</v>
      </c>
      <c r="F61" s="4">
        <v>3913000</v>
      </c>
      <c r="G61" s="4">
        <v>469560</v>
      </c>
      <c r="H61" s="4">
        <v>704340</v>
      </c>
      <c r="I61" s="4">
        <f t="shared" si="1"/>
        <v>5086900</v>
      </c>
      <c r="J6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5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35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 spans="1:16">
      <c r="A2" t="s">
        <v>20</v>
      </c>
      <c r="B2" t="s">
        <v>147</v>
      </c>
      <c r="C2" t="s">
        <v>148</v>
      </c>
      <c r="D2" s="5">
        <v>74.09</v>
      </c>
      <c r="E2" s="5">
        <v>67.650000000000006</v>
      </c>
      <c r="F2" s="5">
        <v>58.84</v>
      </c>
      <c r="G2" s="5">
        <v>70.7</v>
      </c>
      <c r="H2" s="5">
        <v>58.05</v>
      </c>
      <c r="I2" s="5">
        <v>64.010000000000005</v>
      </c>
      <c r="J2" s="5">
        <v>74.3</v>
      </c>
      <c r="K2" s="5">
        <v>65.55</v>
      </c>
      <c r="L2" s="5">
        <v>57.58</v>
      </c>
      <c r="M2" s="5">
        <v>68.55</v>
      </c>
      <c r="N2" s="5">
        <v>73.099999999999994</v>
      </c>
      <c r="O2" s="5">
        <v>71.48</v>
      </c>
      <c r="P2" s="5">
        <f t="shared" ref="P2:P11" si="0">SUM(D2:O2)</f>
        <v>803.90000000000009</v>
      </c>
    </row>
    <row r="3" spans="1:16">
      <c r="A3" t="s">
        <v>20</v>
      </c>
      <c r="B3" t="s">
        <v>149</v>
      </c>
      <c r="C3" t="s">
        <v>148</v>
      </c>
      <c r="D3" s="5">
        <v>55.78</v>
      </c>
      <c r="E3" s="5">
        <v>46.63</v>
      </c>
      <c r="F3" s="5">
        <v>44.32</v>
      </c>
      <c r="G3" s="5">
        <v>50.64</v>
      </c>
      <c r="H3" s="5">
        <v>50.99</v>
      </c>
      <c r="I3" s="5">
        <v>45.72</v>
      </c>
      <c r="J3" s="5">
        <v>51.24</v>
      </c>
      <c r="K3" s="5">
        <v>48.98</v>
      </c>
      <c r="L3" s="5">
        <v>56.57</v>
      </c>
      <c r="M3" s="5">
        <v>53.06</v>
      </c>
      <c r="N3" s="5">
        <v>46.52</v>
      </c>
      <c r="O3" s="5">
        <v>50.87</v>
      </c>
      <c r="P3" s="5">
        <f t="shared" si="0"/>
        <v>601.32000000000005</v>
      </c>
    </row>
    <row r="4" spans="1:16">
      <c r="A4" t="s">
        <v>20</v>
      </c>
      <c r="B4" t="s">
        <v>150</v>
      </c>
      <c r="C4" t="s">
        <v>148</v>
      </c>
      <c r="D4" s="5">
        <v>47.05</v>
      </c>
      <c r="E4" s="5">
        <v>49.33</v>
      </c>
      <c r="F4" s="5">
        <v>43.82</v>
      </c>
      <c r="G4" s="5">
        <v>39.729999999999997</v>
      </c>
      <c r="H4" s="5">
        <v>44.09</v>
      </c>
      <c r="I4" s="5">
        <v>42.43</v>
      </c>
      <c r="J4" s="5">
        <v>44.58</v>
      </c>
      <c r="K4" s="5">
        <v>39.39</v>
      </c>
      <c r="L4" s="5">
        <v>45.5</v>
      </c>
      <c r="M4" s="5">
        <v>40.36</v>
      </c>
      <c r="N4" s="5">
        <v>49.06</v>
      </c>
      <c r="O4" s="5">
        <v>40.93</v>
      </c>
      <c r="P4" s="5">
        <f t="shared" si="0"/>
        <v>526.27</v>
      </c>
    </row>
    <row r="5" spans="1:16">
      <c r="A5" t="s">
        <v>20</v>
      </c>
      <c r="B5" t="s">
        <v>151</v>
      </c>
      <c r="C5" t="s">
        <v>148</v>
      </c>
      <c r="D5" s="5">
        <v>63.62</v>
      </c>
      <c r="E5" s="5">
        <v>59.76</v>
      </c>
      <c r="F5" s="5">
        <v>57.31</v>
      </c>
      <c r="G5" s="5">
        <v>51.46</v>
      </c>
      <c r="H5" s="5">
        <v>56.41</v>
      </c>
      <c r="I5" s="5">
        <v>54.41</v>
      </c>
      <c r="J5" s="5">
        <v>58.2</v>
      </c>
      <c r="K5" s="5">
        <v>53.48</v>
      </c>
      <c r="L5" s="5">
        <v>63.76</v>
      </c>
      <c r="M5" s="5">
        <v>63.45</v>
      </c>
      <c r="N5" s="5">
        <v>53.46</v>
      </c>
      <c r="O5" s="5">
        <v>63.17</v>
      </c>
      <c r="P5" s="5">
        <f t="shared" si="0"/>
        <v>698.49000000000012</v>
      </c>
    </row>
    <row r="6" spans="1:16">
      <c r="A6" t="s">
        <v>20</v>
      </c>
      <c r="B6" t="s">
        <v>152</v>
      </c>
      <c r="C6" t="s">
        <v>148</v>
      </c>
      <c r="D6" s="5">
        <v>39.01</v>
      </c>
      <c r="E6" s="5">
        <v>35.76</v>
      </c>
      <c r="F6" s="5">
        <v>40.17</v>
      </c>
      <c r="G6" s="5">
        <v>42.98</v>
      </c>
      <c r="H6" s="5">
        <v>37.82</v>
      </c>
      <c r="I6" s="5">
        <v>38.65</v>
      </c>
      <c r="J6" s="5">
        <v>35.369999999999997</v>
      </c>
      <c r="K6" s="5">
        <v>41.89</v>
      </c>
      <c r="L6" s="5">
        <v>34.880000000000003</v>
      </c>
      <c r="M6" s="5">
        <v>37.200000000000003</v>
      </c>
      <c r="N6" s="5">
        <v>34.04</v>
      </c>
      <c r="O6" s="5">
        <v>36.1</v>
      </c>
      <c r="P6" s="5">
        <f t="shared" si="0"/>
        <v>453.87</v>
      </c>
    </row>
    <row r="7" spans="1:16">
      <c r="A7" t="s">
        <v>17</v>
      </c>
      <c r="B7" t="s">
        <v>147</v>
      </c>
      <c r="C7" t="s">
        <v>148</v>
      </c>
      <c r="D7" s="5">
        <v>69.099999999999994</v>
      </c>
      <c r="E7" s="5">
        <v>71.39</v>
      </c>
      <c r="F7" s="5">
        <v>58.34</v>
      </c>
      <c r="G7" s="5">
        <v>57.54</v>
      </c>
      <c r="H7" s="5">
        <v>60.01</v>
      </c>
      <c r="I7" s="5">
        <v>67.540000000000006</v>
      </c>
      <c r="J7" s="5">
        <v>61.5</v>
      </c>
      <c r="K7" s="5">
        <v>68.319999999999993</v>
      </c>
      <c r="L7" s="5">
        <v>63.3</v>
      </c>
      <c r="M7" s="5">
        <v>61.21</v>
      </c>
      <c r="N7" s="5">
        <v>59.3</v>
      </c>
      <c r="O7" s="5">
        <v>73.05</v>
      </c>
      <c r="P7" s="5">
        <f t="shared" si="0"/>
        <v>770.59999999999991</v>
      </c>
    </row>
    <row r="8" spans="1:16">
      <c r="A8" t="s">
        <v>17</v>
      </c>
      <c r="B8" t="s">
        <v>149</v>
      </c>
      <c r="C8" t="s">
        <v>148</v>
      </c>
      <c r="D8" s="5">
        <v>56.93</v>
      </c>
      <c r="E8" s="5">
        <v>54.56</v>
      </c>
      <c r="F8" s="5">
        <v>56.94</v>
      </c>
      <c r="G8" s="5">
        <v>51.44</v>
      </c>
      <c r="H8" s="5">
        <v>48.14</v>
      </c>
      <c r="I8" s="5">
        <v>43.52</v>
      </c>
      <c r="J8" s="5">
        <v>53.3</v>
      </c>
      <c r="K8" s="5">
        <v>44.56</v>
      </c>
      <c r="L8" s="5">
        <v>48.86</v>
      </c>
      <c r="M8" s="5">
        <v>47.38</v>
      </c>
      <c r="N8" s="5">
        <v>57.38</v>
      </c>
      <c r="O8" s="5">
        <v>56.76</v>
      </c>
      <c r="P8" s="5">
        <f t="shared" si="0"/>
        <v>619.77</v>
      </c>
    </row>
    <row r="9" spans="1:16">
      <c r="A9" t="s">
        <v>17</v>
      </c>
      <c r="B9" t="s">
        <v>150</v>
      </c>
      <c r="C9" t="s">
        <v>148</v>
      </c>
      <c r="D9" s="5">
        <v>38.14</v>
      </c>
      <c r="E9" s="5">
        <v>44.65</v>
      </c>
      <c r="F9" s="5">
        <v>37.58</v>
      </c>
      <c r="G9" s="5">
        <v>45.45</v>
      </c>
      <c r="H9" s="5">
        <v>40.549999999999997</v>
      </c>
      <c r="I9" s="5">
        <v>48.15</v>
      </c>
      <c r="J9" s="5">
        <v>39.61</v>
      </c>
      <c r="K9" s="5">
        <v>48.21</v>
      </c>
      <c r="L9" s="5">
        <v>42.78</v>
      </c>
      <c r="M9" s="5">
        <v>39.64</v>
      </c>
      <c r="N9" s="5">
        <v>43.27</v>
      </c>
      <c r="O9" s="5">
        <v>40.6</v>
      </c>
      <c r="P9" s="5">
        <f t="shared" si="0"/>
        <v>508.63</v>
      </c>
    </row>
    <row r="10" spans="1:16">
      <c r="A10" t="s">
        <v>17</v>
      </c>
      <c r="B10" t="s">
        <v>151</v>
      </c>
      <c r="C10" t="s">
        <v>148</v>
      </c>
      <c r="D10" s="5">
        <v>57.52</v>
      </c>
      <c r="E10" s="5">
        <v>51.26</v>
      </c>
      <c r="F10" s="5">
        <v>54.16</v>
      </c>
      <c r="G10" s="5">
        <v>62.49</v>
      </c>
      <c r="H10" s="5">
        <v>63.07</v>
      </c>
      <c r="I10" s="5">
        <v>59.71</v>
      </c>
      <c r="J10" s="5">
        <v>60.68</v>
      </c>
      <c r="K10" s="5">
        <v>53.39</v>
      </c>
      <c r="L10" s="5">
        <v>59.62</v>
      </c>
      <c r="M10" s="5">
        <v>52.38</v>
      </c>
      <c r="N10" s="5">
        <v>60.77</v>
      </c>
      <c r="O10" s="5">
        <v>51.91</v>
      </c>
      <c r="P10" s="5">
        <f t="shared" si="0"/>
        <v>686.95999999999992</v>
      </c>
    </row>
    <row r="11" spans="1:16">
      <c r="A11" t="s">
        <v>17</v>
      </c>
      <c r="B11" t="s">
        <v>152</v>
      </c>
      <c r="C11" t="s">
        <v>148</v>
      </c>
      <c r="D11" s="5">
        <v>40.380000000000003</v>
      </c>
      <c r="E11" s="5">
        <v>41.67</v>
      </c>
      <c r="F11" s="5">
        <v>40.29</v>
      </c>
      <c r="G11" s="5">
        <v>43.58</v>
      </c>
      <c r="H11" s="5">
        <v>36.35</v>
      </c>
      <c r="I11" s="5">
        <v>36.229999999999997</v>
      </c>
      <c r="J11" s="5">
        <v>40.46</v>
      </c>
      <c r="K11" s="5">
        <v>38.71</v>
      </c>
      <c r="L11" s="5">
        <v>41.03</v>
      </c>
      <c r="M11" s="5">
        <v>32.729999999999997</v>
      </c>
      <c r="N11" s="5">
        <v>35.67</v>
      </c>
      <c r="O11" s="5">
        <v>34.090000000000003</v>
      </c>
      <c r="P11" s="5">
        <f t="shared" si="0"/>
        <v>461.18999999999994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workbookViewId="0">
      <selection activeCell="C24" sqref="C24"/>
    </sheetView>
  </sheetViews>
  <sheetFormatPr baseColWidth="10" defaultColWidth="8.83203125" defaultRowHeight="15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247</v>
      </c>
      <c r="B1" s="1" t="s">
        <v>248</v>
      </c>
      <c r="C1" s="1" t="s">
        <v>35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</row>
    <row r="2" spans="1:17">
      <c r="A2" t="s">
        <v>249</v>
      </c>
      <c r="B2" t="s">
        <v>250</v>
      </c>
      <c r="C2" t="s">
        <v>20</v>
      </c>
      <c r="D2" t="s">
        <v>166</v>
      </c>
      <c r="E2" s="4">
        <v>120816080</v>
      </c>
      <c r="F2" s="4">
        <v>128428080</v>
      </c>
      <c r="G2" s="4">
        <v>140996240</v>
      </c>
      <c r="H2" s="4">
        <v>119242640</v>
      </c>
      <c r="I2" s="4">
        <v>140949600</v>
      </c>
      <c r="J2" s="4">
        <v>116497920</v>
      </c>
      <c r="K2" s="4">
        <v>125957920</v>
      </c>
      <c r="L2" s="4">
        <v>129584400</v>
      </c>
      <c r="M2" s="4">
        <v>116293760</v>
      </c>
      <c r="N2" s="4">
        <v>116452160</v>
      </c>
      <c r="O2" s="4">
        <v>134361920</v>
      </c>
      <c r="P2" s="4">
        <v>120352320</v>
      </c>
      <c r="Q2" s="4">
        <v>1509933040</v>
      </c>
    </row>
    <row r="3" spans="1:17">
      <c r="A3" t="s">
        <v>249</v>
      </c>
      <c r="B3" t="s">
        <v>251</v>
      </c>
      <c r="C3" t="s">
        <v>20</v>
      </c>
      <c r="D3" t="s">
        <v>166</v>
      </c>
      <c r="E3" s="4">
        <v>43908480</v>
      </c>
      <c r="F3" s="4">
        <v>44330000</v>
      </c>
      <c r="G3" s="4">
        <v>47561360</v>
      </c>
      <c r="H3" s="4">
        <v>42780320</v>
      </c>
      <c r="I3" s="4">
        <v>37526720</v>
      </c>
      <c r="J3" s="4">
        <v>38816800</v>
      </c>
      <c r="K3" s="4">
        <v>44699600</v>
      </c>
      <c r="L3" s="4">
        <v>42039360</v>
      </c>
      <c r="M3" s="4">
        <v>40245920</v>
      </c>
      <c r="N3" s="4">
        <v>46535280</v>
      </c>
      <c r="O3" s="4">
        <v>43312720</v>
      </c>
      <c r="P3" s="4">
        <v>46748240</v>
      </c>
      <c r="Q3" s="4">
        <v>518504800</v>
      </c>
    </row>
    <row r="4" spans="1:17">
      <c r="A4" t="s">
        <v>249</v>
      </c>
      <c r="B4" t="s">
        <v>252</v>
      </c>
      <c r="C4" t="s">
        <v>20</v>
      </c>
      <c r="D4" t="s">
        <v>166</v>
      </c>
      <c r="E4" s="4">
        <v>75163440</v>
      </c>
      <c r="F4" s="4">
        <v>75788240</v>
      </c>
      <c r="G4" s="4">
        <v>68618000</v>
      </c>
      <c r="H4" s="4">
        <v>70407920</v>
      </c>
      <c r="I4" s="4">
        <v>79690160</v>
      </c>
      <c r="J4" s="4">
        <v>75006800</v>
      </c>
      <c r="K4" s="4">
        <v>72578000</v>
      </c>
      <c r="L4" s="4">
        <v>70062960</v>
      </c>
      <c r="M4" s="4">
        <v>66352880</v>
      </c>
      <c r="N4" s="4">
        <v>72657200</v>
      </c>
      <c r="O4" s="4">
        <v>81046240</v>
      </c>
      <c r="P4" s="4">
        <v>73449200</v>
      </c>
      <c r="Q4" s="4">
        <v>880821040</v>
      </c>
    </row>
    <row r="5" spans="1:17">
      <c r="A5" t="s">
        <v>249</v>
      </c>
      <c r="B5" t="s">
        <v>253</v>
      </c>
      <c r="C5" t="s">
        <v>20</v>
      </c>
      <c r="D5" t="s">
        <v>166</v>
      </c>
      <c r="E5" s="4">
        <v>26167680</v>
      </c>
      <c r="F5" s="4">
        <v>27875760</v>
      </c>
      <c r="G5" s="4">
        <v>27078480</v>
      </c>
      <c r="H5" s="4">
        <v>24828320</v>
      </c>
      <c r="I5" s="4">
        <v>29956080</v>
      </c>
      <c r="J5" s="4">
        <v>27759600</v>
      </c>
      <c r="K5" s="4">
        <v>26764320</v>
      </c>
      <c r="L5" s="4">
        <v>29411360</v>
      </c>
      <c r="M5" s="4">
        <v>25355440</v>
      </c>
      <c r="N5" s="4">
        <v>30957520</v>
      </c>
      <c r="O5" s="4">
        <v>29504640</v>
      </c>
      <c r="P5" s="4">
        <v>28036800</v>
      </c>
      <c r="Q5" s="4">
        <v>333696000</v>
      </c>
    </row>
    <row r="6" spans="1:17">
      <c r="A6" t="s">
        <v>249</v>
      </c>
      <c r="B6" t="s">
        <v>254</v>
      </c>
      <c r="C6" t="s">
        <v>17</v>
      </c>
      <c r="D6" t="s">
        <v>166</v>
      </c>
      <c r="E6" s="4">
        <v>19696160</v>
      </c>
      <c r="F6" s="4">
        <v>21237920</v>
      </c>
      <c r="G6" s="4">
        <v>22542080</v>
      </c>
      <c r="H6" s="4">
        <v>19813200</v>
      </c>
      <c r="I6" s="4">
        <v>21951600</v>
      </c>
      <c r="J6" s="4">
        <v>20240000</v>
      </c>
      <c r="K6" s="4">
        <v>21293360</v>
      </c>
      <c r="L6" s="4">
        <v>20183680</v>
      </c>
      <c r="M6" s="4">
        <v>20134400</v>
      </c>
      <c r="N6" s="4">
        <v>18880400</v>
      </c>
      <c r="O6" s="4">
        <v>19699680</v>
      </c>
      <c r="P6" s="4">
        <v>22425920</v>
      </c>
      <c r="Q6" s="4">
        <v>248098400</v>
      </c>
    </row>
    <row r="7" spans="1:17">
      <c r="A7" t="s">
        <v>255</v>
      </c>
      <c r="B7" t="s">
        <v>256</v>
      </c>
      <c r="C7" t="s">
        <v>17</v>
      </c>
      <c r="D7" t="s">
        <v>166</v>
      </c>
      <c r="E7" s="4">
        <v>59750240</v>
      </c>
      <c r="F7" s="4">
        <v>56341120</v>
      </c>
      <c r="G7" s="4">
        <v>62360320</v>
      </c>
      <c r="H7" s="4">
        <v>57353120</v>
      </c>
      <c r="I7" s="4">
        <v>57582800</v>
      </c>
      <c r="J7" s="4">
        <v>54754480</v>
      </c>
      <c r="K7" s="4">
        <v>60673360</v>
      </c>
      <c r="L7" s="4">
        <v>60727920</v>
      </c>
      <c r="M7" s="4">
        <v>57833600</v>
      </c>
      <c r="N7" s="4">
        <v>54917280</v>
      </c>
      <c r="O7" s="4">
        <v>57889040</v>
      </c>
      <c r="P7" s="4">
        <v>61948480</v>
      </c>
      <c r="Q7" s="4">
        <v>702131760</v>
      </c>
    </row>
    <row r="8" spans="1:17">
      <c r="A8" t="s">
        <v>255</v>
      </c>
      <c r="B8" t="s">
        <v>257</v>
      </c>
      <c r="C8" t="s">
        <v>17</v>
      </c>
      <c r="D8" t="s">
        <v>166</v>
      </c>
      <c r="E8" s="4">
        <v>7046160</v>
      </c>
      <c r="F8" s="4">
        <v>6130960</v>
      </c>
      <c r="G8" s="4">
        <v>7350640</v>
      </c>
      <c r="H8" s="4">
        <v>7139440</v>
      </c>
      <c r="I8" s="4">
        <v>6683600</v>
      </c>
      <c r="J8" s="4">
        <v>7431600</v>
      </c>
      <c r="K8" s="4">
        <v>5972560</v>
      </c>
      <c r="L8" s="4">
        <v>6605280</v>
      </c>
      <c r="M8" s="4">
        <v>6242720</v>
      </c>
      <c r="N8" s="4">
        <v>5896880</v>
      </c>
      <c r="O8" s="4">
        <v>6138000</v>
      </c>
      <c r="P8" s="4">
        <v>6028000</v>
      </c>
      <c r="Q8" s="4">
        <v>78665840</v>
      </c>
    </row>
    <row r="9" spans="1:17">
      <c r="A9" t="s">
        <v>255</v>
      </c>
      <c r="B9" t="s">
        <v>258</v>
      </c>
      <c r="C9" t="s">
        <v>17</v>
      </c>
      <c r="D9" t="s">
        <v>166</v>
      </c>
      <c r="E9" s="4">
        <v>11106480</v>
      </c>
      <c r="F9" s="4">
        <v>11360800</v>
      </c>
      <c r="G9" s="4">
        <v>12212640</v>
      </c>
      <c r="H9" s="4">
        <v>12657920</v>
      </c>
      <c r="I9" s="4">
        <v>10424480</v>
      </c>
      <c r="J9" s="4">
        <v>12510080</v>
      </c>
      <c r="K9" s="4">
        <v>11354640</v>
      </c>
      <c r="L9" s="4">
        <v>10087440</v>
      </c>
      <c r="M9" s="4">
        <v>11993520</v>
      </c>
      <c r="N9" s="4">
        <v>12438800</v>
      </c>
      <c r="O9" s="4">
        <v>11557040</v>
      </c>
      <c r="P9" s="4">
        <v>12111440</v>
      </c>
      <c r="Q9" s="4">
        <v>139815280</v>
      </c>
    </row>
    <row r="10" spans="1:17">
      <c r="A10" t="s">
        <v>255</v>
      </c>
      <c r="B10" t="s">
        <v>259</v>
      </c>
      <c r="C10" t="s">
        <v>17</v>
      </c>
      <c r="D10" t="s">
        <v>166</v>
      </c>
      <c r="E10" s="4">
        <v>15118400</v>
      </c>
      <c r="F10" s="4">
        <v>13103200</v>
      </c>
      <c r="G10" s="4">
        <v>15332240</v>
      </c>
      <c r="H10" s="4">
        <v>14180320</v>
      </c>
      <c r="I10" s="4">
        <v>14782240</v>
      </c>
      <c r="J10" s="4">
        <v>15763440</v>
      </c>
      <c r="K10" s="4">
        <v>14133680</v>
      </c>
      <c r="L10" s="4">
        <v>13785200</v>
      </c>
      <c r="M10" s="4">
        <v>13984080</v>
      </c>
      <c r="N10" s="4">
        <v>13168320</v>
      </c>
      <c r="O10" s="4">
        <v>12546160</v>
      </c>
      <c r="P10" s="4">
        <v>14850880</v>
      </c>
      <c r="Q10" s="4">
        <v>170748160</v>
      </c>
    </row>
    <row r="11" spans="1:17">
      <c r="A11" t="s">
        <v>260</v>
      </c>
      <c r="B11" t="s">
        <v>261</v>
      </c>
      <c r="C11" t="s">
        <v>17</v>
      </c>
      <c r="D11" t="s">
        <v>166</v>
      </c>
      <c r="E11" s="4">
        <v>33179520</v>
      </c>
      <c r="F11" s="4">
        <v>34944800</v>
      </c>
      <c r="G11" s="4">
        <v>33820160</v>
      </c>
      <c r="H11" s="4">
        <v>30060800</v>
      </c>
      <c r="I11" s="4">
        <v>31667680</v>
      </c>
      <c r="J11" s="4">
        <v>36170640</v>
      </c>
      <c r="K11" s="4">
        <v>30404880</v>
      </c>
      <c r="L11" s="4">
        <v>34679040</v>
      </c>
      <c r="M11" s="4">
        <v>33903760</v>
      </c>
      <c r="N11" s="4">
        <v>32447360</v>
      </c>
      <c r="O11" s="4">
        <v>32163120</v>
      </c>
      <c r="P11" s="4">
        <v>36053600</v>
      </c>
      <c r="Q11" s="4">
        <v>399495360</v>
      </c>
    </row>
    <row r="12" spans="1:17">
      <c r="A12" t="s">
        <v>260</v>
      </c>
      <c r="B12" t="s">
        <v>262</v>
      </c>
      <c r="C12" t="s">
        <v>17</v>
      </c>
      <c r="D12" t="s">
        <v>166</v>
      </c>
      <c r="E12" s="4">
        <v>19984800</v>
      </c>
      <c r="F12" s="4">
        <v>19338000</v>
      </c>
      <c r="G12" s="4">
        <v>20655360</v>
      </c>
      <c r="H12" s="4">
        <v>20863040</v>
      </c>
      <c r="I12" s="4">
        <v>20928160</v>
      </c>
      <c r="J12" s="4">
        <v>18363840</v>
      </c>
      <c r="K12" s="4">
        <v>19007120</v>
      </c>
      <c r="L12" s="4">
        <v>21028480</v>
      </c>
      <c r="M12" s="4">
        <v>19459440</v>
      </c>
      <c r="N12" s="4">
        <v>18282000</v>
      </c>
      <c r="O12" s="4">
        <v>17578000</v>
      </c>
      <c r="P12" s="4">
        <v>18245920</v>
      </c>
      <c r="Q12" s="4">
        <v>233734160</v>
      </c>
    </row>
    <row r="13" spans="1:17">
      <c r="A13" t="s">
        <v>263</v>
      </c>
      <c r="B13" t="s">
        <v>264</v>
      </c>
      <c r="C13" t="s">
        <v>17</v>
      </c>
      <c r="D13" t="s">
        <v>166</v>
      </c>
      <c r="E13" s="4">
        <v>24024880</v>
      </c>
      <c r="F13" s="4">
        <v>26416720</v>
      </c>
      <c r="G13" s="4">
        <v>25130160</v>
      </c>
      <c r="H13" s="4">
        <v>23456400</v>
      </c>
      <c r="I13" s="4">
        <v>25384480</v>
      </c>
      <c r="J13" s="4">
        <v>22030800</v>
      </c>
      <c r="K13" s="4">
        <v>25673120</v>
      </c>
      <c r="L13" s="4">
        <v>22512160</v>
      </c>
      <c r="M13" s="4">
        <v>21545040</v>
      </c>
      <c r="N13" s="4">
        <v>21875040</v>
      </c>
      <c r="O13" s="4">
        <v>22271040</v>
      </c>
      <c r="P13" s="4">
        <v>26223120</v>
      </c>
      <c r="Q13" s="4">
        <v>286542960</v>
      </c>
    </row>
    <row r="14" spans="1:17">
      <c r="A14" t="s">
        <v>265</v>
      </c>
      <c r="B14" t="s">
        <v>266</v>
      </c>
      <c r="C14" t="s">
        <v>17</v>
      </c>
      <c r="D14" t="s">
        <v>166</v>
      </c>
      <c r="E14" s="4">
        <v>9180160</v>
      </c>
      <c r="F14" s="4">
        <v>8702320</v>
      </c>
      <c r="G14" s="4">
        <v>10854800</v>
      </c>
      <c r="H14" s="4">
        <v>10560000</v>
      </c>
      <c r="I14" s="4">
        <v>9123840</v>
      </c>
      <c r="J14" s="4">
        <v>10697280</v>
      </c>
      <c r="K14" s="4">
        <v>10885600</v>
      </c>
      <c r="L14" s="4">
        <v>8719040</v>
      </c>
      <c r="M14" s="4">
        <v>9414240</v>
      </c>
      <c r="N14" s="4">
        <v>8930240</v>
      </c>
      <c r="O14" s="4">
        <v>9390480</v>
      </c>
      <c r="P14" s="4">
        <v>10415680</v>
      </c>
      <c r="Q14" s="4">
        <v>116873680</v>
      </c>
    </row>
    <row r="15" spans="1:17">
      <c r="A15" t="s">
        <v>267</v>
      </c>
      <c r="B15" t="s">
        <v>268</v>
      </c>
      <c r="C15" t="s">
        <v>20</v>
      </c>
      <c r="D15" t="s">
        <v>166</v>
      </c>
      <c r="E15" s="4">
        <v>14283280</v>
      </c>
      <c r="F15" s="4">
        <v>13519440</v>
      </c>
      <c r="G15" s="4">
        <v>14121360</v>
      </c>
      <c r="H15" s="4">
        <v>13045120</v>
      </c>
      <c r="I15" s="4">
        <v>13665520</v>
      </c>
      <c r="J15" s="4">
        <v>12416800</v>
      </c>
      <c r="K15" s="4">
        <v>11734800</v>
      </c>
      <c r="L15" s="4">
        <v>14161840</v>
      </c>
      <c r="M15" s="4">
        <v>14134560</v>
      </c>
      <c r="N15" s="4">
        <v>12778480</v>
      </c>
      <c r="O15" s="4">
        <v>13420000</v>
      </c>
      <c r="P15" s="4">
        <v>13135760</v>
      </c>
      <c r="Q15" s="4">
        <v>160416960</v>
      </c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topLeftCell="A23" workbookViewId="0">
      <selection sqref="A1:S1"/>
    </sheetView>
  </sheetViews>
  <sheetFormatPr baseColWidth="10" defaultColWidth="8.83203125" defaultRowHeight="15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53.25" customHeight="1">
      <c r="A1" s="35" t="s">
        <v>269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ht="39" customHeight="1">
      <c r="A2" s="36" t="s">
        <v>153</v>
      </c>
      <c r="B2" s="36"/>
      <c r="C2" s="36"/>
      <c r="D2" s="36"/>
      <c r="E2" s="36"/>
      <c r="F2" s="36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46.25" customHeight="1">
      <c r="A4" s="38" t="s">
        <v>154</v>
      </c>
      <c r="B4" s="38"/>
      <c r="C4" s="38"/>
      <c r="D4" s="38" t="s">
        <v>155</v>
      </c>
      <c r="E4" s="38"/>
      <c r="F4" s="38"/>
      <c r="G4" s="39" t="s">
        <v>156</v>
      </c>
      <c r="H4" s="39"/>
      <c r="I4" s="39"/>
      <c r="J4" s="39" t="s">
        <v>157</v>
      </c>
      <c r="K4" s="39"/>
      <c r="L4" s="39"/>
      <c r="M4" s="39" t="s">
        <v>158</v>
      </c>
      <c r="N4" s="39"/>
      <c r="O4" s="39"/>
      <c r="P4" s="39" t="s">
        <v>159</v>
      </c>
      <c r="Q4" s="39"/>
      <c r="R4" s="39"/>
      <c r="S4" s="39"/>
    </row>
    <row r="5" spans="1:19" ht="49.75" customHeight="1">
      <c r="A5" s="43">
        <f>SUMIF($E$10:$E$54,"Quantité exportée",$S$10:$S$54)</f>
        <v>3094.92</v>
      </c>
      <c r="B5" s="44"/>
      <c r="C5" s="44"/>
      <c r="D5" s="45">
        <f>SUMIF($E$10:$E$54,"Chiffre d'affaires MGA",$S$10:$S$54)</f>
        <v>17737746840</v>
      </c>
      <c r="E5" s="44"/>
      <c r="F5" s="44"/>
      <c r="G5" s="45">
        <f>SUMIFS($S$10:$S$54,$A$10:$A$54,"Japon",$E$10:$E$54,"Chiffre d'affaires MGA")</f>
        <v>5418113635</v>
      </c>
      <c r="H5" s="40"/>
      <c r="I5" s="40"/>
      <c r="J5" s="45">
        <f>SUMIFS($S$10:$S$54,$A$10:$A$54,"Russie",$E$10:$E$54,"Chiffre d'affaires MGA")</f>
        <v>6201787445</v>
      </c>
      <c r="K5" s="40"/>
      <c r="L5" s="40"/>
      <c r="M5" s="45">
        <f>SUMIFS($S$10:$S$54,$A$10:$A$54,"Chine",$E$10:$E$54,"Chiffre d'affaires MGA")</f>
        <v>6117845760</v>
      </c>
      <c r="N5" s="40"/>
      <c r="O5" s="40"/>
      <c r="P5" s="40" t="s">
        <v>160</v>
      </c>
      <c r="Q5" s="40"/>
      <c r="R5" s="40"/>
      <c r="S5" s="40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9" customHeight="1">
      <c r="A7" s="41" t="s">
        <v>161</v>
      </c>
      <c r="B7" s="41"/>
      <c r="C7" s="41"/>
      <c r="D7" s="41"/>
      <c r="E7" s="41"/>
      <c r="F7" s="4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60.25" customHeight="1">
      <c r="A9" s="7" t="s">
        <v>23</v>
      </c>
      <c r="B9" s="7" t="s">
        <v>24</v>
      </c>
      <c r="C9" s="7" t="s">
        <v>132</v>
      </c>
      <c r="D9" s="7" t="s">
        <v>25</v>
      </c>
      <c r="E9" s="7" t="s">
        <v>162</v>
      </c>
      <c r="F9" s="7" t="s">
        <v>133</v>
      </c>
      <c r="G9" s="23" t="s">
        <v>134</v>
      </c>
      <c r="H9" s="23" t="s">
        <v>135</v>
      </c>
      <c r="I9" s="23" t="s">
        <v>136</v>
      </c>
      <c r="J9" s="23" t="s">
        <v>137</v>
      </c>
      <c r="K9" s="23" t="s">
        <v>138</v>
      </c>
      <c r="L9" s="23" t="s">
        <v>139</v>
      </c>
      <c r="M9" s="23" t="s">
        <v>140</v>
      </c>
      <c r="N9" s="23" t="s">
        <v>141</v>
      </c>
      <c r="O9" s="23" t="s">
        <v>142</v>
      </c>
      <c r="P9" s="23" t="s">
        <v>143</v>
      </c>
      <c r="Q9" s="23" t="s">
        <v>144</v>
      </c>
      <c r="R9" s="23" t="s">
        <v>145</v>
      </c>
      <c r="S9" s="23" t="s">
        <v>146</v>
      </c>
    </row>
    <row r="10" spans="1:19">
      <c r="A10" s="8" t="s">
        <v>27</v>
      </c>
      <c r="B10" s="8" t="s">
        <v>28</v>
      </c>
      <c r="C10" s="9" t="s">
        <v>147</v>
      </c>
      <c r="D10" s="9" t="s">
        <v>29</v>
      </c>
      <c r="E10" s="9" t="s">
        <v>163</v>
      </c>
      <c r="F10" s="9" t="s">
        <v>148</v>
      </c>
      <c r="G10" s="24">
        <v>26.98</v>
      </c>
      <c r="H10" s="24">
        <v>20.36</v>
      </c>
      <c r="I10" s="24">
        <v>16.55</v>
      </c>
      <c r="J10" s="24">
        <v>18.41</v>
      </c>
      <c r="K10" s="24">
        <v>16.68</v>
      </c>
      <c r="L10" s="24">
        <v>25.44</v>
      </c>
      <c r="M10" s="24">
        <v>21.5</v>
      </c>
      <c r="N10" s="24">
        <v>25.5</v>
      </c>
      <c r="O10" s="24">
        <v>16.899999999999999</v>
      </c>
      <c r="P10" s="24">
        <v>15.88</v>
      </c>
      <c r="Q10" s="24">
        <v>16.829999999999998</v>
      </c>
      <c r="R10" s="24">
        <v>25.95</v>
      </c>
      <c r="S10" s="24">
        <v>246.98</v>
      </c>
    </row>
    <row r="11" spans="1:19">
      <c r="A11" s="10" t="s">
        <v>27</v>
      </c>
      <c r="B11" s="10" t="s">
        <v>28</v>
      </c>
      <c r="C11" s="11" t="s">
        <v>147</v>
      </c>
      <c r="D11" s="11" t="s">
        <v>29</v>
      </c>
      <c r="E11" s="11" t="s">
        <v>164</v>
      </c>
      <c r="F11" s="11" t="s">
        <v>29</v>
      </c>
      <c r="G11" s="25">
        <v>4991300</v>
      </c>
      <c r="H11" s="25">
        <v>3766600</v>
      </c>
      <c r="I11" s="25">
        <v>3061750</v>
      </c>
      <c r="J11" s="25">
        <v>3405850</v>
      </c>
      <c r="K11" s="25">
        <v>3085800</v>
      </c>
      <c r="L11" s="25">
        <v>4706400</v>
      </c>
      <c r="M11" s="25">
        <v>3977500</v>
      </c>
      <c r="N11" s="25">
        <v>4717500</v>
      </c>
      <c r="O11" s="25">
        <v>3126500</v>
      </c>
      <c r="P11" s="25">
        <v>2937800</v>
      </c>
      <c r="Q11" s="25">
        <v>3113550</v>
      </c>
      <c r="R11" s="25">
        <v>4800750</v>
      </c>
      <c r="S11" s="25">
        <v>45691300</v>
      </c>
    </row>
    <row r="12" spans="1:19">
      <c r="A12" s="12" t="s">
        <v>27</v>
      </c>
      <c r="B12" s="12" t="s">
        <v>28</v>
      </c>
      <c r="C12" s="12" t="s">
        <v>147</v>
      </c>
      <c r="D12" s="12" t="s">
        <v>29</v>
      </c>
      <c r="E12" s="12" t="s">
        <v>165</v>
      </c>
      <c r="F12" s="12" t="s">
        <v>166</v>
      </c>
      <c r="G12" s="26">
        <v>152234650</v>
      </c>
      <c r="H12" s="26">
        <v>114881300</v>
      </c>
      <c r="I12" s="26">
        <v>93383375</v>
      </c>
      <c r="J12" s="26">
        <v>103878425</v>
      </c>
      <c r="K12" s="26">
        <v>94116900</v>
      </c>
      <c r="L12" s="26">
        <v>143545200</v>
      </c>
      <c r="M12" s="26">
        <v>121313750</v>
      </c>
      <c r="N12" s="26">
        <v>143883750</v>
      </c>
      <c r="O12" s="26">
        <v>95358250</v>
      </c>
      <c r="P12" s="26">
        <v>89602900</v>
      </c>
      <c r="Q12" s="26">
        <v>94963275</v>
      </c>
      <c r="R12" s="26">
        <v>146422875</v>
      </c>
      <c r="S12" s="26">
        <v>1393584650</v>
      </c>
    </row>
    <row r="13" spans="1:19">
      <c r="A13" s="10" t="s">
        <v>27</v>
      </c>
      <c r="B13" s="10" t="s">
        <v>28</v>
      </c>
      <c r="C13" s="11" t="s">
        <v>149</v>
      </c>
      <c r="D13" s="11" t="s">
        <v>29</v>
      </c>
      <c r="E13" s="11" t="s">
        <v>163</v>
      </c>
      <c r="F13" s="11" t="s">
        <v>148</v>
      </c>
      <c r="G13" s="25">
        <v>18.23</v>
      </c>
      <c r="H13" s="25">
        <v>14.24</v>
      </c>
      <c r="I13" s="25">
        <v>18.920000000000002</v>
      </c>
      <c r="J13" s="25">
        <v>14.44</v>
      </c>
      <c r="K13" s="25">
        <v>20.13</v>
      </c>
      <c r="L13" s="25">
        <v>21.29</v>
      </c>
      <c r="M13" s="25">
        <v>17.77</v>
      </c>
      <c r="N13" s="25">
        <v>19.57</v>
      </c>
      <c r="O13" s="25">
        <v>16.22</v>
      </c>
      <c r="P13" s="25">
        <v>17.27</v>
      </c>
      <c r="Q13" s="25">
        <v>15.9</v>
      </c>
      <c r="R13" s="25">
        <v>14.77</v>
      </c>
      <c r="S13" s="25">
        <v>208.75</v>
      </c>
    </row>
    <row r="14" spans="1:19">
      <c r="A14" s="10" t="s">
        <v>27</v>
      </c>
      <c r="B14" s="10" t="s">
        <v>28</v>
      </c>
      <c r="C14" s="11" t="s">
        <v>149</v>
      </c>
      <c r="D14" s="11" t="s">
        <v>29</v>
      </c>
      <c r="E14" s="11" t="s">
        <v>164</v>
      </c>
      <c r="F14" s="11" t="s">
        <v>29</v>
      </c>
      <c r="G14" s="25">
        <v>3117330</v>
      </c>
      <c r="H14" s="25">
        <v>2435040</v>
      </c>
      <c r="I14" s="25">
        <v>3235320</v>
      </c>
      <c r="J14" s="25">
        <v>2469240</v>
      </c>
      <c r="K14" s="25">
        <v>3442230</v>
      </c>
      <c r="L14" s="25">
        <v>3640590</v>
      </c>
      <c r="M14" s="25">
        <v>3038670</v>
      </c>
      <c r="N14" s="25">
        <v>3346470</v>
      </c>
      <c r="O14" s="25">
        <v>2773620</v>
      </c>
      <c r="P14" s="25">
        <v>2953170</v>
      </c>
      <c r="Q14" s="25">
        <v>2718900</v>
      </c>
      <c r="R14" s="25">
        <v>2525670</v>
      </c>
      <c r="S14" s="25">
        <v>35696250</v>
      </c>
    </row>
    <row r="15" spans="1:19">
      <c r="A15" s="12" t="s">
        <v>27</v>
      </c>
      <c r="B15" s="12" t="s">
        <v>28</v>
      </c>
      <c r="C15" s="12" t="s">
        <v>149</v>
      </c>
      <c r="D15" s="12" t="s">
        <v>29</v>
      </c>
      <c r="E15" s="12" t="s">
        <v>165</v>
      </c>
      <c r="F15" s="12" t="s">
        <v>166</v>
      </c>
      <c r="G15" s="26">
        <v>95078565</v>
      </c>
      <c r="H15" s="26">
        <v>74268720</v>
      </c>
      <c r="I15" s="26">
        <v>98677260</v>
      </c>
      <c r="J15" s="26">
        <v>75311820</v>
      </c>
      <c r="K15" s="26">
        <v>104988015</v>
      </c>
      <c r="L15" s="26">
        <v>111037995</v>
      </c>
      <c r="M15" s="26">
        <v>92679435</v>
      </c>
      <c r="N15" s="26">
        <v>102067335</v>
      </c>
      <c r="O15" s="26">
        <v>84595410</v>
      </c>
      <c r="P15" s="26">
        <v>90071685</v>
      </c>
      <c r="Q15" s="26">
        <v>82926450</v>
      </c>
      <c r="R15" s="26">
        <v>77032935</v>
      </c>
      <c r="S15" s="26">
        <v>1088735625</v>
      </c>
    </row>
    <row r="16" spans="1:19">
      <c r="A16" s="10" t="s">
        <v>27</v>
      </c>
      <c r="B16" s="10" t="s">
        <v>28</v>
      </c>
      <c r="C16" s="11" t="s">
        <v>150</v>
      </c>
      <c r="D16" s="11" t="s">
        <v>29</v>
      </c>
      <c r="E16" s="11" t="s">
        <v>163</v>
      </c>
      <c r="F16" s="11" t="s">
        <v>148</v>
      </c>
      <c r="G16" s="25">
        <v>17.690000000000001</v>
      </c>
      <c r="H16" s="25">
        <v>18.260000000000002</v>
      </c>
      <c r="I16" s="25">
        <v>16.809999999999999</v>
      </c>
      <c r="J16" s="25">
        <v>12.01</v>
      </c>
      <c r="K16" s="25">
        <v>13.83</v>
      </c>
      <c r="L16" s="25">
        <v>12.45</v>
      </c>
      <c r="M16" s="25">
        <v>14.83</v>
      </c>
      <c r="N16" s="25">
        <v>16.64</v>
      </c>
      <c r="O16" s="25">
        <v>19.18</v>
      </c>
      <c r="P16" s="25">
        <v>11.88</v>
      </c>
      <c r="Q16" s="25">
        <v>14.27</v>
      </c>
      <c r="R16" s="25">
        <v>18.46</v>
      </c>
      <c r="S16" s="25">
        <v>186.31</v>
      </c>
    </row>
    <row r="17" spans="1:19">
      <c r="A17" s="10" t="s">
        <v>27</v>
      </c>
      <c r="B17" s="10" t="s">
        <v>28</v>
      </c>
      <c r="C17" s="11" t="s">
        <v>150</v>
      </c>
      <c r="D17" s="11" t="s">
        <v>29</v>
      </c>
      <c r="E17" s="11" t="s">
        <v>164</v>
      </c>
      <c r="F17" s="11" t="s">
        <v>29</v>
      </c>
      <c r="G17" s="25">
        <v>2918850</v>
      </c>
      <c r="H17" s="25">
        <v>3012900</v>
      </c>
      <c r="I17" s="25">
        <v>2773650</v>
      </c>
      <c r="J17" s="25">
        <v>1981650</v>
      </c>
      <c r="K17" s="25">
        <v>2281950</v>
      </c>
      <c r="L17" s="25">
        <v>2054250</v>
      </c>
      <c r="M17" s="25">
        <v>2446950</v>
      </c>
      <c r="N17" s="25">
        <v>2745600</v>
      </c>
      <c r="O17" s="25">
        <v>3164700</v>
      </c>
      <c r="P17" s="25">
        <v>1960200</v>
      </c>
      <c r="Q17" s="25">
        <v>2354550</v>
      </c>
      <c r="R17" s="25">
        <v>3045900</v>
      </c>
      <c r="S17" s="25">
        <v>30741150</v>
      </c>
    </row>
    <row r="18" spans="1:19">
      <c r="A18" s="12" t="s">
        <v>27</v>
      </c>
      <c r="B18" s="12" t="s">
        <v>28</v>
      </c>
      <c r="C18" s="12" t="s">
        <v>150</v>
      </c>
      <c r="D18" s="12" t="s">
        <v>29</v>
      </c>
      <c r="E18" s="12" t="s">
        <v>165</v>
      </c>
      <c r="F18" s="12" t="s">
        <v>166</v>
      </c>
      <c r="G18" s="26">
        <v>89024925</v>
      </c>
      <c r="H18" s="26">
        <v>91893450</v>
      </c>
      <c r="I18" s="26">
        <v>84596325</v>
      </c>
      <c r="J18" s="26">
        <v>60440325</v>
      </c>
      <c r="K18" s="26">
        <v>69599475</v>
      </c>
      <c r="L18" s="26">
        <v>62654625</v>
      </c>
      <c r="M18" s="26">
        <v>74631975</v>
      </c>
      <c r="N18" s="26">
        <v>83740800</v>
      </c>
      <c r="O18" s="26">
        <v>96523350</v>
      </c>
      <c r="P18" s="26">
        <v>59786100</v>
      </c>
      <c r="Q18" s="26">
        <v>71813775</v>
      </c>
      <c r="R18" s="26">
        <v>92899950</v>
      </c>
      <c r="S18" s="26">
        <v>937605075</v>
      </c>
    </row>
    <row r="19" spans="1:19">
      <c r="A19" s="10" t="s">
        <v>27</v>
      </c>
      <c r="B19" s="10" t="s">
        <v>28</v>
      </c>
      <c r="C19" s="11" t="s">
        <v>151</v>
      </c>
      <c r="D19" s="11" t="s">
        <v>29</v>
      </c>
      <c r="E19" s="11" t="s">
        <v>163</v>
      </c>
      <c r="F19" s="11" t="s">
        <v>148</v>
      </c>
      <c r="G19" s="25">
        <v>17.079999999999998</v>
      </c>
      <c r="H19" s="25">
        <v>19.28</v>
      </c>
      <c r="I19" s="25">
        <v>23.69</v>
      </c>
      <c r="J19" s="25">
        <v>16.170000000000002</v>
      </c>
      <c r="K19" s="25">
        <v>18.62</v>
      </c>
      <c r="L19" s="25">
        <v>24.79</v>
      </c>
      <c r="M19" s="25">
        <v>21.53</v>
      </c>
      <c r="N19" s="25">
        <v>22.55</v>
      </c>
      <c r="O19" s="25">
        <v>20.48</v>
      </c>
      <c r="P19" s="25">
        <v>21.28</v>
      </c>
      <c r="Q19" s="25">
        <v>18.05</v>
      </c>
      <c r="R19" s="25">
        <v>21.47</v>
      </c>
      <c r="S19" s="25">
        <v>244.99</v>
      </c>
    </row>
    <row r="20" spans="1:19">
      <c r="A20" s="10" t="s">
        <v>27</v>
      </c>
      <c r="B20" s="10" t="s">
        <v>28</v>
      </c>
      <c r="C20" s="11" t="s">
        <v>151</v>
      </c>
      <c r="D20" s="11" t="s">
        <v>29</v>
      </c>
      <c r="E20" s="11" t="s">
        <v>164</v>
      </c>
      <c r="F20" s="11" t="s">
        <v>29</v>
      </c>
      <c r="G20" s="25">
        <v>3040240</v>
      </c>
      <c r="H20" s="25">
        <v>3431840</v>
      </c>
      <c r="I20" s="25">
        <v>4216820</v>
      </c>
      <c r="J20" s="25">
        <v>2878260</v>
      </c>
      <c r="K20" s="25">
        <v>3314360</v>
      </c>
      <c r="L20" s="25">
        <v>4412620</v>
      </c>
      <c r="M20" s="25">
        <v>3832340</v>
      </c>
      <c r="N20" s="25">
        <v>4013900</v>
      </c>
      <c r="O20" s="25">
        <v>3645440</v>
      </c>
      <c r="P20" s="25">
        <v>3787840</v>
      </c>
      <c r="Q20" s="25">
        <v>3212900</v>
      </c>
      <c r="R20" s="25">
        <v>3821660</v>
      </c>
      <c r="S20" s="25">
        <v>43608220</v>
      </c>
    </row>
    <row r="21" spans="1:19">
      <c r="A21" s="12" t="s">
        <v>27</v>
      </c>
      <c r="B21" s="12" t="s">
        <v>28</v>
      </c>
      <c r="C21" s="12" t="s">
        <v>151</v>
      </c>
      <c r="D21" s="12" t="s">
        <v>29</v>
      </c>
      <c r="E21" s="12" t="s">
        <v>165</v>
      </c>
      <c r="F21" s="12" t="s">
        <v>166</v>
      </c>
      <c r="G21" s="26">
        <v>92727320</v>
      </c>
      <c r="H21" s="26">
        <v>104671120</v>
      </c>
      <c r="I21" s="26">
        <v>128613010</v>
      </c>
      <c r="J21" s="26">
        <v>87786930</v>
      </c>
      <c r="K21" s="26">
        <v>101087980</v>
      </c>
      <c r="L21" s="26">
        <v>134584910</v>
      </c>
      <c r="M21" s="26">
        <v>116886370</v>
      </c>
      <c r="N21" s="26">
        <v>122423950</v>
      </c>
      <c r="O21" s="26">
        <v>111185920</v>
      </c>
      <c r="P21" s="26">
        <v>115529120</v>
      </c>
      <c r="Q21" s="26">
        <v>97993450</v>
      </c>
      <c r="R21" s="26">
        <v>116560630</v>
      </c>
      <c r="S21" s="26">
        <v>1330050710</v>
      </c>
    </row>
    <row r="22" spans="1:19">
      <c r="A22" s="10" t="s">
        <v>27</v>
      </c>
      <c r="B22" s="10" t="s">
        <v>28</v>
      </c>
      <c r="C22" s="11" t="s">
        <v>152</v>
      </c>
      <c r="D22" s="11" t="s">
        <v>29</v>
      </c>
      <c r="E22" s="11" t="s">
        <v>163</v>
      </c>
      <c r="F22" s="11" t="s">
        <v>148</v>
      </c>
      <c r="G22" s="25">
        <v>11.07</v>
      </c>
      <c r="H22" s="25">
        <v>10.97</v>
      </c>
      <c r="I22" s="25">
        <v>9.4600000000000009</v>
      </c>
      <c r="J22" s="25">
        <v>9.93</v>
      </c>
      <c r="K22" s="25">
        <v>12.15</v>
      </c>
      <c r="L22" s="25">
        <v>14.06</v>
      </c>
      <c r="M22" s="25">
        <v>9.35</v>
      </c>
      <c r="N22" s="25">
        <v>12.71</v>
      </c>
      <c r="O22" s="25">
        <v>11.77</v>
      </c>
      <c r="P22" s="25">
        <v>13.79</v>
      </c>
      <c r="Q22" s="25">
        <v>12.49</v>
      </c>
      <c r="R22" s="25">
        <v>13.58</v>
      </c>
      <c r="S22" s="25">
        <v>141.33000000000001</v>
      </c>
    </row>
    <row r="23" spans="1:19">
      <c r="A23" s="10" t="s">
        <v>27</v>
      </c>
      <c r="B23" s="10" t="s">
        <v>28</v>
      </c>
      <c r="C23" s="11" t="s">
        <v>152</v>
      </c>
      <c r="D23" s="11" t="s">
        <v>29</v>
      </c>
      <c r="E23" s="11" t="s">
        <v>164</v>
      </c>
      <c r="F23" s="11" t="s">
        <v>29</v>
      </c>
      <c r="G23" s="25">
        <v>1715850</v>
      </c>
      <c r="H23" s="25">
        <v>1700350</v>
      </c>
      <c r="I23" s="25">
        <v>1466300</v>
      </c>
      <c r="J23" s="25">
        <v>1539150</v>
      </c>
      <c r="K23" s="25">
        <v>1883250</v>
      </c>
      <c r="L23" s="25">
        <v>2179300</v>
      </c>
      <c r="M23" s="25">
        <v>1449250</v>
      </c>
      <c r="N23" s="25">
        <v>1970050</v>
      </c>
      <c r="O23" s="25">
        <v>1824350</v>
      </c>
      <c r="P23" s="25">
        <v>2137450</v>
      </c>
      <c r="Q23" s="25">
        <v>1935950</v>
      </c>
      <c r="R23" s="25">
        <v>2104900</v>
      </c>
      <c r="S23" s="25">
        <v>21906150</v>
      </c>
    </row>
    <row r="24" spans="1:19">
      <c r="A24" s="12" t="s">
        <v>27</v>
      </c>
      <c r="B24" s="12" t="s">
        <v>28</v>
      </c>
      <c r="C24" s="12" t="s">
        <v>152</v>
      </c>
      <c r="D24" s="12" t="s">
        <v>29</v>
      </c>
      <c r="E24" s="12" t="s">
        <v>165</v>
      </c>
      <c r="F24" s="12" t="s">
        <v>166</v>
      </c>
      <c r="G24" s="26">
        <v>52333425</v>
      </c>
      <c r="H24" s="26">
        <v>51860675</v>
      </c>
      <c r="I24" s="26">
        <v>44722150</v>
      </c>
      <c r="J24" s="26">
        <v>46944075</v>
      </c>
      <c r="K24" s="26">
        <v>57439125</v>
      </c>
      <c r="L24" s="26">
        <v>66468650</v>
      </c>
      <c r="M24" s="26">
        <v>44202125</v>
      </c>
      <c r="N24" s="26">
        <v>60086525</v>
      </c>
      <c r="O24" s="26">
        <v>55642675</v>
      </c>
      <c r="P24" s="26">
        <v>65192225</v>
      </c>
      <c r="Q24" s="26">
        <v>59046475</v>
      </c>
      <c r="R24" s="26">
        <v>64199450</v>
      </c>
      <c r="S24" s="26">
        <v>668137575</v>
      </c>
    </row>
    <row r="25" spans="1:19">
      <c r="A25" s="13" t="s">
        <v>30</v>
      </c>
      <c r="B25" s="13" t="s">
        <v>31</v>
      </c>
      <c r="C25" s="14" t="s">
        <v>147</v>
      </c>
      <c r="D25" s="14" t="s">
        <v>32</v>
      </c>
      <c r="E25" s="14" t="s">
        <v>163</v>
      </c>
      <c r="F25" s="14" t="s">
        <v>148</v>
      </c>
      <c r="G25" s="27">
        <v>27.77</v>
      </c>
      <c r="H25" s="27">
        <v>21.84</v>
      </c>
      <c r="I25" s="27">
        <v>27.29</v>
      </c>
      <c r="J25" s="27">
        <v>19.78</v>
      </c>
      <c r="K25" s="27">
        <v>23.42</v>
      </c>
      <c r="L25" s="27">
        <v>18.77</v>
      </c>
      <c r="M25" s="27">
        <v>17.97</v>
      </c>
      <c r="N25" s="27">
        <v>18.579999999999998</v>
      </c>
      <c r="O25" s="27">
        <v>25.58</v>
      </c>
      <c r="P25" s="27">
        <v>27.23</v>
      </c>
      <c r="Q25" s="27">
        <v>16.170000000000002</v>
      </c>
      <c r="R25" s="27">
        <v>21.51</v>
      </c>
      <c r="S25" s="27">
        <v>265.91000000000003</v>
      </c>
    </row>
    <row r="26" spans="1:19">
      <c r="A26" s="15" t="s">
        <v>30</v>
      </c>
      <c r="B26" s="15" t="s">
        <v>31</v>
      </c>
      <c r="C26" s="16" t="s">
        <v>147</v>
      </c>
      <c r="D26" s="16" t="s">
        <v>32</v>
      </c>
      <c r="E26" s="16" t="s">
        <v>164</v>
      </c>
      <c r="F26" s="16" t="s">
        <v>32</v>
      </c>
      <c r="G26" s="28">
        <v>40266.5</v>
      </c>
      <c r="H26" s="28">
        <v>31668</v>
      </c>
      <c r="I26" s="28">
        <v>39570.5</v>
      </c>
      <c r="J26" s="28">
        <v>28681</v>
      </c>
      <c r="K26" s="28">
        <v>33959</v>
      </c>
      <c r="L26" s="28">
        <v>27216.5</v>
      </c>
      <c r="M26" s="28">
        <v>26056.5</v>
      </c>
      <c r="N26" s="28">
        <v>26941</v>
      </c>
      <c r="O26" s="28">
        <v>37091</v>
      </c>
      <c r="P26" s="28">
        <v>39483.5</v>
      </c>
      <c r="Q26" s="28">
        <v>23446.5</v>
      </c>
      <c r="R26" s="28">
        <v>31189.5</v>
      </c>
      <c r="S26" s="28">
        <v>385569.5</v>
      </c>
    </row>
    <row r="27" spans="1:19">
      <c r="A27" s="17" t="s">
        <v>30</v>
      </c>
      <c r="B27" s="17" t="s">
        <v>31</v>
      </c>
      <c r="C27" s="17" t="s">
        <v>147</v>
      </c>
      <c r="D27" s="17" t="s">
        <v>32</v>
      </c>
      <c r="E27" s="17" t="s">
        <v>165</v>
      </c>
      <c r="F27" s="17" t="s">
        <v>166</v>
      </c>
      <c r="G27" s="29">
        <v>179185925</v>
      </c>
      <c r="H27" s="29">
        <v>140922600</v>
      </c>
      <c r="I27" s="29">
        <v>176088725</v>
      </c>
      <c r="J27" s="29">
        <v>127630450</v>
      </c>
      <c r="K27" s="29">
        <v>151117550</v>
      </c>
      <c r="L27" s="29">
        <v>121113425</v>
      </c>
      <c r="M27" s="29">
        <v>115951425</v>
      </c>
      <c r="N27" s="29">
        <v>119887450</v>
      </c>
      <c r="O27" s="29">
        <v>165054950</v>
      </c>
      <c r="P27" s="29">
        <v>175701575</v>
      </c>
      <c r="Q27" s="29">
        <v>104336925</v>
      </c>
      <c r="R27" s="29">
        <v>138793275</v>
      </c>
      <c r="S27" s="29">
        <v>1715784275</v>
      </c>
    </row>
    <row r="28" spans="1:19">
      <c r="A28" s="15" t="s">
        <v>30</v>
      </c>
      <c r="B28" s="15" t="s">
        <v>31</v>
      </c>
      <c r="C28" s="16" t="s">
        <v>149</v>
      </c>
      <c r="D28" s="16" t="s">
        <v>32</v>
      </c>
      <c r="E28" s="16" t="s">
        <v>163</v>
      </c>
      <c r="F28" s="16" t="s">
        <v>148</v>
      </c>
      <c r="G28" s="28">
        <v>17.13</v>
      </c>
      <c r="H28" s="28">
        <v>12.66</v>
      </c>
      <c r="I28" s="28">
        <v>19.32</v>
      </c>
      <c r="J28" s="28">
        <v>13.79</v>
      </c>
      <c r="K28" s="28">
        <v>20.93</v>
      </c>
      <c r="L28" s="28">
        <v>17.73</v>
      </c>
      <c r="M28" s="28">
        <v>14.43</v>
      </c>
      <c r="N28" s="28">
        <v>17.649999999999999</v>
      </c>
      <c r="O28" s="28">
        <v>18.739999999999998</v>
      </c>
      <c r="P28" s="28">
        <v>16.399999999999999</v>
      </c>
      <c r="Q28" s="28">
        <v>18.21</v>
      </c>
      <c r="R28" s="28">
        <v>19.73</v>
      </c>
      <c r="S28" s="28">
        <v>206.72</v>
      </c>
    </row>
    <row r="29" spans="1:19">
      <c r="A29" s="15" t="s">
        <v>30</v>
      </c>
      <c r="B29" s="15" t="s">
        <v>31</v>
      </c>
      <c r="C29" s="16" t="s">
        <v>149</v>
      </c>
      <c r="D29" s="16" t="s">
        <v>32</v>
      </c>
      <c r="E29" s="16" t="s">
        <v>164</v>
      </c>
      <c r="F29" s="16" t="s">
        <v>32</v>
      </c>
      <c r="G29" s="28">
        <v>22611.599999999999</v>
      </c>
      <c r="H29" s="28">
        <v>16711.2</v>
      </c>
      <c r="I29" s="28">
        <v>25502.400000000001</v>
      </c>
      <c r="J29" s="28">
        <v>18202.8</v>
      </c>
      <c r="K29" s="28">
        <v>27627.599999999999</v>
      </c>
      <c r="L29" s="28">
        <v>23403.599999999999</v>
      </c>
      <c r="M29" s="28">
        <v>19047.599999999999</v>
      </c>
      <c r="N29" s="28">
        <v>23298</v>
      </c>
      <c r="O29" s="28">
        <v>24736.799999999999</v>
      </c>
      <c r="P29" s="28">
        <v>21648</v>
      </c>
      <c r="Q29" s="28">
        <v>24037.200000000001</v>
      </c>
      <c r="R29" s="28">
        <v>26043.599999999999</v>
      </c>
      <c r="S29" s="28">
        <v>272870.40000000002</v>
      </c>
    </row>
    <row r="30" spans="1:19">
      <c r="A30" s="17" t="s">
        <v>30</v>
      </c>
      <c r="B30" s="17" t="s">
        <v>31</v>
      </c>
      <c r="C30" s="17" t="s">
        <v>149</v>
      </c>
      <c r="D30" s="17" t="s">
        <v>32</v>
      </c>
      <c r="E30" s="17" t="s">
        <v>165</v>
      </c>
      <c r="F30" s="17" t="s">
        <v>166</v>
      </c>
      <c r="G30" s="29">
        <v>100621620</v>
      </c>
      <c r="H30" s="29">
        <v>74364840</v>
      </c>
      <c r="I30" s="29">
        <v>113485680</v>
      </c>
      <c r="J30" s="29">
        <v>81002460</v>
      </c>
      <c r="K30" s="29">
        <v>122942820</v>
      </c>
      <c r="L30" s="29">
        <v>104146020</v>
      </c>
      <c r="M30" s="29">
        <v>84761820</v>
      </c>
      <c r="N30" s="29">
        <v>103676100</v>
      </c>
      <c r="O30" s="29">
        <v>110078760</v>
      </c>
      <c r="P30" s="29">
        <v>96333600</v>
      </c>
      <c r="Q30" s="29">
        <v>106965540</v>
      </c>
      <c r="R30" s="29">
        <v>115894020</v>
      </c>
      <c r="S30" s="29">
        <v>1214273280</v>
      </c>
    </row>
    <row r="31" spans="1:19">
      <c r="A31" s="15" t="s">
        <v>30</v>
      </c>
      <c r="B31" s="15" t="s">
        <v>31</v>
      </c>
      <c r="C31" s="16" t="s">
        <v>150</v>
      </c>
      <c r="D31" s="16" t="s">
        <v>32</v>
      </c>
      <c r="E31" s="16" t="s">
        <v>163</v>
      </c>
      <c r="F31" s="16" t="s">
        <v>148</v>
      </c>
      <c r="G31" s="28">
        <v>14.67</v>
      </c>
      <c r="H31" s="28">
        <v>15.16</v>
      </c>
      <c r="I31" s="28">
        <v>16.670000000000002</v>
      </c>
      <c r="J31" s="28">
        <v>14.66</v>
      </c>
      <c r="K31" s="28">
        <v>15.19</v>
      </c>
      <c r="L31" s="28">
        <v>13.32</v>
      </c>
      <c r="M31" s="28">
        <v>18.690000000000001</v>
      </c>
      <c r="N31" s="28">
        <v>18.89</v>
      </c>
      <c r="O31" s="28">
        <v>12.49</v>
      </c>
      <c r="P31" s="28">
        <v>14.8</v>
      </c>
      <c r="Q31" s="28">
        <v>12.51</v>
      </c>
      <c r="R31" s="28">
        <v>13.17</v>
      </c>
      <c r="S31" s="28">
        <v>180.22</v>
      </c>
    </row>
    <row r="32" spans="1:19">
      <c r="A32" s="15" t="s">
        <v>30</v>
      </c>
      <c r="B32" s="15" t="s">
        <v>31</v>
      </c>
      <c r="C32" s="16" t="s">
        <v>150</v>
      </c>
      <c r="D32" s="16" t="s">
        <v>32</v>
      </c>
      <c r="E32" s="16" t="s">
        <v>164</v>
      </c>
      <c r="F32" s="16" t="s">
        <v>32</v>
      </c>
      <c r="G32" s="28">
        <v>18630.900000000001</v>
      </c>
      <c r="H32" s="28">
        <v>19253.2</v>
      </c>
      <c r="I32" s="28">
        <v>21170.9</v>
      </c>
      <c r="J32" s="28">
        <v>18618.2</v>
      </c>
      <c r="K32" s="28">
        <v>19291.3</v>
      </c>
      <c r="L32" s="28">
        <v>16916.400000000001</v>
      </c>
      <c r="M32" s="28">
        <v>23736.3</v>
      </c>
      <c r="N32" s="28">
        <v>23990.3</v>
      </c>
      <c r="O32" s="28">
        <v>15862.3</v>
      </c>
      <c r="P32" s="28">
        <v>18796</v>
      </c>
      <c r="Q32" s="28">
        <v>15887.7</v>
      </c>
      <c r="R32" s="28">
        <v>16725.900000000001</v>
      </c>
      <c r="S32" s="28">
        <v>228879.4</v>
      </c>
    </row>
    <row r="33" spans="1:19">
      <c r="A33" s="17" t="s">
        <v>30</v>
      </c>
      <c r="B33" s="17" t="s">
        <v>31</v>
      </c>
      <c r="C33" s="17" t="s">
        <v>150</v>
      </c>
      <c r="D33" s="17" t="s">
        <v>32</v>
      </c>
      <c r="E33" s="17" t="s">
        <v>165</v>
      </c>
      <c r="F33" s="17" t="s">
        <v>166</v>
      </c>
      <c r="G33" s="29">
        <v>82907505</v>
      </c>
      <c r="H33" s="29">
        <v>85676740</v>
      </c>
      <c r="I33" s="29">
        <v>94210505</v>
      </c>
      <c r="J33" s="29">
        <v>82850990</v>
      </c>
      <c r="K33" s="29">
        <v>85846285</v>
      </c>
      <c r="L33" s="29">
        <v>75277980</v>
      </c>
      <c r="M33" s="29">
        <v>105626535</v>
      </c>
      <c r="N33" s="29">
        <v>106756835</v>
      </c>
      <c r="O33" s="29">
        <v>70587235</v>
      </c>
      <c r="P33" s="29">
        <v>83642200</v>
      </c>
      <c r="Q33" s="29">
        <v>70700265</v>
      </c>
      <c r="R33" s="29">
        <v>74430255</v>
      </c>
      <c r="S33" s="29">
        <v>1018513330</v>
      </c>
    </row>
    <row r="34" spans="1:19">
      <c r="A34" s="15" t="s">
        <v>30</v>
      </c>
      <c r="B34" s="15" t="s">
        <v>31</v>
      </c>
      <c r="C34" s="16" t="s">
        <v>151</v>
      </c>
      <c r="D34" s="16" t="s">
        <v>32</v>
      </c>
      <c r="E34" s="16" t="s">
        <v>163</v>
      </c>
      <c r="F34" s="16" t="s">
        <v>148</v>
      </c>
      <c r="G34" s="28">
        <v>19.18</v>
      </c>
      <c r="H34" s="28">
        <v>25.19</v>
      </c>
      <c r="I34" s="28">
        <v>16.03</v>
      </c>
      <c r="J34" s="28">
        <v>21.7</v>
      </c>
      <c r="K34" s="28">
        <v>19.09</v>
      </c>
      <c r="L34" s="28">
        <v>17.420000000000002</v>
      </c>
      <c r="M34" s="28">
        <v>22.46</v>
      </c>
      <c r="N34" s="28">
        <v>23.18</v>
      </c>
      <c r="O34" s="28">
        <v>16.12</v>
      </c>
      <c r="P34" s="28">
        <v>15.33</v>
      </c>
      <c r="Q34" s="28">
        <v>25.26</v>
      </c>
      <c r="R34" s="28">
        <v>20.56</v>
      </c>
      <c r="S34" s="28">
        <v>241.52</v>
      </c>
    </row>
    <row r="35" spans="1:19">
      <c r="A35" s="15" t="s">
        <v>30</v>
      </c>
      <c r="B35" s="15" t="s">
        <v>31</v>
      </c>
      <c r="C35" s="16" t="s">
        <v>151</v>
      </c>
      <c r="D35" s="16" t="s">
        <v>32</v>
      </c>
      <c r="E35" s="16" t="s">
        <v>164</v>
      </c>
      <c r="F35" s="16" t="s">
        <v>32</v>
      </c>
      <c r="G35" s="28">
        <v>26660.2</v>
      </c>
      <c r="H35" s="28">
        <v>35014.1</v>
      </c>
      <c r="I35" s="28">
        <v>22281.7</v>
      </c>
      <c r="J35" s="28">
        <v>30163</v>
      </c>
      <c r="K35" s="28">
        <v>26535.1</v>
      </c>
      <c r="L35" s="28">
        <v>24213.8</v>
      </c>
      <c r="M35" s="28">
        <v>31219.4</v>
      </c>
      <c r="N35" s="28">
        <v>32220.2</v>
      </c>
      <c r="O35" s="28">
        <v>22406.799999999999</v>
      </c>
      <c r="P35" s="28">
        <v>21308.7</v>
      </c>
      <c r="Q35" s="28">
        <v>35111.4</v>
      </c>
      <c r="R35" s="28">
        <v>28578.400000000001</v>
      </c>
      <c r="S35" s="28">
        <v>335712.8</v>
      </c>
    </row>
    <row r="36" spans="1:19">
      <c r="A36" s="17" t="s">
        <v>30</v>
      </c>
      <c r="B36" s="17" t="s">
        <v>31</v>
      </c>
      <c r="C36" s="17" t="s">
        <v>151</v>
      </c>
      <c r="D36" s="17" t="s">
        <v>32</v>
      </c>
      <c r="E36" s="17" t="s">
        <v>165</v>
      </c>
      <c r="F36" s="17" t="s">
        <v>166</v>
      </c>
      <c r="G36" s="29">
        <v>118637890</v>
      </c>
      <c r="H36" s="29">
        <v>155812745</v>
      </c>
      <c r="I36" s="29">
        <v>99153565</v>
      </c>
      <c r="J36" s="29">
        <v>134225350</v>
      </c>
      <c r="K36" s="29">
        <v>118081195</v>
      </c>
      <c r="L36" s="29">
        <v>107751410</v>
      </c>
      <c r="M36" s="29">
        <v>138926330</v>
      </c>
      <c r="N36" s="29">
        <v>143379890</v>
      </c>
      <c r="O36" s="29">
        <v>99710260</v>
      </c>
      <c r="P36" s="29">
        <v>94823715</v>
      </c>
      <c r="Q36" s="29">
        <v>156245730</v>
      </c>
      <c r="R36" s="29">
        <v>127173880</v>
      </c>
      <c r="S36" s="29">
        <v>1493921960</v>
      </c>
    </row>
    <row r="37" spans="1:19">
      <c r="A37" s="15" t="s">
        <v>30</v>
      </c>
      <c r="B37" s="15" t="s">
        <v>31</v>
      </c>
      <c r="C37" s="16" t="s">
        <v>152</v>
      </c>
      <c r="D37" s="16" t="s">
        <v>32</v>
      </c>
      <c r="E37" s="16" t="s">
        <v>163</v>
      </c>
      <c r="F37" s="16" t="s">
        <v>148</v>
      </c>
      <c r="G37" s="28">
        <v>12.62</v>
      </c>
      <c r="H37" s="28">
        <v>11.98</v>
      </c>
      <c r="I37" s="28">
        <v>10.11</v>
      </c>
      <c r="J37" s="28">
        <v>14.04</v>
      </c>
      <c r="K37" s="28">
        <v>13.66</v>
      </c>
      <c r="L37" s="28">
        <v>9.69</v>
      </c>
      <c r="M37" s="28">
        <v>10.37</v>
      </c>
      <c r="N37" s="28">
        <v>9.66</v>
      </c>
      <c r="O37" s="28">
        <v>15.09</v>
      </c>
      <c r="P37" s="28">
        <v>12.24</v>
      </c>
      <c r="Q37" s="28">
        <v>10.73</v>
      </c>
      <c r="R37" s="28">
        <v>14.41</v>
      </c>
      <c r="S37" s="28">
        <v>144.6</v>
      </c>
    </row>
    <row r="38" spans="1:19">
      <c r="A38" s="15" t="s">
        <v>30</v>
      </c>
      <c r="B38" s="15" t="s">
        <v>31</v>
      </c>
      <c r="C38" s="16" t="s">
        <v>152</v>
      </c>
      <c r="D38" s="16" t="s">
        <v>32</v>
      </c>
      <c r="E38" s="16" t="s">
        <v>164</v>
      </c>
      <c r="F38" s="16" t="s">
        <v>32</v>
      </c>
      <c r="G38" s="28">
        <v>14891.6</v>
      </c>
      <c r="H38" s="28">
        <v>14136.4</v>
      </c>
      <c r="I38" s="28">
        <v>11929.8</v>
      </c>
      <c r="J38" s="28">
        <v>16567.2</v>
      </c>
      <c r="K38" s="28">
        <v>16118.8</v>
      </c>
      <c r="L38" s="28">
        <v>11434.2</v>
      </c>
      <c r="M38" s="28">
        <v>12236.6</v>
      </c>
      <c r="N38" s="28">
        <v>11398.8</v>
      </c>
      <c r="O38" s="28">
        <v>17806.2</v>
      </c>
      <c r="P38" s="28">
        <v>14443.2</v>
      </c>
      <c r="Q38" s="28">
        <v>12661.4</v>
      </c>
      <c r="R38" s="28">
        <v>17003.8</v>
      </c>
      <c r="S38" s="28">
        <v>170628</v>
      </c>
    </row>
    <row r="39" spans="1:19">
      <c r="A39" s="17" t="s">
        <v>30</v>
      </c>
      <c r="B39" s="17" t="s">
        <v>31</v>
      </c>
      <c r="C39" s="17" t="s">
        <v>152</v>
      </c>
      <c r="D39" s="17" t="s">
        <v>32</v>
      </c>
      <c r="E39" s="17" t="s">
        <v>165</v>
      </c>
      <c r="F39" s="17" t="s">
        <v>166</v>
      </c>
      <c r="G39" s="29">
        <v>66267620</v>
      </c>
      <c r="H39" s="29">
        <v>62906980</v>
      </c>
      <c r="I39" s="29">
        <v>53087610</v>
      </c>
      <c r="J39" s="29">
        <v>73724040</v>
      </c>
      <c r="K39" s="29">
        <v>71728660</v>
      </c>
      <c r="L39" s="29">
        <v>50882190</v>
      </c>
      <c r="M39" s="29">
        <v>54452870</v>
      </c>
      <c r="N39" s="29">
        <v>50724660</v>
      </c>
      <c r="O39" s="29">
        <v>79237590</v>
      </c>
      <c r="P39" s="29">
        <v>64272240</v>
      </c>
      <c r="Q39" s="29">
        <v>56343230</v>
      </c>
      <c r="R39" s="29">
        <v>75666910</v>
      </c>
      <c r="S39" s="29">
        <v>759294600</v>
      </c>
    </row>
    <row r="40" spans="1:19">
      <c r="A40" s="18" t="s">
        <v>33</v>
      </c>
      <c r="B40" s="18" t="s">
        <v>167</v>
      </c>
      <c r="C40" s="19" t="s">
        <v>147</v>
      </c>
      <c r="D40" s="19" t="s">
        <v>32</v>
      </c>
      <c r="E40" s="19" t="s">
        <v>163</v>
      </c>
      <c r="F40" s="19" t="s">
        <v>148</v>
      </c>
      <c r="G40" s="30">
        <v>19.87</v>
      </c>
      <c r="H40" s="30">
        <v>24.57</v>
      </c>
      <c r="I40" s="30">
        <v>21.9</v>
      </c>
      <c r="J40" s="30">
        <v>18.13</v>
      </c>
      <c r="K40" s="30">
        <v>18.809999999999999</v>
      </c>
      <c r="L40" s="30">
        <v>20.63</v>
      </c>
      <c r="M40" s="30">
        <v>16.809999999999999</v>
      </c>
      <c r="N40" s="30">
        <v>24.79</v>
      </c>
      <c r="O40" s="30">
        <v>16.37</v>
      </c>
      <c r="P40" s="30">
        <v>20.94</v>
      </c>
      <c r="Q40" s="30">
        <v>17.91</v>
      </c>
      <c r="R40" s="30">
        <v>18.350000000000001</v>
      </c>
      <c r="S40" s="30">
        <v>239.07999999999998</v>
      </c>
    </row>
    <row r="41" spans="1:19">
      <c r="A41" s="20" t="s">
        <v>33</v>
      </c>
      <c r="B41" s="20" t="s">
        <v>167</v>
      </c>
      <c r="C41" s="21" t="s">
        <v>147</v>
      </c>
      <c r="D41" s="21" t="s">
        <v>32</v>
      </c>
      <c r="E41" s="21" t="s">
        <v>164</v>
      </c>
      <c r="F41" s="21" t="s">
        <v>32</v>
      </c>
      <c r="G41" s="31">
        <v>28811.5</v>
      </c>
      <c r="H41" s="31">
        <v>35626.5</v>
      </c>
      <c r="I41" s="31">
        <v>31755</v>
      </c>
      <c r="J41" s="31">
        <v>26288.5</v>
      </c>
      <c r="K41" s="31">
        <v>27274.5</v>
      </c>
      <c r="L41" s="31">
        <v>29913.5</v>
      </c>
      <c r="M41" s="31">
        <v>24374.5</v>
      </c>
      <c r="N41" s="31">
        <v>35945.5</v>
      </c>
      <c r="O41" s="31">
        <v>23736.5</v>
      </c>
      <c r="P41" s="31">
        <v>30363</v>
      </c>
      <c r="Q41" s="31">
        <v>25969.5</v>
      </c>
      <c r="R41" s="31">
        <v>26607.5</v>
      </c>
      <c r="S41" s="31">
        <v>346666</v>
      </c>
    </row>
    <row r="42" spans="1:19">
      <c r="A42" s="22" t="s">
        <v>33</v>
      </c>
      <c r="B42" s="22" t="s">
        <v>167</v>
      </c>
      <c r="C42" s="22" t="s">
        <v>147</v>
      </c>
      <c r="D42" s="22" t="s">
        <v>32</v>
      </c>
      <c r="E42" s="22" t="s">
        <v>165</v>
      </c>
      <c r="F42" s="22" t="s">
        <v>166</v>
      </c>
      <c r="G42" s="32">
        <v>128211175</v>
      </c>
      <c r="H42" s="32">
        <v>158537925</v>
      </c>
      <c r="I42" s="32">
        <v>141309750</v>
      </c>
      <c r="J42" s="32">
        <v>116983825</v>
      </c>
      <c r="K42" s="32">
        <v>121371525</v>
      </c>
      <c r="L42" s="32">
        <v>133115075</v>
      </c>
      <c r="M42" s="32">
        <v>108466525</v>
      </c>
      <c r="N42" s="32">
        <v>159957475</v>
      </c>
      <c r="O42" s="32">
        <v>105627425</v>
      </c>
      <c r="P42" s="32">
        <v>135115350</v>
      </c>
      <c r="Q42" s="32">
        <v>115564275</v>
      </c>
      <c r="R42" s="32">
        <v>118403375</v>
      </c>
      <c r="S42" s="32">
        <v>1542663700</v>
      </c>
    </row>
    <row r="43" spans="1:19">
      <c r="A43" s="20" t="s">
        <v>33</v>
      </c>
      <c r="B43" s="20" t="s">
        <v>167</v>
      </c>
      <c r="C43" s="21" t="s">
        <v>149</v>
      </c>
      <c r="D43" s="21" t="s">
        <v>32</v>
      </c>
      <c r="E43" s="21" t="s">
        <v>163</v>
      </c>
      <c r="F43" s="21" t="s">
        <v>148</v>
      </c>
      <c r="G43" s="31">
        <v>12.67</v>
      </c>
      <c r="H43" s="31">
        <v>21.44</v>
      </c>
      <c r="I43" s="31">
        <v>17.88</v>
      </c>
      <c r="J43" s="31">
        <v>18.28</v>
      </c>
      <c r="K43" s="31">
        <v>21.06</v>
      </c>
      <c r="L43" s="31">
        <v>20</v>
      </c>
      <c r="M43" s="31">
        <v>14.02</v>
      </c>
      <c r="N43" s="31">
        <v>13.37</v>
      </c>
      <c r="O43" s="31">
        <v>15.46</v>
      </c>
      <c r="P43" s="31">
        <v>19.14</v>
      </c>
      <c r="Q43" s="31">
        <v>17.55</v>
      </c>
      <c r="R43" s="31">
        <v>21.56</v>
      </c>
      <c r="S43" s="31">
        <v>212.43</v>
      </c>
    </row>
    <row r="44" spans="1:19">
      <c r="A44" s="20" t="s">
        <v>33</v>
      </c>
      <c r="B44" s="20" t="s">
        <v>167</v>
      </c>
      <c r="C44" s="21" t="s">
        <v>149</v>
      </c>
      <c r="D44" s="21" t="s">
        <v>32</v>
      </c>
      <c r="E44" s="21" t="s">
        <v>164</v>
      </c>
      <c r="F44" s="21" t="s">
        <v>32</v>
      </c>
      <c r="G44" s="31">
        <v>16724.400000000001</v>
      </c>
      <c r="H44" s="31">
        <v>28300.799999999999</v>
      </c>
      <c r="I44" s="31">
        <v>23601.599999999999</v>
      </c>
      <c r="J44" s="31">
        <v>24129.599999999999</v>
      </c>
      <c r="K44" s="31">
        <v>27799.200000000001</v>
      </c>
      <c r="L44" s="31">
        <v>26400</v>
      </c>
      <c r="M44" s="31">
        <v>18506.400000000001</v>
      </c>
      <c r="N44" s="31">
        <v>17648.400000000001</v>
      </c>
      <c r="O44" s="31">
        <v>20407.2</v>
      </c>
      <c r="P44" s="31">
        <v>25264.799999999999</v>
      </c>
      <c r="Q44" s="31">
        <v>23166</v>
      </c>
      <c r="R44" s="31">
        <v>28459.200000000001</v>
      </c>
      <c r="S44" s="31">
        <v>280407.59999999998</v>
      </c>
    </row>
    <row r="45" spans="1:19">
      <c r="A45" s="22" t="s">
        <v>33</v>
      </c>
      <c r="B45" s="22" t="s">
        <v>167</v>
      </c>
      <c r="C45" s="22" t="s">
        <v>149</v>
      </c>
      <c r="D45" s="22" t="s">
        <v>32</v>
      </c>
      <c r="E45" s="22" t="s">
        <v>165</v>
      </c>
      <c r="F45" s="22" t="s">
        <v>166</v>
      </c>
      <c r="G45" s="32">
        <v>74423580</v>
      </c>
      <c r="H45" s="32">
        <v>125938560</v>
      </c>
      <c r="I45" s="32">
        <v>105027120</v>
      </c>
      <c r="J45" s="32">
        <v>107376720</v>
      </c>
      <c r="K45" s="32">
        <v>123706440</v>
      </c>
      <c r="L45" s="32">
        <v>117480000</v>
      </c>
      <c r="M45" s="32">
        <v>82353480</v>
      </c>
      <c r="N45" s="32">
        <v>78535380</v>
      </c>
      <c r="O45" s="32">
        <v>90812040</v>
      </c>
      <c r="P45" s="32">
        <v>112428360</v>
      </c>
      <c r="Q45" s="32">
        <v>103088700</v>
      </c>
      <c r="R45" s="32">
        <v>126643440</v>
      </c>
      <c r="S45" s="32">
        <v>1247813820</v>
      </c>
    </row>
    <row r="46" spans="1:19">
      <c r="A46" s="20" t="s">
        <v>33</v>
      </c>
      <c r="B46" s="20" t="s">
        <v>167</v>
      </c>
      <c r="C46" s="21" t="s">
        <v>150</v>
      </c>
      <c r="D46" s="21" t="s">
        <v>32</v>
      </c>
      <c r="E46" s="21" t="s">
        <v>163</v>
      </c>
      <c r="F46" s="21" t="s">
        <v>148</v>
      </c>
      <c r="G46" s="31">
        <v>17.989999999999998</v>
      </c>
      <c r="H46" s="31">
        <v>18.100000000000001</v>
      </c>
      <c r="I46" s="31">
        <v>15.91</v>
      </c>
      <c r="J46" s="31">
        <v>14.67</v>
      </c>
      <c r="K46" s="31">
        <v>14.81</v>
      </c>
      <c r="L46" s="31">
        <v>10.9</v>
      </c>
      <c r="M46" s="31">
        <v>16.96</v>
      </c>
      <c r="N46" s="31">
        <v>17.89</v>
      </c>
      <c r="O46" s="31">
        <v>14.05</v>
      </c>
      <c r="P46" s="31">
        <v>19.18</v>
      </c>
      <c r="Q46" s="31">
        <v>11.04</v>
      </c>
      <c r="R46" s="31">
        <v>17.98</v>
      </c>
      <c r="S46" s="31">
        <v>189.48</v>
      </c>
    </row>
    <row r="47" spans="1:19">
      <c r="A47" s="20" t="s">
        <v>33</v>
      </c>
      <c r="B47" s="20" t="s">
        <v>167</v>
      </c>
      <c r="C47" s="21" t="s">
        <v>150</v>
      </c>
      <c r="D47" s="21" t="s">
        <v>32</v>
      </c>
      <c r="E47" s="21" t="s">
        <v>164</v>
      </c>
      <c r="F47" s="21" t="s">
        <v>32</v>
      </c>
      <c r="G47" s="31">
        <v>22847.3</v>
      </c>
      <c r="H47" s="31">
        <v>22987</v>
      </c>
      <c r="I47" s="31">
        <v>20205.7</v>
      </c>
      <c r="J47" s="31">
        <v>18630.900000000001</v>
      </c>
      <c r="K47" s="31">
        <v>18808.7</v>
      </c>
      <c r="L47" s="31">
        <v>13843</v>
      </c>
      <c r="M47" s="31">
        <v>21539.200000000001</v>
      </c>
      <c r="N47" s="31">
        <v>22720.3</v>
      </c>
      <c r="O47" s="31">
        <v>17843.5</v>
      </c>
      <c r="P47" s="31">
        <v>24358.6</v>
      </c>
      <c r="Q47" s="31">
        <v>14020.8</v>
      </c>
      <c r="R47" s="31">
        <v>22834.6</v>
      </c>
      <c r="S47" s="31">
        <v>240639.6</v>
      </c>
    </row>
    <row r="48" spans="1:19">
      <c r="A48" s="22" t="s">
        <v>33</v>
      </c>
      <c r="B48" s="22" t="s">
        <v>167</v>
      </c>
      <c r="C48" s="22" t="s">
        <v>150</v>
      </c>
      <c r="D48" s="22" t="s">
        <v>32</v>
      </c>
      <c r="E48" s="22" t="s">
        <v>165</v>
      </c>
      <c r="F48" s="22" t="s">
        <v>166</v>
      </c>
      <c r="G48" s="32">
        <v>101670485</v>
      </c>
      <c r="H48" s="32">
        <v>102292150</v>
      </c>
      <c r="I48" s="32">
        <v>89915365</v>
      </c>
      <c r="J48" s="32">
        <v>82907505</v>
      </c>
      <c r="K48" s="32">
        <v>83698715</v>
      </c>
      <c r="L48" s="32">
        <v>61601350</v>
      </c>
      <c r="M48" s="32">
        <v>95849440</v>
      </c>
      <c r="N48" s="32">
        <v>101105335</v>
      </c>
      <c r="O48" s="32">
        <v>79403575</v>
      </c>
      <c r="P48" s="32">
        <v>108395770</v>
      </c>
      <c r="Q48" s="32">
        <v>62392560</v>
      </c>
      <c r="R48" s="32">
        <v>101613970</v>
      </c>
      <c r="S48" s="32">
        <v>1070846220</v>
      </c>
    </row>
    <row r="49" spans="1:19">
      <c r="A49" s="20" t="s">
        <v>33</v>
      </c>
      <c r="B49" s="20" t="s">
        <v>167</v>
      </c>
      <c r="C49" s="21" t="s">
        <v>151</v>
      </c>
      <c r="D49" s="21" t="s">
        <v>32</v>
      </c>
      <c r="E49" s="21" t="s">
        <v>163</v>
      </c>
      <c r="F49" s="21" t="s">
        <v>148</v>
      </c>
      <c r="G49" s="31">
        <v>22.73</v>
      </c>
      <c r="H49" s="31">
        <v>23.74</v>
      </c>
      <c r="I49" s="31">
        <v>22.85</v>
      </c>
      <c r="J49" s="31">
        <v>18.55</v>
      </c>
      <c r="K49" s="31">
        <v>18.96</v>
      </c>
      <c r="L49" s="31">
        <v>20.47</v>
      </c>
      <c r="M49" s="31">
        <v>25.54</v>
      </c>
      <c r="N49" s="31">
        <v>16.07</v>
      </c>
      <c r="O49" s="31">
        <v>17.62</v>
      </c>
      <c r="P49" s="31">
        <v>23.8</v>
      </c>
      <c r="Q49" s="31">
        <v>15.8</v>
      </c>
      <c r="R49" s="31">
        <v>16.23</v>
      </c>
      <c r="S49" s="31">
        <v>242.36</v>
      </c>
    </row>
    <row r="50" spans="1:19">
      <c r="A50" s="20" t="s">
        <v>33</v>
      </c>
      <c r="B50" s="20" t="s">
        <v>167</v>
      </c>
      <c r="C50" s="21" t="s">
        <v>151</v>
      </c>
      <c r="D50" s="21" t="s">
        <v>32</v>
      </c>
      <c r="E50" s="21" t="s">
        <v>164</v>
      </c>
      <c r="F50" s="21" t="s">
        <v>32</v>
      </c>
      <c r="G50" s="31">
        <v>31594.7</v>
      </c>
      <c r="H50" s="31">
        <v>32998.6</v>
      </c>
      <c r="I50" s="31">
        <v>31761.5</v>
      </c>
      <c r="J50" s="31">
        <v>25784.5</v>
      </c>
      <c r="K50" s="31">
        <v>26354.400000000001</v>
      </c>
      <c r="L50" s="31">
        <v>28453.3</v>
      </c>
      <c r="M50" s="31">
        <v>35500.6</v>
      </c>
      <c r="N50" s="31">
        <v>22337.3</v>
      </c>
      <c r="O50" s="31">
        <v>24491.8</v>
      </c>
      <c r="P50" s="31">
        <v>33082</v>
      </c>
      <c r="Q50" s="31">
        <v>21962</v>
      </c>
      <c r="R50" s="31">
        <v>22559.7</v>
      </c>
      <c r="S50" s="31">
        <v>336880.4</v>
      </c>
    </row>
    <row r="51" spans="1:19">
      <c r="A51" s="22" t="s">
        <v>33</v>
      </c>
      <c r="B51" s="22" t="s">
        <v>167</v>
      </c>
      <c r="C51" s="22" t="s">
        <v>151</v>
      </c>
      <c r="D51" s="22" t="s">
        <v>32</v>
      </c>
      <c r="E51" s="22" t="s">
        <v>165</v>
      </c>
      <c r="F51" s="22" t="s">
        <v>166</v>
      </c>
      <c r="G51" s="32">
        <v>140596415</v>
      </c>
      <c r="H51" s="32">
        <v>146843770</v>
      </c>
      <c r="I51" s="32">
        <v>141338675</v>
      </c>
      <c r="J51" s="32">
        <v>114741025</v>
      </c>
      <c r="K51" s="32">
        <v>117277080</v>
      </c>
      <c r="L51" s="32">
        <v>126617185</v>
      </c>
      <c r="M51" s="32">
        <v>157977670</v>
      </c>
      <c r="N51" s="32">
        <v>99400985</v>
      </c>
      <c r="O51" s="32">
        <v>108988510</v>
      </c>
      <c r="P51" s="32">
        <v>147214900</v>
      </c>
      <c r="Q51" s="32">
        <v>97730900</v>
      </c>
      <c r="R51" s="32">
        <v>100390665</v>
      </c>
      <c r="S51" s="32">
        <v>1499117780</v>
      </c>
    </row>
    <row r="52" spans="1:19">
      <c r="A52" s="20" t="s">
        <v>33</v>
      </c>
      <c r="B52" s="20" t="s">
        <v>167</v>
      </c>
      <c r="C52" s="21" t="s">
        <v>152</v>
      </c>
      <c r="D52" s="21" t="s">
        <v>32</v>
      </c>
      <c r="E52" s="21" t="s">
        <v>163</v>
      </c>
      <c r="F52" s="21" t="s">
        <v>148</v>
      </c>
      <c r="G52" s="31">
        <v>13.16</v>
      </c>
      <c r="H52" s="31">
        <v>10.15</v>
      </c>
      <c r="I52" s="31">
        <v>11.08</v>
      </c>
      <c r="J52" s="31">
        <v>13.87</v>
      </c>
      <c r="K52" s="31">
        <v>14.4</v>
      </c>
      <c r="L52" s="31">
        <v>11.31</v>
      </c>
      <c r="M52" s="31">
        <v>14.48</v>
      </c>
      <c r="N52" s="31">
        <v>13.7</v>
      </c>
      <c r="O52" s="31">
        <v>9.52</v>
      </c>
      <c r="P52" s="31">
        <v>13.14</v>
      </c>
      <c r="Q52" s="31">
        <v>9.1300000000000008</v>
      </c>
      <c r="R52" s="31">
        <v>10.3</v>
      </c>
      <c r="S52" s="31">
        <v>144.24</v>
      </c>
    </row>
    <row r="53" spans="1:19">
      <c r="A53" s="20" t="s">
        <v>33</v>
      </c>
      <c r="B53" s="20" t="s">
        <v>167</v>
      </c>
      <c r="C53" s="21" t="s">
        <v>152</v>
      </c>
      <c r="D53" s="21" t="s">
        <v>32</v>
      </c>
      <c r="E53" s="21" t="s">
        <v>164</v>
      </c>
      <c r="F53" s="21" t="s">
        <v>32</v>
      </c>
      <c r="G53" s="31">
        <v>15528.8</v>
      </c>
      <c r="H53" s="31">
        <v>11977</v>
      </c>
      <c r="I53" s="31">
        <v>13074.4</v>
      </c>
      <c r="J53" s="31">
        <v>16366.6</v>
      </c>
      <c r="K53" s="31">
        <v>16992</v>
      </c>
      <c r="L53" s="31">
        <v>13345.8</v>
      </c>
      <c r="M53" s="31">
        <v>17086.400000000001</v>
      </c>
      <c r="N53" s="31">
        <v>16166</v>
      </c>
      <c r="O53" s="31">
        <v>11233.6</v>
      </c>
      <c r="P53" s="31">
        <v>15505.2</v>
      </c>
      <c r="Q53" s="31">
        <v>10773.4</v>
      </c>
      <c r="R53" s="31">
        <v>12154</v>
      </c>
      <c r="S53" s="31">
        <v>170203.2</v>
      </c>
    </row>
    <row r="54" spans="1:19">
      <c r="A54" s="22" t="s">
        <v>33</v>
      </c>
      <c r="B54" s="22" t="s">
        <v>167</v>
      </c>
      <c r="C54" s="22" t="s">
        <v>152</v>
      </c>
      <c r="D54" s="22" t="s">
        <v>32</v>
      </c>
      <c r="E54" s="22" t="s">
        <v>165</v>
      </c>
      <c r="F54" s="22" t="s">
        <v>166</v>
      </c>
      <c r="G54" s="32">
        <v>69103160</v>
      </c>
      <c r="H54" s="32">
        <v>53297650</v>
      </c>
      <c r="I54" s="32">
        <v>58181080</v>
      </c>
      <c r="J54" s="32">
        <v>72831370</v>
      </c>
      <c r="K54" s="32">
        <v>75614400</v>
      </c>
      <c r="L54" s="32">
        <v>59388810</v>
      </c>
      <c r="M54" s="32">
        <v>76034480</v>
      </c>
      <c r="N54" s="32">
        <v>71938700</v>
      </c>
      <c r="O54" s="32">
        <v>49989520</v>
      </c>
      <c r="P54" s="32">
        <v>68998140</v>
      </c>
      <c r="Q54" s="32">
        <v>47941630</v>
      </c>
      <c r="R54" s="32">
        <v>54085300</v>
      </c>
      <c r="S54" s="32">
        <v>757404240</v>
      </c>
    </row>
  </sheetData>
  <mergeCells count="15">
    <mergeCell ref="P5:S5"/>
    <mergeCell ref="A7:S7"/>
    <mergeCell ref="A5:C5"/>
    <mergeCell ref="D5:F5"/>
    <mergeCell ref="G5:I5"/>
    <mergeCell ref="J5:L5"/>
    <mergeCell ref="M5:O5"/>
    <mergeCell ref="A1:S1"/>
    <mergeCell ref="A2:S2"/>
    <mergeCell ref="A4:C4"/>
    <mergeCell ref="D4:F4"/>
    <mergeCell ref="G4:I4"/>
    <mergeCell ref="J4:L4"/>
    <mergeCell ref="M4:O4"/>
    <mergeCell ref="P4:S4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5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23</v>
      </c>
      <c r="B1" s="1" t="s">
        <v>24</v>
      </c>
      <c r="C1" s="1" t="s">
        <v>168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</row>
    <row r="2" spans="1:17">
      <c r="A2" t="s">
        <v>27</v>
      </c>
      <c r="B2" t="s">
        <v>28</v>
      </c>
      <c r="C2" t="s">
        <v>169</v>
      </c>
      <c r="D2" t="s">
        <v>166</v>
      </c>
      <c r="E2" s="4">
        <v>12243528</v>
      </c>
      <c r="F2" s="4">
        <v>10541520</v>
      </c>
      <c r="G2" s="4">
        <v>9903960</v>
      </c>
      <c r="H2" s="4">
        <v>11515680</v>
      </c>
      <c r="I2" s="4">
        <v>11560032</v>
      </c>
      <c r="J2" s="4">
        <v>11204424</v>
      </c>
      <c r="K2" s="4">
        <v>11772288</v>
      </c>
      <c r="L2" s="4">
        <v>10950192</v>
      </c>
      <c r="M2" s="4">
        <v>10257984</v>
      </c>
      <c r="N2" s="4">
        <v>12862080</v>
      </c>
      <c r="O2" s="4">
        <v>9733680</v>
      </c>
      <c r="P2" s="4">
        <v>10262736</v>
      </c>
      <c r="Q2" s="4">
        <f t="shared" ref="Q2:Q19" si="0">SUM(E2:P2)</f>
        <v>132808104</v>
      </c>
    </row>
    <row r="3" spans="1:17">
      <c r="A3" t="s">
        <v>27</v>
      </c>
      <c r="B3" t="s">
        <v>28</v>
      </c>
      <c r="C3" t="s">
        <v>170</v>
      </c>
      <c r="D3" t="s">
        <v>166</v>
      </c>
      <c r="E3" s="4">
        <v>4854168</v>
      </c>
      <c r="F3" s="4">
        <v>5323824</v>
      </c>
      <c r="G3" s="4">
        <v>5707944</v>
      </c>
      <c r="H3" s="4">
        <v>5336496</v>
      </c>
      <c r="I3" s="4">
        <v>4382136</v>
      </c>
      <c r="J3" s="4">
        <v>4726656</v>
      </c>
      <c r="K3" s="4">
        <v>5193144</v>
      </c>
      <c r="L3" s="4">
        <v>5128992</v>
      </c>
      <c r="M3" s="4">
        <v>5532912</v>
      </c>
      <c r="N3" s="4">
        <v>5165424</v>
      </c>
      <c r="O3" s="4">
        <v>5909904</v>
      </c>
      <c r="P3" s="4">
        <v>5345208</v>
      </c>
      <c r="Q3" s="4">
        <f t="shared" si="0"/>
        <v>62606808</v>
      </c>
    </row>
    <row r="4" spans="1:17">
      <c r="A4" t="s">
        <v>27</v>
      </c>
      <c r="B4" t="s">
        <v>28</v>
      </c>
      <c r="C4" t="s">
        <v>171</v>
      </c>
      <c r="D4" t="s">
        <v>166</v>
      </c>
      <c r="E4" s="4">
        <v>6730416</v>
      </c>
      <c r="F4" s="4">
        <v>7132752</v>
      </c>
      <c r="G4" s="4">
        <v>6036624</v>
      </c>
      <c r="H4" s="4">
        <v>7319664</v>
      </c>
      <c r="I4" s="4">
        <v>6629040</v>
      </c>
      <c r="J4" s="4">
        <v>6785856</v>
      </c>
      <c r="K4" s="4">
        <v>6127704</v>
      </c>
      <c r="L4" s="4">
        <v>6618744</v>
      </c>
      <c r="M4" s="4">
        <v>7680024</v>
      </c>
      <c r="N4" s="4">
        <v>7449552</v>
      </c>
      <c r="O4" s="4">
        <v>6512616</v>
      </c>
      <c r="P4" s="4">
        <v>7813080</v>
      </c>
      <c r="Q4" s="4">
        <f t="shared" si="0"/>
        <v>82836072</v>
      </c>
    </row>
    <row r="5" spans="1:17">
      <c r="A5" t="s">
        <v>27</v>
      </c>
      <c r="B5" t="s">
        <v>28</v>
      </c>
      <c r="C5" t="s">
        <v>172</v>
      </c>
      <c r="D5" t="s">
        <v>166</v>
      </c>
      <c r="E5" s="4">
        <v>34904232</v>
      </c>
      <c r="F5" s="4">
        <v>41237856</v>
      </c>
      <c r="G5" s="4">
        <v>40514760</v>
      </c>
      <c r="H5" s="4">
        <v>34526448</v>
      </c>
      <c r="I5" s="4">
        <v>40289832</v>
      </c>
      <c r="J5" s="4">
        <v>41222808</v>
      </c>
      <c r="K5" s="4">
        <v>37706328</v>
      </c>
      <c r="L5" s="4">
        <v>44463672</v>
      </c>
      <c r="M5" s="4">
        <v>33567336</v>
      </c>
      <c r="N5" s="4">
        <v>40842648</v>
      </c>
      <c r="O5" s="4">
        <v>41384376</v>
      </c>
      <c r="P5" s="4">
        <v>37774440</v>
      </c>
      <c r="Q5" s="4">
        <f t="shared" si="0"/>
        <v>468434736</v>
      </c>
    </row>
    <row r="6" spans="1:17">
      <c r="A6" t="s">
        <v>27</v>
      </c>
      <c r="B6" t="s">
        <v>28</v>
      </c>
      <c r="C6" t="s">
        <v>173</v>
      </c>
      <c r="D6" t="s">
        <v>166</v>
      </c>
      <c r="E6" s="4">
        <v>3245616</v>
      </c>
      <c r="F6" s="4">
        <v>4163544</v>
      </c>
      <c r="G6" s="4">
        <v>4179384</v>
      </c>
      <c r="H6" s="4">
        <v>4123944</v>
      </c>
      <c r="I6" s="4">
        <v>4187304</v>
      </c>
      <c r="J6" s="4">
        <v>3850704</v>
      </c>
      <c r="K6" s="4">
        <v>4142160</v>
      </c>
      <c r="L6" s="4">
        <v>4260960</v>
      </c>
      <c r="M6" s="4">
        <v>3429360</v>
      </c>
      <c r="N6" s="4">
        <v>3916440</v>
      </c>
      <c r="O6" s="4">
        <v>4211856</v>
      </c>
      <c r="P6" s="4">
        <v>3487968</v>
      </c>
      <c r="Q6" s="4">
        <f t="shared" si="0"/>
        <v>47199240</v>
      </c>
    </row>
    <row r="7" spans="1:17">
      <c r="A7" t="s">
        <v>27</v>
      </c>
      <c r="B7" t="s">
        <v>28</v>
      </c>
      <c r="C7" t="s">
        <v>174</v>
      </c>
      <c r="D7" t="s">
        <v>166</v>
      </c>
      <c r="E7" s="4">
        <v>2463912</v>
      </c>
      <c r="F7" s="4">
        <v>2229480</v>
      </c>
      <c r="G7" s="4">
        <v>2516184</v>
      </c>
      <c r="H7" s="4">
        <v>2554992</v>
      </c>
      <c r="I7" s="4">
        <v>2704680</v>
      </c>
      <c r="J7" s="4">
        <v>2235024</v>
      </c>
      <c r="K7" s="4">
        <v>2256408</v>
      </c>
      <c r="L7" s="4">
        <v>2935944</v>
      </c>
      <c r="M7" s="4">
        <v>2885256</v>
      </c>
      <c r="N7" s="4">
        <v>2266704</v>
      </c>
      <c r="O7" s="4">
        <v>2372832</v>
      </c>
      <c r="P7" s="4">
        <v>2372832</v>
      </c>
      <c r="Q7" s="4">
        <f t="shared" si="0"/>
        <v>29794248</v>
      </c>
    </row>
    <row r="8" spans="1:17">
      <c r="A8" t="s">
        <v>30</v>
      </c>
      <c r="B8" t="s">
        <v>31</v>
      </c>
      <c r="C8" t="s">
        <v>169</v>
      </c>
      <c r="D8" t="s">
        <v>166</v>
      </c>
      <c r="E8" s="4">
        <v>11218680</v>
      </c>
      <c r="F8" s="4">
        <v>12067704</v>
      </c>
      <c r="G8" s="4">
        <v>12454200</v>
      </c>
      <c r="H8" s="4">
        <v>12180168</v>
      </c>
      <c r="I8" s="4">
        <v>10390248</v>
      </c>
      <c r="J8" s="4">
        <v>13445784</v>
      </c>
      <c r="K8" s="4">
        <v>10696752</v>
      </c>
      <c r="L8" s="4">
        <v>10756944</v>
      </c>
      <c r="M8" s="4">
        <v>12908808</v>
      </c>
      <c r="N8" s="4">
        <v>13273920</v>
      </c>
      <c r="O8" s="4">
        <v>13505976</v>
      </c>
      <c r="P8" s="4">
        <v>13165416</v>
      </c>
      <c r="Q8" s="4">
        <f t="shared" si="0"/>
        <v>146064600</v>
      </c>
    </row>
    <row r="9" spans="1:17">
      <c r="A9" t="s">
        <v>30</v>
      </c>
      <c r="B9" t="s">
        <v>31</v>
      </c>
      <c r="C9" t="s">
        <v>170</v>
      </c>
      <c r="D9" t="s">
        <v>166</v>
      </c>
      <c r="E9" s="4">
        <v>6084936</v>
      </c>
      <c r="F9" s="4">
        <v>5753088</v>
      </c>
      <c r="G9" s="4">
        <v>6239376</v>
      </c>
      <c r="H9" s="4">
        <v>6019992</v>
      </c>
      <c r="I9" s="4">
        <v>5579640</v>
      </c>
      <c r="J9" s="4">
        <v>4802688</v>
      </c>
      <c r="K9" s="4">
        <v>4936536</v>
      </c>
      <c r="L9" s="4">
        <v>5694480</v>
      </c>
      <c r="M9" s="4">
        <v>6201360</v>
      </c>
      <c r="N9" s="4">
        <v>4858920</v>
      </c>
      <c r="O9" s="4">
        <v>4844664</v>
      </c>
      <c r="P9" s="4">
        <v>6385896</v>
      </c>
      <c r="Q9" s="4">
        <f t="shared" si="0"/>
        <v>67401576</v>
      </c>
    </row>
    <row r="10" spans="1:17">
      <c r="A10" t="s">
        <v>30</v>
      </c>
      <c r="B10" t="s">
        <v>31</v>
      </c>
      <c r="C10" t="s">
        <v>171</v>
      </c>
      <c r="D10" t="s">
        <v>166</v>
      </c>
      <c r="E10" s="4">
        <v>6685272</v>
      </c>
      <c r="F10" s="4">
        <v>7436088</v>
      </c>
      <c r="G10" s="4">
        <v>8243136</v>
      </c>
      <c r="H10" s="4">
        <v>6644088</v>
      </c>
      <c r="I10" s="4">
        <v>6709824</v>
      </c>
      <c r="J10" s="4">
        <v>8366688</v>
      </c>
      <c r="K10" s="4">
        <v>8347680</v>
      </c>
      <c r="L10" s="4">
        <v>7439256</v>
      </c>
      <c r="M10" s="4">
        <v>8274024</v>
      </c>
      <c r="N10" s="4">
        <v>8213040</v>
      </c>
      <c r="O10" s="4">
        <v>8229672</v>
      </c>
      <c r="P10" s="4">
        <v>8705664</v>
      </c>
      <c r="Q10" s="4">
        <f t="shared" si="0"/>
        <v>93294432</v>
      </c>
    </row>
    <row r="11" spans="1:17">
      <c r="A11" t="s">
        <v>30</v>
      </c>
      <c r="B11" t="s">
        <v>31</v>
      </c>
      <c r="C11" t="s">
        <v>172</v>
      </c>
      <c r="D11" t="s">
        <v>166</v>
      </c>
      <c r="E11" s="4">
        <v>36749592</v>
      </c>
      <c r="F11" s="4">
        <v>42320520</v>
      </c>
      <c r="G11" s="4">
        <v>48871152</v>
      </c>
      <c r="H11" s="4">
        <v>37592280</v>
      </c>
      <c r="I11" s="4">
        <v>41093712</v>
      </c>
      <c r="J11" s="4">
        <v>37997784</v>
      </c>
      <c r="K11" s="4">
        <v>45911448</v>
      </c>
      <c r="L11" s="4">
        <v>38437344</v>
      </c>
      <c r="M11" s="4">
        <v>44279136</v>
      </c>
      <c r="N11" s="4">
        <v>45833832</v>
      </c>
      <c r="O11" s="4">
        <v>38103120</v>
      </c>
      <c r="P11" s="4">
        <v>47964312</v>
      </c>
      <c r="Q11" s="4">
        <f t="shared" si="0"/>
        <v>505154232</v>
      </c>
    </row>
    <row r="12" spans="1:17">
      <c r="A12" t="s">
        <v>30</v>
      </c>
      <c r="B12" t="s">
        <v>31</v>
      </c>
      <c r="C12" t="s">
        <v>173</v>
      </c>
      <c r="D12" t="s">
        <v>166</v>
      </c>
      <c r="E12" s="4">
        <v>3504600</v>
      </c>
      <c r="F12" s="4">
        <v>4055040</v>
      </c>
      <c r="G12" s="4">
        <v>3810312</v>
      </c>
      <c r="H12" s="4">
        <v>4324320</v>
      </c>
      <c r="I12" s="4">
        <v>4506480</v>
      </c>
      <c r="J12" s="4">
        <v>3883968</v>
      </c>
      <c r="K12" s="4">
        <v>3480840</v>
      </c>
      <c r="L12" s="4">
        <v>4132656</v>
      </c>
      <c r="M12" s="4">
        <v>4047912</v>
      </c>
      <c r="N12" s="4">
        <v>4446288</v>
      </c>
      <c r="O12" s="4">
        <v>4481136</v>
      </c>
      <c r="P12" s="4">
        <v>3463416</v>
      </c>
      <c r="Q12" s="4">
        <f t="shared" si="0"/>
        <v>48136968</v>
      </c>
    </row>
    <row r="13" spans="1:17">
      <c r="A13" t="s">
        <v>30</v>
      </c>
      <c r="B13" t="s">
        <v>31</v>
      </c>
      <c r="C13" t="s">
        <v>174</v>
      </c>
      <c r="D13" t="s">
        <v>166</v>
      </c>
      <c r="E13" s="4">
        <v>2656368</v>
      </c>
      <c r="F13" s="4">
        <v>3185424</v>
      </c>
      <c r="G13" s="4">
        <v>3147408</v>
      </c>
      <c r="H13" s="4">
        <v>2724480</v>
      </c>
      <c r="I13" s="4">
        <v>2786256</v>
      </c>
      <c r="J13" s="4">
        <v>2520144</v>
      </c>
      <c r="K13" s="4">
        <v>3005640</v>
      </c>
      <c r="L13" s="4">
        <v>2859120</v>
      </c>
      <c r="M13" s="4">
        <v>2581920</v>
      </c>
      <c r="N13" s="4">
        <v>2751408</v>
      </c>
      <c r="O13" s="4">
        <v>2596968</v>
      </c>
      <c r="P13" s="4">
        <v>3050784</v>
      </c>
      <c r="Q13" s="4">
        <f t="shared" si="0"/>
        <v>33865920</v>
      </c>
    </row>
    <row r="14" spans="1:17">
      <c r="A14" t="s">
        <v>33</v>
      </c>
      <c r="B14" t="s">
        <v>185</v>
      </c>
      <c r="C14" t="s">
        <v>169</v>
      </c>
      <c r="D14" t="s">
        <v>166</v>
      </c>
      <c r="E14" s="4">
        <v>9107208</v>
      </c>
      <c r="F14" s="4">
        <v>11232144</v>
      </c>
      <c r="G14" s="4">
        <v>9934056</v>
      </c>
      <c r="H14" s="4">
        <v>10393416</v>
      </c>
      <c r="I14" s="4">
        <v>10734768</v>
      </c>
      <c r="J14" s="4">
        <v>8494200</v>
      </c>
      <c r="K14" s="4">
        <v>9667944</v>
      </c>
      <c r="L14" s="4">
        <v>10601712</v>
      </c>
      <c r="M14" s="4">
        <v>10521720</v>
      </c>
      <c r="N14" s="4">
        <v>10980288</v>
      </c>
      <c r="O14" s="4">
        <v>9780408</v>
      </c>
      <c r="P14" s="4">
        <v>9024048</v>
      </c>
      <c r="Q14" s="4">
        <f t="shared" si="0"/>
        <v>120471912</v>
      </c>
    </row>
    <row r="15" spans="1:17">
      <c r="A15" t="s">
        <v>33</v>
      </c>
      <c r="B15" t="s">
        <v>185</v>
      </c>
      <c r="C15" t="s">
        <v>170</v>
      </c>
      <c r="D15" t="s">
        <v>166</v>
      </c>
      <c r="E15" s="4">
        <v>4477176</v>
      </c>
      <c r="F15" s="4">
        <v>4554000</v>
      </c>
      <c r="G15" s="4">
        <v>4485888</v>
      </c>
      <c r="H15" s="4">
        <v>3959208</v>
      </c>
      <c r="I15" s="4">
        <v>4836744</v>
      </c>
      <c r="J15" s="4">
        <v>3945744</v>
      </c>
      <c r="K15" s="4">
        <v>4121568</v>
      </c>
      <c r="L15" s="4">
        <v>4664088</v>
      </c>
      <c r="M15" s="4">
        <v>4528656</v>
      </c>
      <c r="N15" s="4">
        <v>4372632</v>
      </c>
      <c r="O15" s="4">
        <v>4034448</v>
      </c>
      <c r="P15" s="4">
        <v>5247792</v>
      </c>
      <c r="Q15" s="4">
        <f t="shared" si="0"/>
        <v>53227944</v>
      </c>
    </row>
    <row r="16" spans="1:17">
      <c r="A16" t="s">
        <v>33</v>
      </c>
      <c r="B16" t="s">
        <v>185</v>
      </c>
      <c r="C16" t="s">
        <v>171</v>
      </c>
      <c r="D16" t="s">
        <v>166</v>
      </c>
      <c r="E16" s="4">
        <v>5677056</v>
      </c>
      <c r="F16" s="4">
        <v>5650920</v>
      </c>
      <c r="G16" s="4">
        <v>5369760</v>
      </c>
      <c r="H16" s="4">
        <v>7099488</v>
      </c>
      <c r="I16" s="4">
        <v>6682104</v>
      </c>
      <c r="J16" s="4">
        <v>5898816</v>
      </c>
      <c r="K16" s="4">
        <v>5914656</v>
      </c>
      <c r="L16" s="4">
        <v>6620328</v>
      </c>
      <c r="M16" s="4">
        <v>5921784</v>
      </c>
      <c r="N16" s="4">
        <v>6098400</v>
      </c>
      <c r="O16" s="4">
        <v>6603696</v>
      </c>
      <c r="P16" s="4">
        <v>6052464</v>
      </c>
      <c r="Q16" s="4">
        <f t="shared" si="0"/>
        <v>73589472</v>
      </c>
    </row>
    <row r="17" spans="1:17">
      <c r="A17" t="s">
        <v>33</v>
      </c>
      <c r="B17" t="s">
        <v>185</v>
      </c>
      <c r="C17" t="s">
        <v>172</v>
      </c>
      <c r="D17" t="s">
        <v>166</v>
      </c>
      <c r="E17" s="4">
        <v>36382104</v>
      </c>
      <c r="F17" s="4">
        <v>36022536</v>
      </c>
      <c r="G17" s="4">
        <v>38056392</v>
      </c>
      <c r="H17" s="4">
        <v>30825432</v>
      </c>
      <c r="I17" s="4">
        <v>37631880</v>
      </c>
      <c r="J17" s="4">
        <v>39118464</v>
      </c>
      <c r="K17" s="4">
        <v>30373200</v>
      </c>
      <c r="L17" s="4">
        <v>38082528</v>
      </c>
      <c r="M17" s="4">
        <v>37444176</v>
      </c>
      <c r="N17" s="4">
        <v>34788600</v>
      </c>
      <c r="O17" s="4">
        <v>32738904</v>
      </c>
      <c r="P17" s="4">
        <v>36698112</v>
      </c>
      <c r="Q17" s="4">
        <f t="shared" si="0"/>
        <v>428162328</v>
      </c>
    </row>
    <row r="18" spans="1:17">
      <c r="A18" t="s">
        <v>33</v>
      </c>
      <c r="B18" t="s">
        <v>185</v>
      </c>
      <c r="C18" t="s">
        <v>173</v>
      </c>
      <c r="D18" t="s">
        <v>166</v>
      </c>
      <c r="E18" s="4">
        <v>3171960</v>
      </c>
      <c r="F18" s="4">
        <v>2883672</v>
      </c>
      <c r="G18" s="4">
        <v>2864664</v>
      </c>
      <c r="H18" s="4">
        <v>3278088</v>
      </c>
      <c r="I18" s="4">
        <v>3436488</v>
      </c>
      <c r="J18" s="4">
        <v>3306600</v>
      </c>
      <c r="K18" s="4">
        <v>3038904</v>
      </c>
      <c r="L18" s="4">
        <v>2892384</v>
      </c>
      <c r="M18" s="4">
        <v>2919312</v>
      </c>
      <c r="N18" s="4">
        <v>3175128</v>
      </c>
      <c r="O18" s="4">
        <v>3769128</v>
      </c>
      <c r="P18" s="4">
        <v>3686760</v>
      </c>
      <c r="Q18" s="4">
        <f t="shared" si="0"/>
        <v>38423088</v>
      </c>
    </row>
    <row r="19" spans="1:17">
      <c r="A19" t="s">
        <v>33</v>
      </c>
      <c r="B19" t="s">
        <v>185</v>
      </c>
      <c r="C19" t="s">
        <v>174</v>
      </c>
      <c r="D19" t="s">
        <v>166</v>
      </c>
      <c r="E19" s="4">
        <v>2341152</v>
      </c>
      <c r="F19" s="4">
        <v>2442528</v>
      </c>
      <c r="G19" s="4">
        <v>2147112</v>
      </c>
      <c r="H19" s="4">
        <v>2002968</v>
      </c>
      <c r="I19" s="4">
        <v>1980792</v>
      </c>
      <c r="J19" s="4">
        <v>2033064</v>
      </c>
      <c r="K19" s="4">
        <v>2029104</v>
      </c>
      <c r="L19" s="4">
        <v>2518560</v>
      </c>
      <c r="M19" s="4">
        <v>1999800</v>
      </c>
      <c r="N19" s="4">
        <v>2015640</v>
      </c>
      <c r="O19" s="4">
        <v>2391840</v>
      </c>
      <c r="P19" s="4">
        <v>2642904</v>
      </c>
      <c r="Q19" s="4">
        <f t="shared" si="0"/>
        <v>26545464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abSelected="1" workbookViewId="0">
      <selection activeCell="E21" sqref="E21"/>
    </sheetView>
  </sheetViews>
  <sheetFormatPr baseColWidth="10" defaultColWidth="8.83203125" defaultRowHeight="15"/>
  <cols>
    <col min="1" max="1" width="26" customWidth="1"/>
    <col min="2" max="2" width="4.6640625" customWidth="1"/>
    <col min="3" max="3" width="31.83203125" customWidth="1"/>
    <col min="4" max="14" width="11.1640625" customWidth="1"/>
    <col min="15" max="15" width="12.1640625" customWidth="1"/>
  </cols>
  <sheetData>
    <row r="1" spans="1:15" ht="32">
      <c r="A1" s="1" t="s">
        <v>162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</row>
    <row r="2" spans="1:15">
      <c r="A2" t="s">
        <v>175</v>
      </c>
      <c r="B2" t="s">
        <v>166</v>
      </c>
      <c r="C2" s="4">
        <f>SUMIF(Exportations!$E$10:$E$80,"Chiffre d'affaires MGA",Exportations!$G$10:$G$80)</f>
        <v>1543024260</v>
      </c>
      <c r="D2" s="4">
        <f>SUMIF(Exportations!$E$10:$E$80,"Chiffre d'affaires MGA",Exportations!$H$10:$H$80)</f>
        <v>1544169225</v>
      </c>
      <c r="E2" s="4">
        <f>SUMIF(Exportations!$E$10:$E$80,"Chiffre d'affaires MGA",Exportations!$I$10:$I$80)</f>
        <v>1521790195</v>
      </c>
      <c r="F2" s="4">
        <f>SUMIF(Exportations!$E$10:$E$80,"Chiffre d'affaires MGA",Exportations!$J$10:$J$80)</f>
        <v>1368635310</v>
      </c>
      <c r="G2" s="4">
        <f>SUMIF(Exportations!$E$10:$E$80,"Chiffre d'affaires MGA",Exportations!$K$10:$K$80)</f>
        <v>1498616165</v>
      </c>
      <c r="H2" s="4">
        <f>SUMIF(Exportations!$E$10:$E$80,"Chiffre d'affaires MGA",Exportations!$L$10:$L$80)</f>
        <v>1475664825</v>
      </c>
      <c r="I2" s="4">
        <f>SUMIF(Exportations!$E$10:$E$80,"Chiffre d'affaires MGA",Exportations!$M$10:$M$80)</f>
        <v>1470114230</v>
      </c>
      <c r="J2" s="4">
        <f>SUMIF(Exportations!$E$10:$E$80,"Chiffre d'affaires MGA",Exportations!$N$10:$N$80)</f>
        <v>1547565170</v>
      </c>
      <c r="K2" s="4">
        <f>SUMIF(Exportations!$E$10:$E$80,"Chiffre d'affaires MGA",Exportations!$O$10:$O$80)</f>
        <v>1402795470</v>
      </c>
      <c r="L2" s="4">
        <f>SUMIF(Exportations!$E$10:$E$80,"Chiffre d'affaires MGA",Exportations!$P$10:$P$80)</f>
        <v>1507107880</v>
      </c>
      <c r="M2" s="4">
        <f>SUMIF(Exportations!$E$10:$E$80,"Chiffre d'affaires MGA",Exportations!$Q$10:$Q$80)</f>
        <v>1328053180</v>
      </c>
      <c r="N2" s="4">
        <f>SUMIF(Exportations!$E$10:$E$80,"Chiffre d'affaires MGA",Exportations!$R$10:$R$80)</f>
        <v>1530210930</v>
      </c>
      <c r="O2" s="4">
        <f>SUM(C2:N2)</f>
        <v>17737746840</v>
      </c>
    </row>
    <row r="3" spans="1:15">
      <c r="A3" t="s">
        <v>176</v>
      </c>
      <c r="B3" t="s">
        <v>166</v>
      </c>
      <c r="C3" s="4">
        <f>SUMIF(Charges!$A$2:$A$27,"PRODUCTION",Charges!$E$2:$E$27)+SUMIF(Charges!$A$2:$A$27,"ADMINISTRATION",Charges!$E$2:$E$27)-SUMIF(Charges!$B$2:$B$27,"Salaires administratifs",Charges!$E$2:$E$27)+SUMIF(Charges!$A$2:$A$27,"LOGISTIQUE",Charges!$E$2:$E$27)+SUMIF(Charges!$A$2:$A$27,"SECURITE",Charges!$E$2:$E$27)+SUMIF(Charges!$A$2:$A$27,"FISCAL",Charges!$E$2:$E$27)+C5+Charges!E27</f>
        <v>693990390</v>
      </c>
      <c r="D3" s="4">
        <f>SUMIF(Charges!$A$2:$A$27,"PRODUCTION",Charges!$F$2:$F$27)+SUMIF(Charges!$A$2:$A$27,"ADMINISTRATION",Charges!$F$2:$F$27)-SUMIF(Charges!$B$2:$B$27,"Salaires administratifs",Charges!$F$2:$F$27)+SUMIF(Charges!$A$2:$A$27,"LOGISTIQUE",Charges!$F$2:$F$27)+SUMIF(Charges!$A$2:$A$27,"SECURITE",Charges!$F$2:$F$27)+SUMIF(Charges!$A$2:$A$27,"FISCAL",Charges!$F$2:$F$27)+D5+Charges!F27</f>
        <v>705968950</v>
      </c>
      <c r="E3" s="4">
        <f>SUMIF(Charges!$A$2:$A$27,"PRODUCTION",Charges!$G$2:$G$27)+SUMIF(Charges!$A$2:$A$27,"ADMINISTRATION",Charges!$G$2:$G$27)-SUMIF(Charges!$B$2:$B$27,"Salaires administratifs",Charges!$G$2:$G$27)+SUMIF(Charges!$A$2:$A$27,"LOGISTIQUE",Charges!$G$2:$G$27)+SUMIF(Charges!$A$2:$A$27,"SECURITE",Charges!$G$2:$G$27)+SUMIF(Charges!$A$2:$A$27,"FISCAL",Charges!$G$2:$G$27)+E5+Charges!G27</f>
        <v>718913750</v>
      </c>
      <c r="F3" s="4">
        <f>SUMIF(Charges!$A$2:$A$27,"PRODUCTION",Charges!$H$2:$H$27)+SUMIF(Charges!$A$2:$A$27,"ADMINISTRATION",Charges!$H$2:$H$27)-SUMIF(Charges!$B$2:$B$27,"Salaires administratifs",Charges!$H$2:$H$27)+SUMIF(Charges!$A$2:$A$27,"LOGISTIQUE",Charges!$H$2:$H$27)+SUMIF(Charges!$A$2:$A$27,"SECURITE",Charges!$H$2:$H$27)+SUMIF(Charges!$A$2:$A$27,"FISCAL",Charges!$H$2:$H$27)+F5+Charges!H27</f>
        <v>681970470</v>
      </c>
      <c r="G3" s="4">
        <f>SUMIF(Charges!$A$2:$A$27,"PRODUCTION",Charges!$I$2:$I$27)+SUMIF(Charges!$A$2:$A$27,"ADMINISTRATION",Charges!$I$2:$I$27)-SUMIF(Charges!$B$2:$B$27,"Salaires administratifs",Charges!$I$2:$I$27)+SUMIF(Charges!$A$2:$A$27,"LOGISTIQUE",Charges!$I$2:$I$27)+SUMIF(Charges!$A$2:$A$27,"SECURITE",Charges!$I$2:$I$27)+SUMIF(Charges!$A$2:$A$27,"FISCAL",Charges!$I$2:$I$27)+G5+Charges!I27</f>
        <v>717105350</v>
      </c>
      <c r="H3" s="4">
        <f>SUMIF(Charges!$A$2:$A$27,"PRODUCTION",Charges!$J$2:$J$27)+SUMIF(Charges!$A$2:$A$27,"ADMINISTRATION",Charges!$J$2:$J$27)-SUMIF(Charges!$B$2:$B$27,"Salaires administratifs",Charges!$J$2:$J$27)+SUMIF(Charges!$A$2:$A$27,"LOGISTIQUE",Charges!$J$2:$J$27)+SUMIF(Charges!$A$2:$A$27,"SECURITE",Charges!$J$2:$J$27)+SUMIF(Charges!$A$2:$A$27,"FISCAL",Charges!$J$2:$J$27)+H5+Charges!J27</f>
        <v>686503350</v>
      </c>
      <c r="I3" s="4">
        <f>SUMIF(Charges!$A$2:$A$27,"PRODUCTION",Charges!$K$2:$K$27)+SUMIF(Charges!$A$2:$A$27,"ADMINISTRATION",Charges!$K$2:$K$27)-SUMIF(Charges!$B$2:$B$27,"Salaires administratifs",Charges!$K$2:$K$27)+SUMIF(Charges!$A$2:$A$27,"LOGISTIQUE",Charges!$K$2:$K$27)+SUMIF(Charges!$A$2:$A$27,"SECURITE",Charges!$K$2:$K$27)+SUMIF(Charges!$A$2:$A$27,"FISCAL",Charges!$K$2:$K$27)+I5+Charges!K27</f>
        <v>693069030</v>
      </c>
      <c r="J3" s="4">
        <f>SUMIF(Charges!$A$2:$A$27,"PRODUCTION",Charges!$L$2:$L$27)+SUMIF(Charges!$A$2:$A$27,"ADMINISTRATION",Charges!$L$2:$L$27)-SUMIF(Charges!$B$2:$B$27,"Salaires administratifs",Charges!$L$2:$L$27)+SUMIF(Charges!$A$2:$A$27,"LOGISTIQUE",Charges!$L$2:$L$27)+SUMIF(Charges!$A$2:$A$27,"SECURITE",Charges!$L$2:$L$27)+SUMIF(Charges!$A$2:$A$27,"FISCAL",Charges!$L$2:$L$27)+J5+Charges!L27</f>
        <v>697636230</v>
      </c>
      <c r="K3" s="4">
        <f>SUMIF(Charges!$A$2:$A$27,"PRODUCTION",Charges!$M$2:$M$27)+SUMIF(Charges!$A$2:$A$27,"ADMINISTRATION",Charges!$M$2:$M$27)-SUMIF(Charges!$B$2:$B$27,"Salaires administratifs",Charges!$M$2:$M$27)+SUMIF(Charges!$A$2:$A$27,"LOGISTIQUE",Charges!$M$2:$M$27)+SUMIF(Charges!$A$2:$A$27,"SECURITE",Charges!$M$2:$M$27)+SUMIF(Charges!$A$2:$A$27,"FISCAL",Charges!$M$2:$M$27)+K5+Charges!M27</f>
        <v>673140550</v>
      </c>
      <c r="L3" s="4">
        <f>SUMIF(Charges!$A$2:$A$27,"PRODUCTION",Charges!$N$2:$N$27)+SUMIF(Charges!$A$2:$A$27,"ADMINISTRATION",Charges!$N$2:$N$27)-SUMIF(Charges!$B$2:$B$27,"Salaires administratifs",Charges!$N$2:$N$27)+SUMIF(Charges!$A$2:$A$27,"LOGISTIQUE",Charges!$N$2:$N$27)+SUMIF(Charges!$A$2:$A$27,"SECURITE",Charges!$N$2:$N$27)+SUMIF(Charges!$A$2:$A$27,"FISCAL",Charges!$N$2:$N$27)+L5+Charges!N27</f>
        <v>685864470</v>
      </c>
      <c r="M3" s="4">
        <f>SUMIF(Charges!$A$2:$A$27,"PRODUCTION",Charges!$O$2:$O$27)+SUMIF(Charges!$A$2:$A$27,"ADMINISTRATION",Charges!$O$2:$O$27)-SUMIF(Charges!$B$2:$B$27,"Salaires administratifs",Charges!$O$2:$O$27)+SUMIF(Charges!$A$2:$A$27,"LOGISTIQUE",Charges!$O$2:$O$27)+SUMIF(Charges!$A$2:$A$27,"SECURITE",Charges!$O$2:$O$27)+SUMIF(Charges!$A$2:$A$27,"FISCAL",Charges!$O$2:$O$27)+M5+Charges!O27</f>
        <v>707093590</v>
      </c>
      <c r="N3" s="4">
        <f>SUMIF(Charges!$A$2:$A$27,"PRODUCTION",Charges!$P$2:$P$27)+SUMIF(Charges!$A$2:$A$27,"ADMINISTRATION",Charges!$P$2:$P$27)-SUMIF(Charges!$B$2:$B$27,"Salaires administratifs",Charges!$P$2:$P$27)+SUMIF(Charges!$A$2:$A$27,"LOGISTIQUE",Charges!$P$2:$P$27)+SUMIF(Charges!$A$2:$A$27,"SECURITE",Charges!$P$2:$P$27)+SUMIF(Charges!$A$2:$A$27,"FISCAL",Charges!$P$2:$P$27)+N5+Charges!P27</f>
        <v>701156230</v>
      </c>
      <c r="O3" s="4">
        <f>SUM(C3:N3)</f>
        <v>8362412360</v>
      </c>
    </row>
    <row r="4" spans="1:15">
      <c r="A4" t="s">
        <v>177</v>
      </c>
      <c r="B4" t="s">
        <v>166</v>
      </c>
      <c r="C4" s="4">
        <f>SUM('Frais Export'!E2:E50)</f>
        <v>192497976</v>
      </c>
      <c r="D4" s="4">
        <f>SUM('Frais Export'!F2:F50)</f>
        <v>208232640</v>
      </c>
      <c r="E4" s="4">
        <f>SUM('Frais Export'!G2:G50)</f>
        <v>214482312</v>
      </c>
      <c r="F4" s="4">
        <f>SUM('Frais Export'!H2:H50)</f>
        <v>192421152</v>
      </c>
      <c r="G4" s="4">
        <f>SUM('Frais Export'!I2:I50)</f>
        <v>206121960</v>
      </c>
      <c r="H4" s="4">
        <f>SUM('Frais Export'!J2:J50)</f>
        <v>203839416</v>
      </c>
      <c r="I4" s="4">
        <f>SUM('Frais Export'!K2:K50)</f>
        <v>198722304</v>
      </c>
      <c r="J4" s="4">
        <f>SUM('Frais Export'!L2:L50)</f>
        <v>209057904</v>
      </c>
      <c r="K4" s="4">
        <f>SUM('Frais Export'!M2:M50)</f>
        <v>204981480</v>
      </c>
      <c r="L4" s="4">
        <f>SUM('Frais Export'!N2:N50)</f>
        <v>213310944</v>
      </c>
      <c r="M4" s="4">
        <f>SUM('Frais Export'!O2:O50)</f>
        <v>201205224</v>
      </c>
      <c r="N4" s="4">
        <f>SUM('Frais Export'!P2:P50)</f>
        <v>213143832</v>
      </c>
      <c r="O4" s="4">
        <f>SUM(C4:N4)</f>
        <v>2458017144</v>
      </c>
    </row>
    <row r="5" spans="1:15">
      <c r="A5" t="s">
        <v>178</v>
      </c>
      <c r="B5" t="s">
        <v>166</v>
      </c>
      <c r="C5" s="4">
        <f>SUM(Employes!$I$2:$I$100)</f>
        <v>283495030</v>
      </c>
      <c r="D5" s="4">
        <f>SUM(Employes!$I$2:$I$100)</f>
        <v>283495030</v>
      </c>
      <c r="E5" s="4">
        <f>SUM(Employes!$I$2:$I$100)</f>
        <v>283495030</v>
      </c>
      <c r="F5" s="4">
        <f>SUM(Employes!$I$2:$I$100)</f>
        <v>283495030</v>
      </c>
      <c r="G5" s="4">
        <f>SUM(Employes!$I$2:$I$100)</f>
        <v>283495030</v>
      </c>
      <c r="H5" s="4">
        <f>SUM(Employes!$I$2:$I$100)</f>
        <v>283495030</v>
      </c>
      <c r="I5" s="4">
        <f>SUM(Employes!$I$2:$I$100)</f>
        <v>283495030</v>
      </c>
      <c r="J5" s="4">
        <f>SUM(Employes!$I$2:$I$100)</f>
        <v>283495030</v>
      </c>
      <c r="K5" s="4">
        <f>SUM(Employes!$I$2:$I$100)</f>
        <v>283495030</v>
      </c>
      <c r="L5" s="4">
        <f>SUM(Employes!$I$2:$I$100)</f>
        <v>283495030</v>
      </c>
      <c r="M5" s="4">
        <f>SUM(Employes!$I$2:$I$100)</f>
        <v>283495030</v>
      </c>
      <c r="N5" s="4">
        <f>SUM(Employes!$I$2:$I$100)</f>
        <v>283495030</v>
      </c>
      <c r="O5" s="4">
        <f>SUM(C5:N5)</f>
        <v>3401940360</v>
      </c>
    </row>
    <row r="6" spans="1:15">
      <c r="A6" t="s">
        <v>179</v>
      </c>
      <c r="B6" t="s">
        <v>166</v>
      </c>
      <c r="C6" s="4">
        <f t="shared" ref="C6:N6" si="0">C2-C3-C4</f>
        <v>656535894</v>
      </c>
      <c r="D6" s="4">
        <f t="shared" si="0"/>
        <v>629967635</v>
      </c>
      <c r="E6" s="4">
        <f t="shared" si="0"/>
        <v>588394133</v>
      </c>
      <c r="F6" s="4">
        <f t="shared" si="0"/>
        <v>494243688</v>
      </c>
      <c r="G6" s="4">
        <f t="shared" si="0"/>
        <v>575388855</v>
      </c>
      <c r="H6" s="4">
        <f t="shared" si="0"/>
        <v>585322059</v>
      </c>
      <c r="I6" s="4">
        <f t="shared" si="0"/>
        <v>578322896</v>
      </c>
      <c r="J6" s="4">
        <f t="shared" si="0"/>
        <v>640871036</v>
      </c>
      <c r="K6" s="4">
        <f t="shared" si="0"/>
        <v>524673440</v>
      </c>
      <c r="L6" s="4">
        <f t="shared" si="0"/>
        <v>607932466</v>
      </c>
      <c r="M6" s="4">
        <f t="shared" si="0"/>
        <v>419754366</v>
      </c>
      <c r="N6" s="4">
        <f t="shared" si="0"/>
        <v>615910868</v>
      </c>
      <c r="O6" s="4">
        <f>SUM(C6:N6)</f>
        <v>6917317336</v>
      </c>
    </row>
    <row r="7" spans="1:15">
      <c r="A7" t="s">
        <v>180</v>
      </c>
      <c r="B7" t="s">
        <v>8</v>
      </c>
      <c r="C7" s="6">
        <f t="shared" ref="C7:O7" si="1">IFERROR(C6/C2,0)</f>
        <v>0.42548643661636271</v>
      </c>
      <c r="D7" s="6">
        <f t="shared" si="1"/>
        <v>0.40796541259912755</v>
      </c>
      <c r="E7" s="6">
        <f t="shared" si="1"/>
        <v>0.38664602711545265</v>
      </c>
      <c r="F7" s="6">
        <f t="shared" si="1"/>
        <v>0.36112153792086515</v>
      </c>
      <c r="G7" s="6">
        <f t="shared" si="1"/>
        <v>0.3839467826639919</v>
      </c>
      <c r="H7" s="6">
        <f t="shared" si="1"/>
        <v>0.39664973311266671</v>
      </c>
      <c r="I7" s="6">
        <f t="shared" si="1"/>
        <v>0.39338636698999913</v>
      </c>
      <c r="J7" s="6">
        <f t="shared" si="1"/>
        <v>0.41411570150548166</v>
      </c>
      <c r="K7" s="6">
        <f t="shared" si="1"/>
        <v>0.3740199132522149</v>
      </c>
      <c r="L7" s="6">
        <f t="shared" si="1"/>
        <v>0.40337687438804976</v>
      </c>
      <c r="M7" s="6">
        <f t="shared" si="1"/>
        <v>0.31606743790184666</v>
      </c>
      <c r="N7" s="6">
        <f t="shared" si="1"/>
        <v>0.40250063303364325</v>
      </c>
      <c r="O7" s="6">
        <f t="shared" si="1"/>
        <v>0.38997722756990255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2026-10-11T12:28:43Z</dcterms:modified>
</cp:coreProperties>
</file>