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ac/Documents/DIX Y/SOMIDA/"/>
    </mc:Choice>
  </mc:AlternateContent>
  <xr:revisionPtr revIDLastSave="0" documentId="13_ncr:1_{D48688D3-F15F-8044-A073-7D39B568F3CF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Donnees SOMIDA" sheetId="1" r:id="rId1"/>
    <sheet name="Employes" sheetId="2" r:id="rId2"/>
    <sheet name="Production" sheetId="3" r:id="rId3"/>
    <sheet name="Charges" sheetId="4" r:id="rId4"/>
    <sheet name="Exportations" sheetId="5" r:id="rId5"/>
    <sheet name="Frais Export" sheetId="6" r:id="rId6"/>
    <sheet name="Synthe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7" l="1"/>
  <c r="M2" i="7"/>
  <c r="L2" i="7"/>
  <c r="K2" i="7"/>
  <c r="J2" i="7"/>
  <c r="I2" i="7"/>
  <c r="H2" i="7"/>
  <c r="G2" i="7"/>
  <c r="F2" i="7"/>
  <c r="E2" i="7"/>
  <c r="D2" i="7"/>
  <c r="C2" i="7"/>
  <c r="N5" i="7"/>
  <c r="M5" i="7"/>
  <c r="L5" i="7"/>
  <c r="K5" i="7"/>
  <c r="J5" i="7"/>
  <c r="I5" i="7"/>
  <c r="H5" i="7"/>
  <c r="G5" i="7"/>
  <c r="F5" i="7"/>
  <c r="E5" i="7"/>
  <c r="D5" i="7"/>
  <c r="C5" i="7"/>
  <c r="O5" i="7" s="1"/>
  <c r="N4" i="7"/>
  <c r="M4" i="7"/>
  <c r="L4" i="7"/>
  <c r="K4" i="7"/>
  <c r="J4" i="7"/>
  <c r="I4" i="7"/>
  <c r="H4" i="7"/>
  <c r="G4" i="7"/>
  <c r="F4" i="7"/>
  <c r="E4" i="7"/>
  <c r="D4" i="7"/>
  <c r="O4" i="7" s="1"/>
  <c r="C4" i="7"/>
  <c r="N3" i="7"/>
  <c r="M3" i="7"/>
  <c r="L3" i="7"/>
  <c r="K3" i="7"/>
  <c r="J3" i="7"/>
  <c r="I3" i="7"/>
  <c r="H3" i="7"/>
  <c r="G3" i="7"/>
  <c r="F3" i="7"/>
  <c r="E3" i="7"/>
  <c r="D3" i="7"/>
  <c r="C3" i="7"/>
  <c r="M5" i="5"/>
  <c r="J5" i="5"/>
  <c r="G5" i="5"/>
  <c r="D5" i="5"/>
  <c r="A5" i="5"/>
  <c r="N6" i="7" l="1"/>
  <c r="N7" i="7" s="1"/>
  <c r="M6" i="7"/>
  <c r="M7" i="7" s="1"/>
  <c r="L6" i="7"/>
  <c r="L7" i="7" s="1"/>
  <c r="F6" i="7"/>
  <c r="F7" i="7" s="1"/>
  <c r="O3" i="7"/>
  <c r="K6" i="7"/>
  <c r="K7" i="7" s="1"/>
  <c r="J6" i="7"/>
  <c r="J7" i="7" s="1"/>
  <c r="I6" i="7"/>
  <c r="I7" i="7" s="1"/>
  <c r="H6" i="7"/>
  <c r="H7" i="7" s="1"/>
  <c r="G6" i="7"/>
  <c r="G7" i="7" s="1"/>
  <c r="E6" i="7"/>
  <c r="E7" i="7" s="1"/>
  <c r="D6" i="7"/>
  <c r="D7" i="7" s="1"/>
  <c r="C6" i="7"/>
  <c r="O2" i="7"/>
  <c r="O6" i="7" l="1"/>
  <c r="O7" i="7" s="1"/>
  <c r="C7" i="7"/>
</calcChain>
</file>

<file path=xl/sharedStrings.xml><?xml version="1.0" encoding="utf-8"?>
<sst xmlns="http://schemas.openxmlformats.org/spreadsheetml/2006/main" count="946" uniqueCount="220">
  <si>
    <t>DONNEES SOMIDA - PARAMETRES ET REFERENTIELS</t>
  </si>
  <si>
    <t>Paramètre</t>
  </si>
  <si>
    <t>Valeur</t>
  </si>
  <si>
    <t>Unité / devise</t>
  </si>
  <si>
    <t>Commentaire</t>
  </si>
  <si>
    <t>Exercice</t>
  </si>
  <si>
    <t>année</t>
  </si>
  <si>
    <t>Exercice budgétaire</t>
  </si>
  <si>
    <t>Inflation annuelle</t>
  </si>
  <si>
    <t>%</t>
  </si>
  <si>
    <t>Hypothèse budgétaire</t>
  </si>
  <si>
    <t>Taux USD/MGA</t>
  </si>
  <si>
    <t>MGA/USD</t>
  </si>
  <si>
    <t>Hypothèse de change</t>
  </si>
  <si>
    <t>Taux JPY/MGA</t>
  </si>
  <si>
    <t>MGA/JPY</t>
  </si>
  <si>
    <t>Augmentation salariale</t>
  </si>
  <si>
    <t>Hypothèse RH</t>
  </si>
  <si>
    <t>TVA</t>
  </si>
  <si>
    <t>Paramètre fiscal</t>
  </si>
  <si>
    <t>Site principal</t>
  </si>
  <si>
    <t>FORT DAUPHIN</t>
  </si>
  <si>
    <t>Administration / export</t>
  </si>
  <si>
    <t>Site production</t>
  </si>
  <si>
    <t>AMPANDRANDAVA</t>
  </si>
  <si>
    <t>Production</t>
  </si>
  <si>
    <t>MARCHES EXPORT</t>
  </si>
  <si>
    <t>Pays</t>
  </si>
  <si>
    <t>Entité représentatrice</t>
  </si>
  <si>
    <t>Devise</t>
  </si>
  <si>
    <t>Observation</t>
  </si>
  <si>
    <t>Japon</t>
  </si>
  <si>
    <t>GOODEIS</t>
  </si>
  <si>
    <t>JPY</t>
  </si>
  <si>
    <t>Relation export issue de la correction utilisateur</t>
  </si>
  <si>
    <t>Russie</t>
  </si>
  <si>
    <t>ELINAR</t>
  </si>
  <si>
    <t>USD</t>
  </si>
  <si>
    <t>Chine</t>
  </si>
  <si>
    <t>REPRESENTANT CHINE - A VALIDER</t>
  </si>
  <si>
    <t>Nom exact à confirmer depuis Données SOMIDA</t>
  </si>
  <si>
    <t>Matricule</t>
  </si>
  <si>
    <t>Nom simulé</t>
  </si>
  <si>
    <t>Site</t>
  </si>
  <si>
    <t>Département</t>
  </si>
  <si>
    <t>Poste</t>
  </si>
  <si>
    <t>Salaire base mensuel (MGA)</t>
  </si>
  <si>
    <t>Prime mensuelle (MGA)</t>
  </si>
  <si>
    <t>Charges patronales (MGA)</t>
  </si>
  <si>
    <t>Coût mensuel total (MGA)</t>
  </si>
  <si>
    <t>Statut</t>
  </si>
  <si>
    <t>EMP-001</t>
  </si>
  <si>
    <t>RABE Hery</t>
  </si>
  <si>
    <t>TRANOMARO</t>
  </si>
  <si>
    <t>Direction</t>
  </si>
  <si>
    <t>Directeur Général</t>
  </si>
  <si>
    <t>Actif</t>
  </si>
  <si>
    <t>EMP-002</t>
  </si>
  <si>
    <t>RAKOTO Miora</t>
  </si>
  <si>
    <t>DAF</t>
  </si>
  <si>
    <t>EMP-003</t>
  </si>
  <si>
    <t>ANDRIA Fanja</t>
  </si>
  <si>
    <t>Finance</t>
  </si>
  <si>
    <t>Chef comptable</t>
  </si>
  <si>
    <t>EMP-004</t>
  </si>
  <si>
    <t>RAZAFY Toky</t>
  </si>
  <si>
    <t>Comptable</t>
  </si>
  <si>
    <t>EMP-005</t>
  </si>
  <si>
    <t>RANDRIA Nirina</t>
  </si>
  <si>
    <t>Assistant comptable</t>
  </si>
  <si>
    <t>EMP-006</t>
  </si>
  <si>
    <t>RATSIM Lova</t>
  </si>
  <si>
    <t>RH</t>
  </si>
  <si>
    <t>Responsable RH</t>
  </si>
  <si>
    <t>EMP-007</t>
  </si>
  <si>
    <t>RAJAO Aina</t>
  </si>
  <si>
    <t>Commercial</t>
  </si>
  <si>
    <t>Responsable commercial export</t>
  </si>
  <si>
    <t>EMP-008</t>
  </si>
  <si>
    <t>RAMAN Tiana</t>
  </si>
  <si>
    <t>Agent export</t>
  </si>
  <si>
    <t>EMP-009</t>
  </si>
  <si>
    <t>RAKOTON Zo</t>
  </si>
  <si>
    <t>Responsable production</t>
  </si>
  <si>
    <t>EMP-010</t>
  </si>
  <si>
    <t>RAZAN Mamy</t>
  </si>
  <si>
    <t>Chef d'atelier</t>
  </si>
  <si>
    <t>EMP-011</t>
  </si>
  <si>
    <t>Contrôleur qualité</t>
  </si>
  <si>
    <t>EMP-012</t>
  </si>
  <si>
    <t>Opérateur traitement</t>
  </si>
  <si>
    <t>EMP-013</t>
  </si>
  <si>
    <t>Coupeuse / trieuse</t>
  </si>
  <si>
    <t>EMP-014</t>
  </si>
  <si>
    <t>Logistique</t>
  </si>
  <si>
    <t>Responsable logistique</t>
  </si>
  <si>
    <t>EMP-015</t>
  </si>
  <si>
    <t>Magasinier</t>
  </si>
  <si>
    <t>EMP-016</t>
  </si>
  <si>
    <t>Maintenance</t>
  </si>
  <si>
    <t>Technicien maintenance</t>
  </si>
  <si>
    <t>EMP-017</t>
  </si>
  <si>
    <t>AMBOASARY</t>
  </si>
  <si>
    <t>Sécurité</t>
  </si>
  <si>
    <t>Agent de sécurité</t>
  </si>
  <si>
    <t>EMP-018</t>
  </si>
  <si>
    <t>Administration</t>
  </si>
  <si>
    <t>Assistant administratif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</si>
  <si>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</si>
  <si>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</si>
  <si>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</si>
  <si>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</si>
  <si>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</si>
  <si>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</si>
  <si>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</si>
  <si>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</si>
  <si>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</si>
  <si>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</si>
  <si>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</si>
  <si>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</si>
  <si>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</si>
  <si>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</si>
  <si>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</si>
  <si>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</si>
  <si>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</si>
  <si>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</si>
  <si>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</si>
  <si>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</si>
  <si>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</si>
  <si>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</si>
  <si>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</si>
  <si>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</si>
  <si>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</si>
  <si>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</si>
  <si>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</si>
  <si>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</si>
  <si>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</si>
  <si>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</si>
  <si>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</si>
  <si>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</si>
  <si>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</si>
  <si>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</si>
  <si>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</si>
  <si>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EMP-054</t>
  </si>
  <si>
    <t>EMP-055</t>
  </si>
  <si>
    <t>EMP-056</t>
  </si>
  <si>
    <t>EMP-057</t>
  </si>
  <si>
    <t>EMP-058</t>
  </si>
  <si>
    <t>EMP-059</t>
  </si>
  <si>
    <t>EMP-060</t>
  </si>
  <si>
    <t>Produit</t>
  </si>
  <si>
    <t>Unité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</si>
  <si>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</si>
  <si>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</si>
  <si>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</si>
  <si>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</si>
  <si>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</si>
  <si>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</si>
  <si>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</si>
  <si>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</si>
  <si>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</si>
  <si>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</si>
  <si>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</si>
  <si>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</si>
  <si>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</si>
  <si>
    <t>ABR COUPE</t>
  </si>
  <si>
    <t>tonnes</t>
  </si>
  <si>
    <t>FP1 COUPE</t>
  </si>
  <si>
    <t>FP2 COUPE</t>
  </si>
  <si>
    <t>TRA</t>
  </si>
  <si>
    <t>BSA</t>
  </si>
  <si>
    <t>Catégorie</t>
  </si>
  <si>
    <t>Nature</t>
  </si>
  <si>
    <t>PRODUCTION</t>
  </si>
  <si>
    <t>Matières et consommables</t>
  </si>
  <si>
    <t>MGA</t>
  </si>
  <si>
    <t>Énergie / électricité</t>
  </si>
  <si>
    <t>Traitement mica</t>
  </si>
  <si>
    <t>Maintenance équipements</t>
  </si>
  <si>
    <t>Emballages</t>
  </si>
  <si>
    <t>ADMINISTRATION</t>
  </si>
  <si>
    <t>Télécommunications / Internet</t>
  </si>
  <si>
    <t>Assurances</t>
  </si>
  <si>
    <t>Honoraires et conseil</t>
  </si>
  <si>
    <t>LOGISTIQUE</t>
  </si>
  <si>
    <t>Transport interne</t>
  </si>
  <si>
    <t>Magasinage / manutention</t>
  </si>
  <si>
    <t>FISCAL</t>
  </si>
  <si>
    <t>Impôts et taxes</t>
  </si>
  <si>
    <t>FINANCE</t>
  </si>
  <si>
    <t>Frais bancaires</t>
  </si>
  <si>
    <t>SECURITE</t>
  </si>
  <si>
    <t>Gardiennage / sécurité</t>
  </si>
  <si>
    <t>SOMIDA — TABLEAU DE BORD DES EXPORTATIONS 2026</t>
  </si>
  <si>
    <t>Pilotage DAF • Japon / Russie / Chine • Suivi mensuel des volumes, devises et chiffre d’affaires</t>
  </si>
  <si>
    <t>VOLUME EXPORTÉ (t)</t>
  </si>
  <si>
    <t>CA EXPORT (MGA)</t>
  </si>
  <si>
    <t>CA JAPON (MGA)</t>
  </si>
  <si>
    <t>CA RUSSIE (MGA)</t>
  </si>
  <si>
    <t>CA CHINE (MGA)</t>
  </si>
  <si>
    <t>MARCHÉS / DEVISES</t>
  </si>
  <si>
    <t>3 pays • JPY / USD</t>
  </si>
  <si>
    <t>DÉTAIL MENSUEL DES EXPORTATIONS PAR MARCHÉ, REPRÉSENTANT ET PRODUIT</t>
  </si>
  <si>
    <t>Indicateur</t>
  </si>
  <si>
    <t>Quantité exportée</t>
  </si>
  <si>
    <t>Chiffre d'affaires devise</t>
  </si>
  <si>
    <t>Chiffre d'affaires MGA</t>
  </si>
  <si>
    <t>Nature frais</t>
  </si>
  <si>
    <t>Transport local</t>
  </si>
  <si>
    <t>Transit &amp; documents</t>
  </si>
  <si>
    <t>Manutention portuaire</t>
  </si>
  <si>
    <t>Fret international</t>
  </si>
  <si>
    <t>Assurance transport</t>
  </si>
  <si>
    <t>Frais bancaires export</t>
  </si>
  <si>
    <t>CA export</t>
  </si>
  <si>
    <t>Charges exploitation</t>
  </si>
  <si>
    <t>Frais export</t>
  </si>
  <si>
    <t>Masse salariale</t>
  </si>
  <si>
    <t>Résultat opérationnel</t>
  </si>
  <si>
    <t>Marge opérationnelle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</si>
</sst>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;[Red]\(#,##0\);\-"/>
    <numFmt numFmtId="166" formatCode="#,##0.00;[Red]\(#,##0.00\);\-"/>
    <numFmt numFmtId="167" formatCode="0.0%;[Red]\(0.0%\);\-"/>
    <numFmt numFmtId="168" formatCode="#,##0.00\ &quot;t&quot;;[Red]\(#,##0.00\);\-"/>
  </numFmts>
  <fonts count="11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0"/>
      <color rgb="FF404040"/>
      <name val="Carlito"/>
    </font>
    <font>
      <b/>
      <sz val="9"/>
      <color rgb="FFFFFFFF"/>
      <name val="Carlito"/>
    </font>
    <font>
      <b/>
      <sz val="12"/>
      <color rgb="FF000000"/>
      <name val="Carlito"/>
    </font>
    <font>
      <b/>
      <sz val="10"/>
      <color rgb="FFFFFFFF"/>
      <name val="Carlito"/>
    </font>
    <font>
      <sz val="9"/>
      <name val="Carlito"/>
    </font>
    <font>
      <b/>
      <sz val="9"/>
      <name val="Carlito"/>
    </font>
    <font>
      <b/>
      <sz val="9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F9F9F9"/>
      </patternFill>
    </fill>
    <fill>
      <patternFill patternType="solid">
        <fgColor rgb="FFFFF9E8"/>
      </patternFill>
    </fill>
  </fills>
  <borders count="2">
    <border>
      <left/>
      <right/>
      <top/>
      <bottom/>
      <diagonal/>
    </border>
    <border>
      <left/>
      <right/>
      <top style="medium">
        <color rgb="FF17365D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7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166" fontId="5" fillId="7" borderId="0" xfId="0" applyNumberFormat="1" applyFont="1" applyFill="1" applyAlignment="1">
      <alignment horizontal="right" vertical="center" wrapText="1"/>
    </xf>
    <xf numFmtId="166" fontId="8" fillId="8" borderId="1" xfId="0" applyNumberFormat="1" applyFont="1" applyFill="1" applyBorder="1" applyAlignment="1">
      <alignment horizontal="right" vertical="center"/>
    </xf>
    <xf numFmtId="166" fontId="8" fillId="8" borderId="0" xfId="0" applyNumberFormat="1" applyFont="1" applyFill="1" applyAlignment="1">
      <alignment horizontal="right" vertical="center"/>
    </xf>
    <xf numFmtId="166" fontId="10" fillId="8" borderId="0" xfId="0" applyNumberFormat="1" applyFont="1" applyFill="1" applyAlignment="1">
      <alignment horizontal="right" vertical="center"/>
    </xf>
    <xf numFmtId="166" fontId="8" fillId="9" borderId="1" xfId="0" applyNumberFormat="1" applyFont="1" applyFill="1" applyBorder="1" applyAlignment="1">
      <alignment horizontal="right" vertical="center"/>
    </xf>
    <xf numFmtId="166" fontId="8" fillId="9" borderId="0" xfId="0" applyNumberFormat="1" applyFont="1" applyFill="1" applyAlignment="1">
      <alignment horizontal="right" vertical="center"/>
    </xf>
    <xf numFmtId="166" fontId="10" fillId="9" borderId="0" xfId="0" applyNumberFormat="1" applyFont="1" applyFill="1" applyAlignment="1">
      <alignment horizontal="right" vertical="center"/>
    </xf>
    <xf numFmtId="166" fontId="8" fillId="10" borderId="1" xfId="0" applyNumberFormat="1" applyFont="1" applyFill="1" applyBorder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166" fontId="10" fillId="10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166" fontId="6" fillId="6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/>
    </xf>
    <xf numFmtId="166" fontId="7" fillId="3" borderId="0" xfId="0" applyNumberFormat="1" applyFont="1" applyFill="1" applyAlignment="1">
      <alignment horizontal="left"/>
    </xf>
    <xf numFmtId="168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166" fontId="4" fillId="4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4" sqref="B4"/>
    </sheetView>
  </sheetViews>
  <sheetFormatPr baseColWidth="10" defaultColWidth="8.83203125" defaultRowHeight="14"/>
  <cols>
    <col min="1" max="1" width="28" customWidth="1"/>
    <col min="2" max="2" width="26.1640625" customWidth="1"/>
    <col min="3" max="3" width="11.1640625" customWidth="1"/>
    <col min="4" max="4" width="40" customWidth="1"/>
  </cols>
  <sheetData>
    <row r="1" spans="1:4" ht="15">
      <c r="A1" s="33" t="s">
        <v>0</v>
      </c>
      <c r="B1" s="33"/>
      <c r="C1" s="33"/>
      <c r="D1" s="33"/>
    </row>
    <row r="2" spans="1:4" ht="32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s="2">
        <v>2023</v>
      </c>
      <c r="C3" t="s">
        <v>6</v>
      </c>
      <c r="D3" t="s">
        <v>7</v>
      </c>
    </row>
    <row r="4" spans="1:4">
      <c r="A4" t="s">
        <v>8</v>
      </c>
      <c r="B4" s="3">
        <v>6.9000000000000006E-2</v>
      </c>
      <c r="C4" t="s">
        <v>9</v>
      </c>
      <c r="D4" t="s">
        <v>10</v>
      </c>
    </row>
    <row r="5" spans="1:4">
      <c r="A5" t="s">
        <v>11</v>
      </c>
      <c r="B5" s="2">
        <v>4670</v>
      </c>
      <c r="C5" t="s">
        <v>12</v>
      </c>
      <c r="D5" t="s">
        <v>13</v>
      </c>
    </row>
    <row r="6" spans="1:4">
      <c r="A6" t="s">
        <v>14</v>
      </c>
      <c r="B6" s="2">
        <v>31.9</v>
      </c>
      <c r="C6" t="s">
        <v>15</v>
      </c>
      <c r="D6" t="s">
        <v>13</v>
      </c>
    </row>
    <row r="7" spans="1:4">
      <c r="A7" t="s">
        <v>16</v>
      </c>
      <c r="B7" s="3">
        <v>0.08</v>
      </c>
      <c r="C7" t="s">
        <v>9</v>
      </c>
      <c r="D7" t="s">
        <v>17</v>
      </c>
    </row>
    <row r="8" spans="1:4">
      <c r="A8" t="s">
        <v>18</v>
      </c>
      <c r="B8" s="3">
        <v>0.2</v>
      </c>
      <c r="C8" t="s">
        <v>9</v>
      </c>
      <c r="D8" t="s">
        <v>19</v>
      </c>
    </row>
    <row r="9" spans="1:4">
      <c r="A9" t="s">
        <v>20</v>
      </c>
      <c r="B9" t="s">
        <v>21</v>
      </c>
      <c r="D9" t="s">
        <v>22</v>
      </c>
    </row>
    <row r="10" spans="1:4">
      <c r="A10" t="s">
        <v>23</v>
      </c>
      <c r="B10" t="s">
        <v>24</v>
      </c>
      <c r="D10" t="s">
        <v>25</v>
      </c>
    </row>
    <row r="12" spans="1:4" ht="16">
      <c r="A12" s="1" t="s">
        <v>26</v>
      </c>
      <c r="B12" s="1"/>
      <c r="C12" s="1"/>
      <c r="D12" s="1"/>
    </row>
    <row r="13" spans="1:4" ht="16">
      <c r="A13" s="1" t="s">
        <v>27</v>
      </c>
      <c r="B13" s="1" t="s">
        <v>28</v>
      </c>
      <c r="C13" s="1" t="s">
        <v>29</v>
      </c>
      <c r="D13" s="1" t="s">
        <v>30</v>
      </c>
    </row>
    <row r="14" spans="1:4">
      <c r="A14" t="s">
        <v>31</v>
      </c>
      <c r="B14" t="s">
        <v>32</v>
      </c>
      <c r="C14" t="s">
        <v>33</v>
      </c>
      <c r="D14" t="s">
        <v>34</v>
      </c>
    </row>
    <row r="15" spans="1:4">
      <c r="A15" t="s">
        <v>35</v>
      </c>
      <c r="B15" t="s">
        <v>36</v>
      </c>
      <c r="C15" t="s">
        <v>37</v>
      </c>
      <c r="D15" t="s">
        <v>34</v>
      </c>
    </row>
    <row r="16" spans="1:4">
      <c r="A16" t="s">
        <v>38</v>
      </c>
      <c r="B16" t="s">
        <v>39</v>
      </c>
      <c r="C16" t="s">
        <v>37</v>
      </c>
      <c r="D16" t="s">
        <v>40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/>
  </sheetViews>
  <sheetFormatPr baseColWidth="10" defaultColWidth="8.83203125" defaultRowHeight="14"/>
  <cols>
    <col min="1" max="1" width="7.83203125" customWidth="1"/>
    <col min="2" max="2" width="18" customWidth="1"/>
    <col min="3" max="3" width="14.6640625" customWidth="1"/>
    <col min="4" max="4" width="11.6640625" customWidth="1"/>
    <col min="5" max="5" width="26" customWidth="1"/>
    <col min="6" max="6" width="22" customWidth="1"/>
    <col min="7" max="7" width="18.6640625" customWidth="1"/>
    <col min="8" max="9" width="20.5" customWidth="1"/>
    <col min="10" max="10" width="5.1640625" customWidth="1"/>
  </cols>
  <sheetData>
    <row r="1" spans="1:10" ht="3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51</v>
      </c>
      <c r="B2" t="s">
        <v>52</v>
      </c>
      <c r="C2" t="s">
        <v>53</v>
      </c>
      <c r="D2" t="s">
        <v>54</v>
      </c>
      <c r="E2" t="s">
        <v>55</v>
      </c>
      <c r="F2" s="4">
        <v>13440000</v>
      </c>
      <c r="G2" s="4">
        <v>672000</v>
      </c>
      <c r="H2" s="4">
        <v>2419000</v>
      </c>
      <c r="I2" s="4">
        <v>16531000</v>
      </c>
      <c r="J2" t="s">
        <v>56</v>
      </c>
    </row>
    <row r="3" spans="1:10">
      <c r="A3" t="s">
        <v>57</v>
      </c>
      <c r="B3" t="s">
        <v>58</v>
      </c>
      <c r="C3" t="s">
        <v>24</v>
      </c>
      <c r="D3" t="s">
        <v>54</v>
      </c>
      <c r="E3" t="s">
        <v>59</v>
      </c>
      <c r="F3" s="4">
        <v>10960000</v>
      </c>
      <c r="G3" s="4">
        <v>1315000</v>
      </c>
      <c r="H3" s="4">
        <v>1973000</v>
      </c>
      <c r="I3" s="4">
        <v>14248000</v>
      </c>
      <c r="J3" t="s">
        <v>56</v>
      </c>
    </row>
    <row r="4" spans="1:10">
      <c r="A4" t="s">
        <v>60</v>
      </c>
      <c r="B4" t="s">
        <v>61</v>
      </c>
      <c r="C4" t="s">
        <v>24</v>
      </c>
      <c r="D4" t="s">
        <v>62</v>
      </c>
      <c r="E4" t="s">
        <v>63</v>
      </c>
      <c r="F4" s="4">
        <v>6000000</v>
      </c>
      <c r="G4" s="4">
        <v>720000</v>
      </c>
      <c r="H4" s="4">
        <v>1080000</v>
      </c>
      <c r="I4" s="4">
        <v>7800000</v>
      </c>
      <c r="J4" t="s">
        <v>56</v>
      </c>
    </row>
    <row r="5" spans="1:10">
      <c r="A5" t="s">
        <v>64</v>
      </c>
      <c r="B5" t="s">
        <v>65</v>
      </c>
      <c r="C5" t="s">
        <v>21</v>
      </c>
      <c r="D5" t="s">
        <v>62</v>
      </c>
      <c r="E5" t="s">
        <v>66</v>
      </c>
      <c r="F5" s="4">
        <v>3950000</v>
      </c>
      <c r="G5" s="4">
        <v>316000</v>
      </c>
      <c r="H5" s="4">
        <v>711000</v>
      </c>
      <c r="I5" s="4">
        <v>4977000</v>
      </c>
      <c r="J5" t="s">
        <v>56</v>
      </c>
    </row>
    <row r="6" spans="1:10">
      <c r="A6" t="s">
        <v>67</v>
      </c>
      <c r="B6" t="s">
        <v>68</v>
      </c>
      <c r="C6" t="s">
        <v>53</v>
      </c>
      <c r="D6" t="s">
        <v>62</v>
      </c>
      <c r="E6" t="s">
        <v>69</v>
      </c>
      <c r="F6" s="4">
        <v>2350000</v>
      </c>
      <c r="G6" s="4">
        <v>235000</v>
      </c>
      <c r="H6" s="4">
        <v>423000</v>
      </c>
      <c r="I6" s="4">
        <v>3008000</v>
      </c>
      <c r="J6" t="s">
        <v>56</v>
      </c>
    </row>
    <row r="7" spans="1:10">
      <c r="A7" t="s">
        <v>70</v>
      </c>
      <c r="B7" t="s">
        <v>71</v>
      </c>
      <c r="C7" t="s">
        <v>24</v>
      </c>
      <c r="D7" t="s">
        <v>72</v>
      </c>
      <c r="E7" t="s">
        <v>73</v>
      </c>
      <c r="F7" s="4">
        <v>5000000</v>
      </c>
      <c r="G7" s="4">
        <v>600000</v>
      </c>
      <c r="H7" s="4">
        <v>900000</v>
      </c>
      <c r="I7" s="4">
        <v>6500000</v>
      </c>
      <c r="J7" t="s">
        <v>56</v>
      </c>
    </row>
    <row r="8" spans="1:10">
      <c r="A8" t="s">
        <v>74</v>
      </c>
      <c r="B8" t="s">
        <v>75</v>
      </c>
      <c r="C8" t="s">
        <v>21</v>
      </c>
      <c r="D8" t="s">
        <v>76</v>
      </c>
      <c r="E8" t="s">
        <v>77</v>
      </c>
      <c r="F8" s="4">
        <v>5680000</v>
      </c>
      <c r="G8" s="4">
        <v>568000</v>
      </c>
      <c r="H8" s="4">
        <v>1022000</v>
      </c>
      <c r="I8" s="4">
        <v>7270000</v>
      </c>
      <c r="J8" t="s">
        <v>56</v>
      </c>
    </row>
    <row r="9" spans="1:10">
      <c r="A9" t="s">
        <v>78</v>
      </c>
      <c r="B9" t="s">
        <v>79</v>
      </c>
      <c r="C9" t="s">
        <v>53</v>
      </c>
      <c r="D9" t="s">
        <v>76</v>
      </c>
      <c r="E9" t="s">
        <v>80</v>
      </c>
      <c r="F9" s="4">
        <v>3590000</v>
      </c>
      <c r="G9" s="4">
        <v>359000</v>
      </c>
      <c r="H9" s="4">
        <v>646000</v>
      </c>
      <c r="I9" s="4">
        <v>4595000</v>
      </c>
      <c r="J9" t="s">
        <v>56</v>
      </c>
    </row>
    <row r="10" spans="1:10">
      <c r="A10" t="s">
        <v>81</v>
      </c>
      <c r="B10" t="s">
        <v>82</v>
      </c>
      <c r="C10" t="s">
        <v>24</v>
      </c>
      <c r="D10" t="s">
        <v>25</v>
      </c>
      <c r="E10" t="s">
        <v>83</v>
      </c>
      <c r="F10" s="4">
        <v>6430000</v>
      </c>
      <c r="G10" s="4">
        <v>322000</v>
      </c>
      <c r="H10" s="4">
        <v>1157000</v>
      </c>
      <c r="I10" s="4">
        <v>7909000</v>
      </c>
      <c r="J10" t="s">
        <v>56</v>
      </c>
    </row>
    <row r="11" spans="1:10">
      <c r="A11" t="s">
        <v>84</v>
      </c>
      <c r="B11" t="s">
        <v>85</v>
      </c>
      <c r="C11" t="s">
        <v>21</v>
      </c>
      <c r="D11" t="s">
        <v>25</v>
      </c>
      <c r="E11" t="s">
        <v>86</v>
      </c>
      <c r="F11" s="4">
        <v>3420000</v>
      </c>
      <c r="G11" s="4">
        <v>342000</v>
      </c>
      <c r="H11" s="4">
        <v>616000</v>
      </c>
      <c r="I11" s="4">
        <v>4378000</v>
      </c>
      <c r="J11" t="s">
        <v>56</v>
      </c>
    </row>
    <row r="12" spans="1:10">
      <c r="A12" t="s">
        <v>87</v>
      </c>
      <c r="B12" t="s">
        <v>52</v>
      </c>
      <c r="C12" t="s">
        <v>21</v>
      </c>
      <c r="D12" t="s">
        <v>25</v>
      </c>
      <c r="E12" t="s">
        <v>88</v>
      </c>
      <c r="F12" s="4">
        <v>2810000</v>
      </c>
      <c r="G12" s="4">
        <v>281000</v>
      </c>
      <c r="H12" s="4">
        <v>506000</v>
      </c>
      <c r="I12" s="4">
        <v>3597000</v>
      </c>
      <c r="J12" t="s">
        <v>56</v>
      </c>
    </row>
    <row r="13" spans="1:10">
      <c r="A13" t="s">
        <v>89</v>
      </c>
      <c r="B13" t="s">
        <v>58</v>
      </c>
      <c r="C13" t="s">
        <v>21</v>
      </c>
      <c r="D13" t="s">
        <v>25</v>
      </c>
      <c r="E13" t="s">
        <v>90</v>
      </c>
      <c r="F13" s="4">
        <v>2010000</v>
      </c>
      <c r="G13" s="4">
        <v>201000</v>
      </c>
      <c r="H13" s="4">
        <v>362000</v>
      </c>
      <c r="I13" s="4">
        <v>2573000</v>
      </c>
      <c r="J13" t="s">
        <v>56</v>
      </c>
    </row>
    <row r="14" spans="1:10">
      <c r="A14" t="s">
        <v>91</v>
      </c>
      <c r="B14" t="s">
        <v>61</v>
      </c>
      <c r="C14" t="s">
        <v>53</v>
      </c>
      <c r="D14" t="s">
        <v>25</v>
      </c>
      <c r="E14" t="s">
        <v>92</v>
      </c>
      <c r="F14" s="4">
        <v>1390000</v>
      </c>
      <c r="G14" s="4">
        <v>167000</v>
      </c>
      <c r="H14" s="4">
        <v>250000</v>
      </c>
      <c r="I14" s="4">
        <v>1807000</v>
      </c>
      <c r="J14" t="s">
        <v>56</v>
      </c>
    </row>
    <row r="15" spans="1:10">
      <c r="A15" t="s">
        <v>93</v>
      </c>
      <c r="B15" t="s">
        <v>65</v>
      </c>
      <c r="C15" t="s">
        <v>21</v>
      </c>
      <c r="D15" t="s">
        <v>94</v>
      </c>
      <c r="E15" t="s">
        <v>95</v>
      </c>
      <c r="F15" s="4">
        <v>4520000</v>
      </c>
      <c r="G15" s="4">
        <v>542000</v>
      </c>
      <c r="H15" s="4">
        <v>814000</v>
      </c>
      <c r="I15" s="4">
        <v>5876000</v>
      </c>
      <c r="J15" t="s">
        <v>56</v>
      </c>
    </row>
    <row r="16" spans="1:10">
      <c r="A16" t="s">
        <v>96</v>
      </c>
      <c r="B16" t="s">
        <v>68</v>
      </c>
      <c r="C16" t="s">
        <v>24</v>
      </c>
      <c r="D16" t="s">
        <v>94</v>
      </c>
      <c r="E16" t="s">
        <v>97</v>
      </c>
      <c r="F16" s="4">
        <v>1900000</v>
      </c>
      <c r="G16" s="4">
        <v>228000</v>
      </c>
      <c r="H16" s="4">
        <v>342000</v>
      </c>
      <c r="I16" s="4">
        <v>2470000</v>
      </c>
      <c r="J16" t="s">
        <v>56</v>
      </c>
    </row>
    <row r="17" spans="1:10">
      <c r="A17" t="s">
        <v>98</v>
      </c>
      <c r="B17" t="s">
        <v>71</v>
      </c>
      <c r="C17" t="s">
        <v>24</v>
      </c>
      <c r="D17" t="s">
        <v>99</v>
      </c>
      <c r="E17" t="s">
        <v>100</v>
      </c>
      <c r="F17" s="4">
        <v>2840000</v>
      </c>
      <c r="G17" s="4">
        <v>142000</v>
      </c>
      <c r="H17" s="4">
        <v>511000</v>
      </c>
      <c r="I17" s="4">
        <v>3493000</v>
      </c>
      <c r="J17" t="s">
        <v>56</v>
      </c>
    </row>
    <row r="18" spans="1:10">
      <c r="A18" t="s">
        <v>101</v>
      </c>
      <c r="B18" t="s">
        <v>75</v>
      </c>
      <c r="C18" t="s">
        <v>102</v>
      </c>
      <c r="D18" t="s">
        <v>103</v>
      </c>
      <c r="E18" t="s">
        <v>104</v>
      </c>
      <c r="F18" s="4">
        <v>1430000</v>
      </c>
      <c r="G18" s="4">
        <v>72000</v>
      </c>
      <c r="H18" s="4">
        <v>257000</v>
      </c>
      <c r="I18" s="4">
        <v>1759000</v>
      </c>
      <c r="J18" t="s">
        <v>56</v>
      </c>
    </row>
    <row r="19" spans="1:10">
      <c r="A19" t="s">
        <v>105</v>
      </c>
      <c r="B19" t="s">
        <v>79</v>
      </c>
      <c r="C19" t="s">
        <v>24</v>
      </c>
      <c r="D19" t="s">
        <v>106</v>
      </c>
      <c r="E19" t="s">
        <v>107</v>
      </c>
      <c r="F19" s="4">
        <v>2180000</v>
      </c>
      <c r="G19" s="4">
        <v>109000</v>
      </c>
      <c r="H19" s="4">
        <v>392000</v>
      </c>
      <c r="I19" s="4">
        <v>2681000</v>
      </c>
      <c r="J19" t="s">
        <v>56</v>
      </c>
    </row>
    <row r="20" spans="1:10">
      <c r="A20" t="s">
        <v>108</v>
      </c>
      <c r="B20" t="s">
        <v>82</v>
      </c>
      <c r="C20" t="s">
        <v>24</v>
      </c>
      <c r="D20" t="s">
        <v>54</v>
      </c>
      <c r="E20" t="s">
        <v>55</v>
      </c>
      <c r="F20" s="4">
        <v>14150000</v>
      </c>
      <c r="G20" s="4">
        <v>1132000</v>
      </c>
      <c r="H20" s="4">
        <v>2547000</v>
      </c>
      <c r="I20" s="4">
        <v>17829000</v>
      </c>
      <c r="J20" t="s">
        <v>56</v>
      </c>
    </row>
    <row r="21" spans="1:10">
      <c r="A21" t="s">
        <v>109</v>
      </c>
      <c r="B21" t="s">
        <v>85</v>
      </c>
      <c r="C21" t="s">
        <v>24</v>
      </c>
      <c r="D21" t="s">
        <v>54</v>
      </c>
      <c r="E21" t="s">
        <v>59</v>
      </c>
      <c r="F21" s="4">
        <v>9860000</v>
      </c>
      <c r="G21" s="4">
        <v>493000</v>
      </c>
      <c r="H21" s="4">
        <v>1775000</v>
      </c>
      <c r="I21" s="4">
        <v>12128000</v>
      </c>
      <c r="J21" t="s">
        <v>56</v>
      </c>
    </row>
    <row r="22" spans="1:10">
      <c r="A22" t="s">
        <v>110</v>
      </c>
      <c r="B22" t="s">
        <v>52</v>
      </c>
      <c r="C22" t="s">
        <v>24</v>
      </c>
      <c r="D22" t="s">
        <v>62</v>
      </c>
      <c r="E22" t="s">
        <v>63</v>
      </c>
      <c r="F22" s="4">
        <v>5910000</v>
      </c>
      <c r="G22" s="4">
        <v>709000</v>
      </c>
      <c r="H22" s="4">
        <v>1064000</v>
      </c>
      <c r="I22" s="4">
        <v>7683000</v>
      </c>
      <c r="J22" t="s">
        <v>56</v>
      </c>
    </row>
    <row r="23" spans="1:10">
      <c r="A23" t="s">
        <v>111</v>
      </c>
      <c r="B23" t="s">
        <v>58</v>
      </c>
      <c r="C23" t="s">
        <v>24</v>
      </c>
      <c r="D23" t="s">
        <v>62</v>
      </c>
      <c r="E23" t="s">
        <v>66</v>
      </c>
      <c r="F23" s="4">
        <v>4180000</v>
      </c>
      <c r="G23" s="4">
        <v>418000</v>
      </c>
      <c r="H23" s="4">
        <v>752000</v>
      </c>
      <c r="I23" s="4">
        <v>5350000</v>
      </c>
      <c r="J23" t="s">
        <v>56</v>
      </c>
    </row>
    <row r="24" spans="1:10">
      <c r="A24" t="s">
        <v>112</v>
      </c>
      <c r="B24" t="s">
        <v>61</v>
      </c>
      <c r="C24" t="s">
        <v>24</v>
      </c>
      <c r="D24" t="s">
        <v>62</v>
      </c>
      <c r="E24" t="s">
        <v>69</v>
      </c>
      <c r="F24" s="4">
        <v>2590000</v>
      </c>
      <c r="G24" s="4">
        <v>259000</v>
      </c>
      <c r="H24" s="4">
        <v>466000</v>
      </c>
      <c r="I24" s="4">
        <v>3315000</v>
      </c>
      <c r="J24" t="s">
        <v>56</v>
      </c>
    </row>
    <row r="25" spans="1:10">
      <c r="A25" t="s">
        <v>113</v>
      </c>
      <c r="B25" t="s">
        <v>65</v>
      </c>
      <c r="C25" t="s">
        <v>53</v>
      </c>
      <c r="D25" t="s">
        <v>72</v>
      </c>
      <c r="E25" t="s">
        <v>73</v>
      </c>
      <c r="F25" s="4">
        <v>5160000</v>
      </c>
      <c r="G25" s="4">
        <v>619000</v>
      </c>
      <c r="H25" s="4">
        <v>929000</v>
      </c>
      <c r="I25" s="4">
        <v>6708000</v>
      </c>
      <c r="J25" t="s">
        <v>56</v>
      </c>
    </row>
    <row r="26" spans="1:10">
      <c r="A26" t="s">
        <v>114</v>
      </c>
      <c r="B26" t="s">
        <v>68</v>
      </c>
      <c r="C26" t="s">
        <v>21</v>
      </c>
      <c r="D26" t="s">
        <v>76</v>
      </c>
      <c r="E26" t="s">
        <v>77</v>
      </c>
      <c r="F26" s="4">
        <v>5860000</v>
      </c>
      <c r="G26" s="4">
        <v>469000</v>
      </c>
      <c r="H26" s="4">
        <v>1055000</v>
      </c>
      <c r="I26" s="4">
        <v>7384000</v>
      </c>
      <c r="J26" t="s">
        <v>56</v>
      </c>
    </row>
    <row r="27" spans="1:10">
      <c r="A27" t="s">
        <v>115</v>
      </c>
      <c r="B27" t="s">
        <v>71</v>
      </c>
      <c r="C27" t="s">
        <v>21</v>
      </c>
      <c r="D27" t="s">
        <v>76</v>
      </c>
      <c r="E27" t="s">
        <v>80</v>
      </c>
      <c r="F27" s="4">
        <v>3200000</v>
      </c>
      <c r="G27" s="4">
        <v>160000</v>
      </c>
      <c r="H27" s="4">
        <v>576000</v>
      </c>
      <c r="I27" s="4">
        <v>3936000</v>
      </c>
      <c r="J27" t="s">
        <v>56</v>
      </c>
    </row>
    <row r="28" spans="1:10">
      <c r="A28" t="s">
        <v>116</v>
      </c>
      <c r="B28" t="s">
        <v>75</v>
      </c>
      <c r="C28" t="s">
        <v>53</v>
      </c>
      <c r="D28" t="s">
        <v>25</v>
      </c>
      <c r="E28" t="s">
        <v>83</v>
      </c>
      <c r="F28" s="4">
        <v>6320000</v>
      </c>
      <c r="G28" s="4">
        <v>758000</v>
      </c>
      <c r="H28" s="4">
        <v>1138000</v>
      </c>
      <c r="I28" s="4">
        <v>8216000</v>
      </c>
      <c r="J28" t="s">
        <v>56</v>
      </c>
    </row>
    <row r="29" spans="1:10">
      <c r="A29" t="s">
        <v>117</v>
      </c>
      <c r="B29" t="s">
        <v>79</v>
      </c>
      <c r="C29" t="s">
        <v>102</v>
      </c>
      <c r="D29" t="s">
        <v>25</v>
      </c>
      <c r="E29" t="s">
        <v>86</v>
      </c>
      <c r="F29" s="4">
        <v>3910000</v>
      </c>
      <c r="G29" s="4">
        <v>391000</v>
      </c>
      <c r="H29" s="4">
        <v>704000</v>
      </c>
      <c r="I29" s="4">
        <v>5005000</v>
      </c>
      <c r="J29" t="s">
        <v>56</v>
      </c>
    </row>
    <row r="30" spans="1:10">
      <c r="A30" t="s">
        <v>118</v>
      </c>
      <c r="B30" t="s">
        <v>82</v>
      </c>
      <c r="C30" t="s">
        <v>21</v>
      </c>
      <c r="D30" t="s">
        <v>25</v>
      </c>
      <c r="E30" t="s">
        <v>88</v>
      </c>
      <c r="F30" s="4">
        <v>2860000</v>
      </c>
      <c r="G30" s="4">
        <v>343000</v>
      </c>
      <c r="H30" s="4">
        <v>515000</v>
      </c>
      <c r="I30" s="4">
        <v>3718000</v>
      </c>
      <c r="J30" t="s">
        <v>56</v>
      </c>
    </row>
    <row r="31" spans="1:10">
      <c r="A31" t="s">
        <v>119</v>
      </c>
      <c r="B31" t="s">
        <v>85</v>
      </c>
      <c r="C31" t="s">
        <v>53</v>
      </c>
      <c r="D31" t="s">
        <v>25</v>
      </c>
      <c r="E31" t="s">
        <v>90</v>
      </c>
      <c r="F31" s="4">
        <v>2030000</v>
      </c>
      <c r="G31" s="4">
        <v>244000</v>
      </c>
      <c r="H31" s="4">
        <v>365000</v>
      </c>
      <c r="I31" s="4">
        <v>2639000</v>
      </c>
      <c r="J31" t="s">
        <v>56</v>
      </c>
    </row>
    <row r="32" spans="1:10">
      <c r="A32" t="s">
        <v>120</v>
      </c>
      <c r="B32" t="s">
        <v>52</v>
      </c>
      <c r="C32" t="s">
        <v>53</v>
      </c>
      <c r="D32" t="s">
        <v>25</v>
      </c>
      <c r="E32" t="s">
        <v>92</v>
      </c>
      <c r="F32" s="4">
        <v>1500000</v>
      </c>
      <c r="G32" s="4">
        <v>75000</v>
      </c>
      <c r="H32" s="4">
        <v>270000</v>
      </c>
      <c r="I32" s="4">
        <v>1845000</v>
      </c>
      <c r="J32" t="s">
        <v>56</v>
      </c>
    </row>
    <row r="33" spans="1:10">
      <c r="A33" t="s">
        <v>121</v>
      </c>
      <c r="B33" t="s">
        <v>58</v>
      </c>
      <c r="C33" t="s">
        <v>21</v>
      </c>
      <c r="D33" t="s">
        <v>94</v>
      </c>
      <c r="E33" t="s">
        <v>95</v>
      </c>
      <c r="F33" s="4">
        <v>4450000</v>
      </c>
      <c r="G33" s="4">
        <v>222000</v>
      </c>
      <c r="H33" s="4">
        <v>801000</v>
      </c>
      <c r="I33" s="4">
        <v>5473000</v>
      </c>
      <c r="J33" t="s">
        <v>56</v>
      </c>
    </row>
    <row r="34" spans="1:10">
      <c r="A34" t="s">
        <v>122</v>
      </c>
      <c r="B34" t="s">
        <v>61</v>
      </c>
      <c r="C34" t="s">
        <v>21</v>
      </c>
      <c r="D34" t="s">
        <v>94</v>
      </c>
      <c r="E34" t="s">
        <v>97</v>
      </c>
      <c r="F34" s="4">
        <v>1950000</v>
      </c>
      <c r="G34" s="4">
        <v>195000</v>
      </c>
      <c r="H34" s="4">
        <v>351000</v>
      </c>
      <c r="I34" s="4">
        <v>2496000</v>
      </c>
      <c r="J34" t="s">
        <v>56</v>
      </c>
    </row>
    <row r="35" spans="1:10">
      <c r="A35" t="s">
        <v>123</v>
      </c>
      <c r="B35" t="s">
        <v>65</v>
      </c>
      <c r="C35" t="s">
        <v>53</v>
      </c>
      <c r="D35" t="s">
        <v>99</v>
      </c>
      <c r="E35" t="s">
        <v>100</v>
      </c>
      <c r="F35" s="4">
        <v>2830000</v>
      </c>
      <c r="G35" s="4">
        <v>340000</v>
      </c>
      <c r="H35" s="4">
        <v>509000</v>
      </c>
      <c r="I35" s="4">
        <v>3679000</v>
      </c>
      <c r="J35" t="s">
        <v>56</v>
      </c>
    </row>
    <row r="36" spans="1:10">
      <c r="A36" t="s">
        <v>124</v>
      </c>
      <c r="B36" t="s">
        <v>68</v>
      </c>
      <c r="C36" t="s">
        <v>24</v>
      </c>
      <c r="D36" t="s">
        <v>103</v>
      </c>
      <c r="E36" t="s">
        <v>104</v>
      </c>
      <c r="F36" s="4">
        <v>1370000</v>
      </c>
      <c r="G36" s="4">
        <v>68000</v>
      </c>
      <c r="H36" s="4">
        <v>247000</v>
      </c>
      <c r="I36" s="4">
        <v>1685000</v>
      </c>
      <c r="J36" t="s">
        <v>56</v>
      </c>
    </row>
    <row r="37" spans="1:10">
      <c r="A37" t="s">
        <v>125</v>
      </c>
      <c r="B37" t="s">
        <v>71</v>
      </c>
      <c r="C37" t="s">
        <v>21</v>
      </c>
      <c r="D37" t="s">
        <v>106</v>
      </c>
      <c r="E37" t="s">
        <v>107</v>
      </c>
      <c r="F37" s="4">
        <v>2320000</v>
      </c>
      <c r="G37" s="4">
        <v>232000</v>
      </c>
      <c r="H37" s="4">
        <v>418000</v>
      </c>
      <c r="I37" s="4">
        <v>2970000</v>
      </c>
      <c r="J37" t="s">
        <v>56</v>
      </c>
    </row>
    <row r="38" spans="1:10">
      <c r="A38" t="s">
        <v>126</v>
      </c>
      <c r="B38" t="s">
        <v>75</v>
      </c>
      <c r="C38" t="s">
        <v>21</v>
      </c>
      <c r="D38" t="s">
        <v>54</v>
      </c>
      <c r="E38" t="s">
        <v>55</v>
      </c>
      <c r="F38" s="4">
        <v>14880000</v>
      </c>
      <c r="G38" s="4">
        <v>1786000</v>
      </c>
      <c r="H38" s="4">
        <v>2678000</v>
      </c>
      <c r="I38" s="4">
        <v>19344000</v>
      </c>
      <c r="J38" t="s">
        <v>56</v>
      </c>
    </row>
    <row r="39" spans="1:10">
      <c r="A39" t="s">
        <v>127</v>
      </c>
      <c r="B39" t="s">
        <v>79</v>
      </c>
      <c r="C39" t="s">
        <v>21</v>
      </c>
      <c r="D39" t="s">
        <v>54</v>
      </c>
      <c r="E39" t="s">
        <v>59</v>
      </c>
      <c r="F39" s="4">
        <v>10990000</v>
      </c>
      <c r="G39" s="4">
        <v>550000</v>
      </c>
      <c r="H39" s="4">
        <v>1978000</v>
      </c>
      <c r="I39" s="4">
        <v>13518000</v>
      </c>
      <c r="J39" t="s">
        <v>56</v>
      </c>
    </row>
    <row r="40" spans="1:10">
      <c r="A40" t="s">
        <v>128</v>
      </c>
      <c r="B40" t="s">
        <v>82</v>
      </c>
      <c r="C40" t="s">
        <v>24</v>
      </c>
      <c r="D40" t="s">
        <v>62</v>
      </c>
      <c r="E40" t="s">
        <v>63</v>
      </c>
      <c r="F40" s="4">
        <v>6030000</v>
      </c>
      <c r="G40" s="4">
        <v>302000</v>
      </c>
      <c r="H40" s="4">
        <v>1085000</v>
      </c>
      <c r="I40" s="4">
        <v>7417000</v>
      </c>
      <c r="J40" t="s">
        <v>56</v>
      </c>
    </row>
    <row r="41" spans="1:10">
      <c r="A41" t="s">
        <v>129</v>
      </c>
      <c r="B41" t="s">
        <v>85</v>
      </c>
      <c r="C41" t="s">
        <v>24</v>
      </c>
      <c r="D41" t="s">
        <v>62</v>
      </c>
      <c r="E41" t="s">
        <v>66</v>
      </c>
      <c r="F41" s="4">
        <v>3710000</v>
      </c>
      <c r="G41" s="4">
        <v>186000</v>
      </c>
      <c r="H41" s="4">
        <v>668000</v>
      </c>
      <c r="I41" s="4">
        <v>4564000</v>
      </c>
      <c r="J41" t="s">
        <v>56</v>
      </c>
    </row>
    <row r="42" spans="1:10">
      <c r="A42" t="s">
        <v>130</v>
      </c>
      <c r="B42" t="s">
        <v>52</v>
      </c>
      <c r="C42" t="s">
        <v>24</v>
      </c>
      <c r="D42" t="s">
        <v>62</v>
      </c>
      <c r="E42" t="s">
        <v>69</v>
      </c>
      <c r="F42" s="4">
        <v>2620000</v>
      </c>
      <c r="G42" s="4">
        <v>262000</v>
      </c>
      <c r="H42" s="4">
        <v>472000</v>
      </c>
      <c r="I42" s="4">
        <v>3354000</v>
      </c>
      <c r="J42" t="s">
        <v>56</v>
      </c>
    </row>
    <row r="43" spans="1:10">
      <c r="A43" t="s">
        <v>131</v>
      </c>
      <c r="B43" t="s">
        <v>58</v>
      </c>
      <c r="C43" t="s">
        <v>21</v>
      </c>
      <c r="D43" t="s">
        <v>72</v>
      </c>
      <c r="E43" t="s">
        <v>73</v>
      </c>
      <c r="F43" s="4">
        <v>5150000</v>
      </c>
      <c r="G43" s="4">
        <v>412000</v>
      </c>
      <c r="H43" s="4">
        <v>927000</v>
      </c>
      <c r="I43" s="4">
        <v>6489000</v>
      </c>
      <c r="J43" t="s">
        <v>56</v>
      </c>
    </row>
    <row r="44" spans="1:10">
      <c r="A44" t="s">
        <v>132</v>
      </c>
      <c r="B44" t="s">
        <v>61</v>
      </c>
      <c r="C44" t="s">
        <v>24</v>
      </c>
      <c r="D44" t="s">
        <v>76</v>
      </c>
      <c r="E44" t="s">
        <v>77</v>
      </c>
      <c r="F44" s="4">
        <v>6110000</v>
      </c>
      <c r="G44" s="4">
        <v>733000</v>
      </c>
      <c r="H44" s="4">
        <v>1100000</v>
      </c>
      <c r="I44" s="4">
        <v>7943000</v>
      </c>
      <c r="J44" t="s">
        <v>56</v>
      </c>
    </row>
    <row r="45" spans="1:10">
      <c r="A45" t="s">
        <v>133</v>
      </c>
      <c r="B45" t="s">
        <v>65</v>
      </c>
      <c r="C45" t="s">
        <v>21</v>
      </c>
      <c r="D45" t="s">
        <v>76</v>
      </c>
      <c r="E45" t="s">
        <v>80</v>
      </c>
      <c r="F45" s="4">
        <v>3550000</v>
      </c>
      <c r="G45" s="4">
        <v>284000</v>
      </c>
      <c r="H45" s="4">
        <v>639000</v>
      </c>
      <c r="I45" s="4">
        <v>4473000</v>
      </c>
      <c r="J45" t="s">
        <v>56</v>
      </c>
    </row>
    <row r="46" spans="1:10">
      <c r="A46" t="s">
        <v>134</v>
      </c>
      <c r="B46" t="s">
        <v>68</v>
      </c>
      <c r="C46" t="s">
        <v>21</v>
      </c>
      <c r="D46" t="s">
        <v>25</v>
      </c>
      <c r="E46" t="s">
        <v>83</v>
      </c>
      <c r="F46" s="4">
        <v>5600000</v>
      </c>
      <c r="G46" s="4">
        <v>560000</v>
      </c>
      <c r="H46" s="4">
        <v>1008000</v>
      </c>
      <c r="I46" s="4">
        <v>7168000</v>
      </c>
      <c r="J46" t="s">
        <v>56</v>
      </c>
    </row>
    <row r="47" spans="1:10">
      <c r="A47" t="s">
        <v>135</v>
      </c>
      <c r="B47" t="s">
        <v>71</v>
      </c>
      <c r="C47" t="s">
        <v>24</v>
      </c>
      <c r="D47" t="s">
        <v>25</v>
      </c>
      <c r="E47" t="s">
        <v>86</v>
      </c>
      <c r="F47" s="4">
        <v>3760000</v>
      </c>
      <c r="G47" s="4">
        <v>301000</v>
      </c>
      <c r="H47" s="4">
        <v>677000</v>
      </c>
      <c r="I47" s="4">
        <v>4738000</v>
      </c>
      <c r="J47" t="s">
        <v>56</v>
      </c>
    </row>
    <row r="48" spans="1:10">
      <c r="A48" t="s">
        <v>136</v>
      </c>
      <c r="B48" t="s">
        <v>75</v>
      </c>
      <c r="C48" t="s">
        <v>24</v>
      </c>
      <c r="D48" t="s">
        <v>25</v>
      </c>
      <c r="E48" t="s">
        <v>88</v>
      </c>
      <c r="F48" s="4">
        <v>3170000</v>
      </c>
      <c r="G48" s="4">
        <v>317000</v>
      </c>
      <c r="H48" s="4">
        <v>571000</v>
      </c>
      <c r="I48" s="4">
        <v>4058000</v>
      </c>
      <c r="J48" t="s">
        <v>56</v>
      </c>
    </row>
    <row r="49" spans="1:10">
      <c r="A49" t="s">
        <v>137</v>
      </c>
      <c r="B49" t="s">
        <v>79</v>
      </c>
      <c r="C49" t="s">
        <v>24</v>
      </c>
      <c r="D49" t="s">
        <v>25</v>
      </c>
      <c r="E49" t="s">
        <v>90</v>
      </c>
      <c r="F49" s="4">
        <v>1910000</v>
      </c>
      <c r="G49" s="4">
        <v>153000</v>
      </c>
      <c r="H49" s="4">
        <v>344000</v>
      </c>
      <c r="I49" s="4">
        <v>2407000</v>
      </c>
      <c r="J49" t="s">
        <v>56</v>
      </c>
    </row>
    <row r="50" spans="1:10">
      <c r="A50" t="s">
        <v>138</v>
      </c>
      <c r="B50" t="s">
        <v>82</v>
      </c>
      <c r="C50" t="s">
        <v>102</v>
      </c>
      <c r="D50" t="s">
        <v>25</v>
      </c>
      <c r="E50" t="s">
        <v>92</v>
      </c>
      <c r="F50" s="4">
        <v>1420000</v>
      </c>
      <c r="G50" s="4">
        <v>71000</v>
      </c>
      <c r="H50" s="4">
        <v>256000</v>
      </c>
      <c r="I50" s="4">
        <v>1747000</v>
      </c>
      <c r="J50" t="s">
        <v>56</v>
      </c>
    </row>
    <row r="51" spans="1:10">
      <c r="A51" t="s">
        <v>139</v>
      </c>
      <c r="B51" t="s">
        <v>85</v>
      </c>
      <c r="C51" t="s">
        <v>21</v>
      </c>
      <c r="D51" t="s">
        <v>94</v>
      </c>
      <c r="E51" t="s">
        <v>95</v>
      </c>
      <c r="F51" s="4">
        <v>4500000</v>
      </c>
      <c r="G51" s="4">
        <v>225000</v>
      </c>
      <c r="H51" s="4">
        <v>810000</v>
      </c>
      <c r="I51" s="4">
        <v>5535000</v>
      </c>
      <c r="J51" t="s">
        <v>56</v>
      </c>
    </row>
    <row r="52" spans="1:10">
      <c r="A52" t="s">
        <v>140</v>
      </c>
      <c r="B52" t="s">
        <v>52</v>
      </c>
      <c r="C52" t="s">
        <v>102</v>
      </c>
      <c r="D52" t="s">
        <v>94</v>
      </c>
      <c r="E52" t="s">
        <v>97</v>
      </c>
      <c r="F52" s="4">
        <v>1840000</v>
      </c>
      <c r="G52" s="4">
        <v>184000</v>
      </c>
      <c r="H52" s="4">
        <v>331000</v>
      </c>
      <c r="I52" s="4">
        <v>2355000</v>
      </c>
      <c r="J52" t="s">
        <v>56</v>
      </c>
    </row>
    <row r="53" spans="1:10">
      <c r="A53" t="s">
        <v>141</v>
      </c>
      <c r="B53" t="s">
        <v>58</v>
      </c>
      <c r="C53" t="s">
        <v>24</v>
      </c>
      <c r="D53" t="s">
        <v>99</v>
      </c>
      <c r="E53" t="s">
        <v>100</v>
      </c>
      <c r="F53" s="4">
        <v>2820000</v>
      </c>
      <c r="G53" s="4">
        <v>141000</v>
      </c>
      <c r="H53" s="4">
        <v>508000</v>
      </c>
      <c r="I53" s="4">
        <v>3469000</v>
      </c>
      <c r="J53" t="s">
        <v>56</v>
      </c>
    </row>
    <row r="54" spans="1:10">
      <c r="A54" t="s">
        <v>142</v>
      </c>
      <c r="B54" t="s">
        <v>61</v>
      </c>
      <c r="C54" t="s">
        <v>21</v>
      </c>
      <c r="D54" t="s">
        <v>103</v>
      </c>
      <c r="E54" t="s">
        <v>104</v>
      </c>
      <c r="F54" s="4">
        <v>1340000</v>
      </c>
      <c r="G54" s="4">
        <v>134000</v>
      </c>
      <c r="H54" s="4">
        <v>241000</v>
      </c>
      <c r="I54" s="4">
        <v>1715000</v>
      </c>
      <c r="J54" t="s">
        <v>56</v>
      </c>
    </row>
    <row r="55" spans="1:10">
      <c r="A55" t="s">
        <v>143</v>
      </c>
      <c r="B55" t="s">
        <v>65</v>
      </c>
      <c r="C55" t="s">
        <v>102</v>
      </c>
      <c r="D55" t="s">
        <v>106</v>
      </c>
      <c r="E55" t="s">
        <v>107</v>
      </c>
      <c r="F55" s="4">
        <v>2320000</v>
      </c>
      <c r="G55" s="4">
        <v>278000</v>
      </c>
      <c r="H55" s="4">
        <v>418000</v>
      </c>
      <c r="I55" s="4">
        <v>3016000</v>
      </c>
      <c r="J55" t="s">
        <v>56</v>
      </c>
    </row>
    <row r="56" spans="1:10">
      <c r="A56" t="s">
        <v>144</v>
      </c>
      <c r="B56" t="s">
        <v>68</v>
      </c>
      <c r="C56" t="s">
        <v>21</v>
      </c>
      <c r="D56" t="s">
        <v>54</v>
      </c>
      <c r="E56" t="s">
        <v>55</v>
      </c>
      <c r="F56" s="4">
        <v>14480000</v>
      </c>
      <c r="G56" s="4">
        <v>1158000</v>
      </c>
      <c r="H56" s="4">
        <v>2606000</v>
      </c>
      <c r="I56" s="4">
        <v>18244000</v>
      </c>
      <c r="J56" t="s">
        <v>56</v>
      </c>
    </row>
    <row r="57" spans="1:10">
      <c r="A57" t="s">
        <v>145</v>
      </c>
      <c r="B57" t="s">
        <v>71</v>
      </c>
      <c r="C57" t="s">
        <v>24</v>
      </c>
      <c r="D57" t="s">
        <v>54</v>
      </c>
      <c r="E57" t="s">
        <v>59</v>
      </c>
      <c r="F57" s="4">
        <v>10340000</v>
      </c>
      <c r="G57" s="4">
        <v>1241000</v>
      </c>
      <c r="H57" s="4">
        <v>1861000</v>
      </c>
      <c r="I57" s="4">
        <v>13442000</v>
      </c>
      <c r="J57" t="s">
        <v>56</v>
      </c>
    </row>
    <row r="58" spans="1:10">
      <c r="A58" t="s">
        <v>146</v>
      </c>
      <c r="B58" t="s">
        <v>75</v>
      </c>
      <c r="C58" t="s">
        <v>24</v>
      </c>
      <c r="D58" t="s">
        <v>62</v>
      </c>
      <c r="E58" t="s">
        <v>63</v>
      </c>
      <c r="F58" s="4">
        <v>5910000</v>
      </c>
      <c r="G58" s="4">
        <v>473000</v>
      </c>
      <c r="H58" s="4">
        <v>1064000</v>
      </c>
      <c r="I58" s="4">
        <v>7447000</v>
      </c>
      <c r="J58" t="s">
        <v>56</v>
      </c>
    </row>
    <row r="59" spans="1:10">
      <c r="A59" t="s">
        <v>147</v>
      </c>
      <c r="B59" t="s">
        <v>79</v>
      </c>
      <c r="C59" t="s">
        <v>21</v>
      </c>
      <c r="D59" t="s">
        <v>62</v>
      </c>
      <c r="E59" t="s">
        <v>66</v>
      </c>
      <c r="F59" s="4">
        <v>3620000</v>
      </c>
      <c r="G59" s="4">
        <v>434000</v>
      </c>
      <c r="H59" s="4">
        <v>652000</v>
      </c>
      <c r="I59" s="4">
        <v>4706000</v>
      </c>
      <c r="J59" t="s">
        <v>56</v>
      </c>
    </row>
    <row r="60" spans="1:10">
      <c r="A60" t="s">
        <v>148</v>
      </c>
      <c r="B60" t="s">
        <v>82</v>
      </c>
      <c r="C60" t="s">
        <v>21</v>
      </c>
      <c r="D60" t="s">
        <v>62</v>
      </c>
      <c r="E60" t="s">
        <v>69</v>
      </c>
      <c r="F60" s="4">
        <v>2580000</v>
      </c>
      <c r="G60" s="4">
        <v>206000</v>
      </c>
      <c r="H60" s="4">
        <v>464000</v>
      </c>
      <c r="I60" s="4">
        <v>3250000</v>
      </c>
      <c r="J60" t="s">
        <v>56</v>
      </c>
    </row>
    <row r="61" spans="1:10">
      <c r="A61" t="s">
        <v>149</v>
      </c>
      <c r="B61" t="s">
        <v>85</v>
      </c>
      <c r="C61" t="s">
        <v>21</v>
      </c>
      <c r="D61" t="s">
        <v>72</v>
      </c>
      <c r="E61" t="s">
        <v>73</v>
      </c>
      <c r="F61" s="4">
        <v>5070000</v>
      </c>
      <c r="G61" s="4">
        <v>254000</v>
      </c>
      <c r="H61" s="4">
        <v>913000</v>
      </c>
      <c r="I61" s="4">
        <v>6237000</v>
      </c>
      <c r="J6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workbookViewId="0"/>
  </sheetViews>
  <sheetFormatPr baseColWidth="10" defaultColWidth="8.83203125" defaultRowHeight="14"/>
  <cols>
    <col min="1" max="1" width="14.6640625" customWidth="1"/>
    <col min="2" max="2" width="18" customWidth="1"/>
    <col min="3" max="3" width="5.6640625" customWidth="1"/>
    <col min="4" max="5" width="5.83203125" customWidth="1"/>
    <col min="6" max="9" width="4.6640625" customWidth="1"/>
    <col min="10" max="10" width="5" customWidth="1"/>
    <col min="11" max="11" width="4.6640625" customWidth="1"/>
    <col min="12" max="12" width="8.83203125" customWidth="1"/>
    <col min="13" max="13" width="6.6640625" customWidth="1"/>
    <col min="14" max="14" width="8.5" customWidth="1"/>
    <col min="15" max="15" width="8.33203125" customWidth="1"/>
    <col min="16" max="16" width="9.83203125" customWidth="1"/>
  </cols>
  <sheetData>
    <row r="1" spans="1:16" ht="32">
      <c r="A1" s="1" t="s">
        <v>43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 spans="1:16">
      <c r="A2" t="s">
        <v>24</v>
      </c>
      <c r="B2" t="s">
        <v>165</v>
      </c>
      <c r="C2" t="s">
        <v>166</v>
      </c>
      <c r="D2" s="5">
        <v>84.6</v>
      </c>
      <c r="E2" s="5">
        <v>71.38</v>
      </c>
      <c r="F2" s="5">
        <v>83.58</v>
      </c>
      <c r="G2" s="5">
        <v>87.48</v>
      </c>
      <c r="H2" s="5">
        <v>69.989999999999995</v>
      </c>
      <c r="I2" s="5">
        <v>79.349999999999994</v>
      </c>
      <c r="J2" s="5">
        <v>85.32</v>
      </c>
      <c r="K2" s="5">
        <v>79.05</v>
      </c>
      <c r="L2" s="5">
        <v>89.32</v>
      </c>
      <c r="M2" s="5">
        <v>70.72</v>
      </c>
      <c r="N2" s="5">
        <v>86.7</v>
      </c>
      <c r="O2" s="5">
        <v>76.08</v>
      </c>
      <c r="P2" s="5">
        <v>963.56999999999994</v>
      </c>
    </row>
    <row r="3" spans="1:16">
      <c r="A3" t="s">
        <v>24</v>
      </c>
      <c r="B3" t="s">
        <v>167</v>
      </c>
      <c r="C3" t="s">
        <v>166</v>
      </c>
      <c r="D3" s="5">
        <v>58.75</v>
      </c>
      <c r="E3" s="5">
        <v>58.55</v>
      </c>
      <c r="F3" s="5">
        <v>52.56</v>
      </c>
      <c r="G3" s="5">
        <v>56.6</v>
      </c>
      <c r="H3" s="5">
        <v>57.3</v>
      </c>
      <c r="I3" s="5">
        <v>55.86</v>
      </c>
      <c r="J3" s="5">
        <v>60.04</v>
      </c>
      <c r="K3" s="5">
        <v>65.08</v>
      </c>
      <c r="L3" s="5">
        <v>58.58</v>
      </c>
      <c r="M3" s="5">
        <v>59.51</v>
      </c>
      <c r="N3" s="5">
        <v>56.97</v>
      </c>
      <c r="O3" s="5">
        <v>59.76</v>
      </c>
      <c r="P3" s="5">
        <v>699.56</v>
      </c>
    </row>
    <row r="4" spans="1:16">
      <c r="A4" t="s">
        <v>24</v>
      </c>
      <c r="B4" t="s">
        <v>168</v>
      </c>
      <c r="C4" t="s">
        <v>166</v>
      </c>
      <c r="D4" s="5">
        <v>46.52</v>
      </c>
      <c r="E4" s="5">
        <v>57.06</v>
      </c>
      <c r="F4" s="5">
        <v>57.06</v>
      </c>
      <c r="G4" s="5">
        <v>57.36</v>
      </c>
      <c r="H4" s="5">
        <v>57.85</v>
      </c>
      <c r="I4" s="5">
        <v>48.25</v>
      </c>
      <c r="J4" s="5">
        <v>59.5</v>
      </c>
      <c r="K4" s="5">
        <v>58.33</v>
      </c>
      <c r="L4" s="5">
        <v>54.7</v>
      </c>
      <c r="M4" s="5">
        <v>51</v>
      </c>
      <c r="N4" s="5">
        <v>56.85</v>
      </c>
      <c r="O4" s="5">
        <v>57.88</v>
      </c>
      <c r="P4" s="5">
        <v>662.36</v>
      </c>
    </row>
    <row r="5" spans="1:16">
      <c r="A5" t="s">
        <v>24</v>
      </c>
      <c r="B5" t="s">
        <v>169</v>
      </c>
      <c r="C5" t="s">
        <v>166</v>
      </c>
      <c r="D5" s="5">
        <v>73.45</v>
      </c>
      <c r="E5" s="5">
        <v>79.489999999999995</v>
      </c>
      <c r="F5" s="5">
        <v>66.84</v>
      </c>
      <c r="G5" s="5">
        <v>62.79</v>
      </c>
      <c r="H5" s="5">
        <v>71.2</v>
      </c>
      <c r="I5" s="5">
        <v>71.42</v>
      </c>
      <c r="J5" s="5">
        <v>70.709999999999994</v>
      </c>
      <c r="K5" s="5">
        <v>61.81</v>
      </c>
      <c r="L5" s="5">
        <v>74.400000000000006</v>
      </c>
      <c r="M5" s="5">
        <v>71.069999999999993</v>
      </c>
      <c r="N5" s="5">
        <v>71.33</v>
      </c>
      <c r="O5" s="5">
        <v>63.98</v>
      </c>
      <c r="P5" s="5">
        <v>838.49</v>
      </c>
    </row>
    <row r="6" spans="1:16">
      <c r="A6" t="s">
        <v>24</v>
      </c>
      <c r="B6" t="s">
        <v>170</v>
      </c>
      <c r="C6" t="s">
        <v>166</v>
      </c>
      <c r="D6" s="5">
        <v>43.08</v>
      </c>
      <c r="E6" s="5">
        <v>42.72</v>
      </c>
      <c r="F6" s="5">
        <v>46.64</v>
      </c>
      <c r="G6" s="5">
        <v>40.450000000000003</v>
      </c>
      <c r="H6" s="5">
        <v>42.66</v>
      </c>
      <c r="I6" s="5">
        <v>52.08</v>
      </c>
      <c r="J6" s="5">
        <v>41.4</v>
      </c>
      <c r="K6" s="5">
        <v>48.4</v>
      </c>
      <c r="L6" s="5">
        <v>49.41</v>
      </c>
      <c r="M6" s="5">
        <v>48.91</v>
      </c>
      <c r="N6" s="5">
        <v>41.6</v>
      </c>
      <c r="O6" s="5">
        <v>47.65</v>
      </c>
      <c r="P6" s="5">
        <v>545</v>
      </c>
    </row>
    <row r="7" spans="1:16">
      <c r="A7" t="s">
        <v>21</v>
      </c>
      <c r="B7" t="s">
        <v>165</v>
      </c>
      <c r="C7" t="s">
        <v>166</v>
      </c>
      <c r="D7" s="5">
        <v>78.81</v>
      </c>
      <c r="E7" s="5">
        <v>73.44</v>
      </c>
      <c r="F7" s="5">
        <v>86.54</v>
      </c>
      <c r="G7" s="5">
        <v>73.77</v>
      </c>
      <c r="H7" s="5">
        <v>74.319999999999993</v>
      </c>
      <c r="I7" s="5">
        <v>73.069999999999993</v>
      </c>
      <c r="J7" s="5">
        <v>68.44</v>
      </c>
      <c r="K7" s="5">
        <v>76.59</v>
      </c>
      <c r="L7" s="5">
        <v>87.95</v>
      </c>
      <c r="M7" s="5">
        <v>85.12</v>
      </c>
      <c r="N7" s="5">
        <v>76.66</v>
      </c>
      <c r="O7" s="5">
        <v>67.33</v>
      </c>
      <c r="P7" s="5">
        <v>922.04</v>
      </c>
    </row>
    <row r="8" spans="1:16">
      <c r="A8" t="s">
        <v>21</v>
      </c>
      <c r="B8" t="s">
        <v>167</v>
      </c>
      <c r="C8" t="s">
        <v>166</v>
      </c>
      <c r="D8" s="5">
        <v>52.88</v>
      </c>
      <c r="E8" s="5">
        <v>51.57</v>
      </c>
      <c r="F8" s="5">
        <v>53.36</v>
      </c>
      <c r="G8" s="5">
        <v>63.4</v>
      </c>
      <c r="H8" s="5">
        <v>61.45</v>
      </c>
      <c r="I8" s="5">
        <v>67.87</v>
      </c>
      <c r="J8" s="5">
        <v>57.41</v>
      </c>
      <c r="K8" s="5">
        <v>65.08</v>
      </c>
      <c r="L8" s="5">
        <v>62</v>
      </c>
      <c r="M8" s="5">
        <v>62.84</v>
      </c>
      <c r="N8" s="5">
        <v>62.14</v>
      </c>
      <c r="O8" s="5">
        <v>67.66</v>
      </c>
      <c r="P8" s="5">
        <v>727.66</v>
      </c>
    </row>
    <row r="9" spans="1:16">
      <c r="A9" t="s">
        <v>21</v>
      </c>
      <c r="B9" t="s">
        <v>168</v>
      </c>
      <c r="C9" t="s">
        <v>166</v>
      </c>
      <c r="D9" s="5">
        <v>49.57</v>
      </c>
      <c r="E9" s="5">
        <v>48.01</v>
      </c>
      <c r="F9" s="5">
        <v>51.85</v>
      </c>
      <c r="G9" s="5">
        <v>59.9</v>
      </c>
      <c r="H9" s="5">
        <v>58.33</v>
      </c>
      <c r="I9" s="5">
        <v>55.34</v>
      </c>
      <c r="J9" s="5">
        <v>58.06</v>
      </c>
      <c r="K9" s="5">
        <v>55.26</v>
      </c>
      <c r="L9" s="5">
        <v>59.04</v>
      </c>
      <c r="M9" s="5">
        <v>50.71</v>
      </c>
      <c r="N9" s="5">
        <v>59.4</v>
      </c>
      <c r="O9" s="5">
        <v>50.2</v>
      </c>
      <c r="P9" s="5">
        <v>655.67</v>
      </c>
    </row>
    <row r="10" spans="1:16">
      <c r="A10" t="s">
        <v>21</v>
      </c>
      <c r="B10" t="s">
        <v>169</v>
      </c>
      <c r="C10" t="s">
        <v>166</v>
      </c>
      <c r="D10" s="5">
        <v>74.8</v>
      </c>
      <c r="E10" s="5">
        <v>68.599999999999994</v>
      </c>
      <c r="F10" s="5">
        <v>60.02</v>
      </c>
      <c r="G10" s="5">
        <v>73.97</v>
      </c>
      <c r="H10" s="5">
        <v>65.540000000000006</v>
      </c>
      <c r="I10" s="5">
        <v>79.430000000000007</v>
      </c>
      <c r="J10" s="5">
        <v>76.14</v>
      </c>
      <c r="K10" s="5">
        <v>62.07</v>
      </c>
      <c r="L10" s="5">
        <v>75.48</v>
      </c>
      <c r="M10" s="5">
        <v>66.150000000000006</v>
      </c>
      <c r="N10" s="5">
        <v>78.28</v>
      </c>
      <c r="O10" s="5">
        <v>70.790000000000006</v>
      </c>
      <c r="P10" s="5">
        <v>851.27</v>
      </c>
    </row>
    <row r="11" spans="1:16">
      <c r="A11" t="s">
        <v>21</v>
      </c>
      <c r="B11" t="s">
        <v>170</v>
      </c>
      <c r="C11" t="s">
        <v>166</v>
      </c>
      <c r="D11" s="5">
        <v>43.73</v>
      </c>
      <c r="E11" s="5">
        <v>46.71</v>
      </c>
      <c r="F11" s="5">
        <v>48.9</v>
      </c>
      <c r="G11" s="5">
        <v>40.6</v>
      </c>
      <c r="H11" s="5">
        <v>47.5</v>
      </c>
      <c r="I11" s="5">
        <v>40.68</v>
      </c>
      <c r="J11" s="5">
        <v>40.78</v>
      </c>
      <c r="K11" s="5">
        <v>43.89</v>
      </c>
      <c r="L11" s="5">
        <v>47.9</v>
      </c>
      <c r="M11" s="5">
        <v>48</v>
      </c>
      <c r="N11" s="5">
        <v>39.46</v>
      </c>
      <c r="O11" s="5">
        <v>46.95</v>
      </c>
      <c r="P11" s="5">
        <v>535.1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workbookViewId="0">
      <selection activeCell="A7" sqref="A7:XFD7"/>
    </sheetView>
  </sheetViews>
  <sheetFormatPr baseColWidth="10" defaultColWidth="8.83203125" defaultRowHeight="14"/>
  <cols>
    <col min="1" max="1" width="13.6640625" customWidth="1"/>
    <col min="2" max="2" width="28" customWidth="1"/>
    <col min="3" max="3" width="14.6640625" customWidth="1"/>
    <col min="4" max="4" width="4.6640625" customWidth="1"/>
    <col min="5" max="16" width="9.83203125" customWidth="1"/>
    <col min="17" max="17" width="11.1640625" customWidth="1"/>
  </cols>
  <sheetData>
    <row r="1" spans="1:17" ht="32">
      <c r="A1" s="1" t="s">
        <v>171</v>
      </c>
      <c r="B1" s="1" t="s">
        <v>172</v>
      </c>
      <c r="C1" s="1" t="s">
        <v>43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</row>
    <row r="2" spans="1:17">
      <c r="A2" t="s">
        <v>173</v>
      </c>
      <c r="B2" t="s">
        <v>174</v>
      </c>
      <c r="C2" t="s">
        <v>24</v>
      </c>
      <c r="D2" t="s">
        <v>175</v>
      </c>
      <c r="E2" s="4">
        <v>159363000</v>
      </c>
      <c r="F2" s="4">
        <v>160520000</v>
      </c>
      <c r="G2" s="4">
        <v>154566000</v>
      </c>
      <c r="H2" s="4">
        <v>162036000</v>
      </c>
      <c r="I2" s="4">
        <v>153755000</v>
      </c>
      <c r="J2" s="4">
        <v>149875000</v>
      </c>
      <c r="K2" s="4">
        <v>167050000</v>
      </c>
      <c r="L2" s="4">
        <v>171928000</v>
      </c>
      <c r="M2" s="4">
        <v>183156000</v>
      </c>
      <c r="N2" s="4">
        <v>172840000</v>
      </c>
      <c r="O2" s="4">
        <v>161044000</v>
      </c>
      <c r="P2" s="4">
        <v>155211000</v>
      </c>
      <c r="Q2" s="4">
        <v>1951344000</v>
      </c>
    </row>
    <row r="3" spans="1:17">
      <c r="A3" t="s">
        <v>173</v>
      </c>
      <c r="B3" t="s">
        <v>176</v>
      </c>
      <c r="C3" t="s">
        <v>24</v>
      </c>
      <c r="D3" t="s">
        <v>175</v>
      </c>
      <c r="E3" s="4">
        <v>49920000</v>
      </c>
      <c r="F3" s="4">
        <v>48228000</v>
      </c>
      <c r="G3" s="4">
        <v>51678000</v>
      </c>
      <c r="H3" s="4">
        <v>54427000</v>
      </c>
      <c r="I3" s="4">
        <v>51500000</v>
      </c>
      <c r="J3" s="4">
        <v>52194000</v>
      </c>
      <c r="K3" s="4">
        <v>60761000</v>
      </c>
      <c r="L3" s="4">
        <v>55990000</v>
      </c>
      <c r="M3" s="4">
        <v>59337000</v>
      </c>
      <c r="N3" s="4">
        <v>55436000</v>
      </c>
      <c r="O3" s="4">
        <v>56760000</v>
      </c>
      <c r="P3" s="4">
        <v>60994000</v>
      </c>
      <c r="Q3" s="4">
        <v>657225000</v>
      </c>
    </row>
    <row r="4" spans="1:17">
      <c r="A4" t="s">
        <v>173</v>
      </c>
      <c r="B4" t="s">
        <v>177</v>
      </c>
      <c r="C4" t="s">
        <v>24</v>
      </c>
      <c r="D4" t="s">
        <v>175</v>
      </c>
      <c r="E4" s="4">
        <v>93798000</v>
      </c>
      <c r="F4" s="4">
        <v>88013000</v>
      </c>
      <c r="G4" s="4">
        <v>96564000</v>
      </c>
      <c r="H4" s="4">
        <v>99390000</v>
      </c>
      <c r="I4" s="4">
        <v>89228000</v>
      </c>
      <c r="J4" s="4">
        <v>97142000</v>
      </c>
      <c r="K4" s="4">
        <v>82111000</v>
      </c>
      <c r="L4" s="4">
        <v>104589000</v>
      </c>
      <c r="M4" s="4">
        <v>92787000</v>
      </c>
      <c r="N4" s="4">
        <v>104404000</v>
      </c>
      <c r="O4" s="4">
        <v>97637000</v>
      </c>
      <c r="P4" s="4">
        <v>101891000</v>
      </c>
      <c r="Q4" s="4">
        <v>1147554000</v>
      </c>
    </row>
    <row r="5" spans="1:17">
      <c r="A5" t="s">
        <v>173</v>
      </c>
      <c r="B5" t="s">
        <v>178</v>
      </c>
      <c r="C5" t="s">
        <v>24</v>
      </c>
      <c r="D5" t="s">
        <v>175</v>
      </c>
      <c r="E5" s="4">
        <v>40353000</v>
      </c>
      <c r="F5" s="4">
        <v>40161000</v>
      </c>
      <c r="G5" s="4">
        <v>35561000</v>
      </c>
      <c r="H5" s="4">
        <v>40797000</v>
      </c>
      <c r="I5" s="4">
        <v>40569000</v>
      </c>
      <c r="J5" s="4">
        <v>34050000</v>
      </c>
      <c r="K5" s="4">
        <v>39462000</v>
      </c>
      <c r="L5" s="4">
        <v>35058000</v>
      </c>
      <c r="M5" s="4">
        <v>33763000</v>
      </c>
      <c r="N5" s="4">
        <v>35198000</v>
      </c>
      <c r="O5" s="4">
        <v>37720000</v>
      </c>
      <c r="P5" s="4">
        <v>36919000</v>
      </c>
      <c r="Q5" s="4">
        <v>449611000</v>
      </c>
    </row>
    <row r="6" spans="1:17">
      <c r="A6" t="s">
        <v>173</v>
      </c>
      <c r="B6" t="s">
        <v>179</v>
      </c>
      <c r="C6" t="s">
        <v>21</v>
      </c>
      <c r="D6" t="s">
        <v>175</v>
      </c>
      <c r="E6" s="4">
        <v>27181000</v>
      </c>
      <c r="F6" s="4">
        <v>29322000</v>
      </c>
      <c r="G6" s="4">
        <v>27906000</v>
      </c>
      <c r="H6" s="4">
        <v>25234000</v>
      </c>
      <c r="I6" s="4">
        <v>28229000</v>
      </c>
      <c r="J6" s="4">
        <v>25001000</v>
      </c>
      <c r="K6" s="4">
        <v>30037000</v>
      </c>
      <c r="L6" s="4">
        <v>30423000</v>
      </c>
      <c r="M6" s="4">
        <v>29493000</v>
      </c>
      <c r="N6" s="4">
        <v>29638000</v>
      </c>
      <c r="O6" s="4">
        <v>28735000</v>
      </c>
      <c r="P6" s="4">
        <v>29368000</v>
      </c>
      <c r="Q6" s="4">
        <v>340567000</v>
      </c>
    </row>
    <row r="7" spans="1:17">
      <c r="A7" t="s">
        <v>180</v>
      </c>
      <c r="B7" t="s">
        <v>181</v>
      </c>
      <c r="C7" t="s">
        <v>21</v>
      </c>
      <c r="D7" t="s">
        <v>175</v>
      </c>
      <c r="E7" s="4">
        <v>9518000</v>
      </c>
      <c r="F7" s="4">
        <v>8295000</v>
      </c>
      <c r="G7" s="4">
        <v>9534000</v>
      </c>
      <c r="H7" s="4">
        <v>8585000</v>
      </c>
      <c r="I7" s="4">
        <v>8856000</v>
      </c>
      <c r="J7" s="4">
        <v>7822000</v>
      </c>
      <c r="K7" s="4">
        <v>8568000</v>
      </c>
      <c r="L7" s="4">
        <v>7668000</v>
      </c>
      <c r="M7" s="4">
        <v>9044000</v>
      </c>
      <c r="N7" s="4">
        <v>8195000</v>
      </c>
      <c r="O7" s="4">
        <v>8042000</v>
      </c>
      <c r="P7" s="4">
        <v>7574000</v>
      </c>
      <c r="Q7" s="4">
        <v>101701000</v>
      </c>
    </row>
    <row r="8" spans="1:17">
      <c r="A8" t="s">
        <v>180</v>
      </c>
      <c r="B8" t="s">
        <v>182</v>
      </c>
      <c r="C8" t="s">
        <v>21</v>
      </c>
      <c r="D8" t="s">
        <v>175</v>
      </c>
      <c r="E8" s="4">
        <v>15160000</v>
      </c>
      <c r="F8" s="4">
        <v>15877000</v>
      </c>
      <c r="G8" s="4">
        <v>13573000</v>
      </c>
      <c r="H8" s="4">
        <v>14055000</v>
      </c>
      <c r="I8" s="4">
        <v>14970000</v>
      </c>
      <c r="J8" s="4">
        <v>14292000</v>
      </c>
      <c r="K8" s="4">
        <v>16561000</v>
      </c>
      <c r="L8" s="4">
        <v>13671000</v>
      </c>
      <c r="M8" s="4">
        <v>15729000</v>
      </c>
      <c r="N8" s="4">
        <v>13010000</v>
      </c>
      <c r="O8" s="4">
        <v>15209000</v>
      </c>
      <c r="P8" s="4">
        <v>14745000</v>
      </c>
      <c r="Q8" s="4">
        <v>176852000</v>
      </c>
    </row>
    <row r="9" spans="1:17">
      <c r="A9" t="s">
        <v>180</v>
      </c>
      <c r="B9" t="s">
        <v>183</v>
      </c>
      <c r="C9" t="s">
        <v>21</v>
      </c>
      <c r="D9" t="s">
        <v>175</v>
      </c>
      <c r="E9" s="4">
        <v>17887000</v>
      </c>
      <c r="F9" s="4">
        <v>19654000</v>
      </c>
      <c r="G9" s="4">
        <v>20063000</v>
      </c>
      <c r="H9" s="4">
        <v>20412000</v>
      </c>
      <c r="I9" s="4">
        <v>20492000</v>
      </c>
      <c r="J9" s="4">
        <v>16745000</v>
      </c>
      <c r="K9" s="4">
        <v>18312000</v>
      </c>
      <c r="L9" s="4">
        <v>16785000</v>
      </c>
      <c r="M9" s="4">
        <v>18416000</v>
      </c>
      <c r="N9" s="4">
        <v>16714000</v>
      </c>
      <c r="O9" s="4">
        <v>19995000</v>
      </c>
      <c r="P9" s="4">
        <v>18306000</v>
      </c>
      <c r="Q9" s="4">
        <v>223781000</v>
      </c>
    </row>
    <row r="10" spans="1:17">
      <c r="A10" t="s">
        <v>184</v>
      </c>
      <c r="B10" t="s">
        <v>185</v>
      </c>
      <c r="C10" t="s">
        <v>21</v>
      </c>
      <c r="D10" t="s">
        <v>175</v>
      </c>
      <c r="E10" s="4">
        <v>47436000</v>
      </c>
      <c r="F10" s="4">
        <v>44861000</v>
      </c>
      <c r="G10" s="4">
        <v>37950000</v>
      </c>
      <c r="H10" s="4">
        <v>41964000</v>
      </c>
      <c r="I10" s="4">
        <v>41894000</v>
      </c>
      <c r="J10" s="4">
        <v>40258000</v>
      </c>
      <c r="K10" s="4">
        <v>39590000</v>
      </c>
      <c r="L10" s="4">
        <v>44502000</v>
      </c>
      <c r="M10" s="4">
        <v>39292000</v>
      </c>
      <c r="N10" s="4">
        <v>48542000</v>
      </c>
      <c r="O10" s="4">
        <v>43150000</v>
      </c>
      <c r="P10" s="4">
        <v>47346000</v>
      </c>
      <c r="Q10" s="4">
        <v>516785000</v>
      </c>
    </row>
    <row r="11" spans="1:17">
      <c r="A11" t="s">
        <v>184</v>
      </c>
      <c r="B11" t="s">
        <v>186</v>
      </c>
      <c r="C11" t="s">
        <v>21</v>
      </c>
      <c r="D11" t="s">
        <v>175</v>
      </c>
      <c r="E11" s="4">
        <v>26491000</v>
      </c>
      <c r="F11" s="4">
        <v>24337000</v>
      </c>
      <c r="G11" s="4">
        <v>25807000</v>
      </c>
      <c r="H11" s="4">
        <v>25998000</v>
      </c>
      <c r="I11" s="4">
        <v>24128000</v>
      </c>
      <c r="J11" s="4">
        <v>27632000</v>
      </c>
      <c r="K11" s="4">
        <v>22713000</v>
      </c>
      <c r="L11" s="4">
        <v>25196000</v>
      </c>
      <c r="M11" s="4">
        <v>27128000</v>
      </c>
      <c r="N11" s="4">
        <v>26223000</v>
      </c>
      <c r="O11" s="4">
        <v>24803000</v>
      </c>
      <c r="P11" s="4">
        <v>25610000</v>
      </c>
      <c r="Q11" s="4">
        <v>306066000</v>
      </c>
    </row>
    <row r="12" spans="1:17">
      <c r="A12" t="s">
        <v>187</v>
      </c>
      <c r="B12" t="s">
        <v>188</v>
      </c>
      <c r="C12" t="s">
        <v>21</v>
      </c>
      <c r="D12" t="s">
        <v>175</v>
      </c>
      <c r="E12" s="4">
        <v>27581000</v>
      </c>
      <c r="F12" s="4">
        <v>32914000</v>
      </c>
      <c r="G12" s="4">
        <v>27622000</v>
      </c>
      <c r="H12" s="4">
        <v>30737000</v>
      </c>
      <c r="I12" s="4">
        <v>29338000</v>
      </c>
      <c r="J12" s="4">
        <v>32716000</v>
      </c>
      <c r="K12" s="4">
        <v>28680000</v>
      </c>
      <c r="L12" s="4">
        <v>29437000</v>
      </c>
      <c r="M12" s="4">
        <v>30825000</v>
      </c>
      <c r="N12" s="4">
        <v>29489000</v>
      </c>
      <c r="O12" s="4">
        <v>33894000</v>
      </c>
      <c r="P12" s="4">
        <v>32491000</v>
      </c>
      <c r="Q12" s="4">
        <v>365724000</v>
      </c>
    </row>
    <row r="13" spans="1:17">
      <c r="A13" t="s">
        <v>189</v>
      </c>
      <c r="B13" t="s">
        <v>190</v>
      </c>
      <c r="C13" t="s">
        <v>21</v>
      </c>
      <c r="D13" t="s">
        <v>175</v>
      </c>
      <c r="E13" s="4">
        <v>13653000</v>
      </c>
      <c r="F13" s="4">
        <v>12237000</v>
      </c>
      <c r="G13" s="4">
        <v>11531000</v>
      </c>
      <c r="H13" s="4">
        <v>13494000</v>
      </c>
      <c r="I13" s="4">
        <v>11666000</v>
      </c>
      <c r="J13" s="4">
        <v>13129000</v>
      </c>
      <c r="K13" s="4">
        <v>12066000</v>
      </c>
      <c r="L13" s="4">
        <v>13435000</v>
      </c>
      <c r="M13" s="4">
        <v>12257000</v>
      </c>
      <c r="N13" s="4">
        <v>13485000</v>
      </c>
      <c r="O13" s="4">
        <v>12170000</v>
      </c>
      <c r="P13" s="4">
        <v>11461000</v>
      </c>
      <c r="Q13" s="4">
        <v>150584000</v>
      </c>
    </row>
    <row r="14" spans="1:17">
      <c r="A14" t="s">
        <v>191</v>
      </c>
      <c r="B14" t="s">
        <v>192</v>
      </c>
      <c r="C14" t="s">
        <v>24</v>
      </c>
      <c r="D14" t="s">
        <v>175</v>
      </c>
      <c r="E14" s="4">
        <v>18132000</v>
      </c>
      <c r="F14" s="4">
        <v>17766000</v>
      </c>
      <c r="G14" s="4">
        <v>15514000</v>
      </c>
      <c r="H14" s="4">
        <v>16110000</v>
      </c>
      <c r="I14" s="4">
        <v>18526000</v>
      </c>
      <c r="J14" s="4">
        <v>16333000</v>
      </c>
      <c r="K14" s="4">
        <v>18550000</v>
      </c>
      <c r="L14" s="4">
        <v>16862000</v>
      </c>
      <c r="M14" s="4">
        <v>15590000</v>
      </c>
      <c r="N14" s="4">
        <v>17638000</v>
      </c>
      <c r="O14" s="4">
        <v>15968000</v>
      </c>
      <c r="P14" s="4">
        <v>19107000</v>
      </c>
      <c r="Q14" s="4">
        <v>206096000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workbookViewId="0"/>
  </sheetViews>
  <sheetFormatPr baseColWidth="10" defaultColWidth="8.83203125" defaultRowHeight="14"/>
  <cols>
    <col min="1" max="1" width="12" customWidth="1"/>
    <col min="2" max="2" width="26" customWidth="1"/>
    <col min="3" max="3" width="15" customWidth="1"/>
    <col min="4" max="4" width="10" customWidth="1"/>
    <col min="5" max="5" width="24" customWidth="1"/>
    <col min="6" max="6" width="10" customWidth="1"/>
    <col min="7" max="18" width="13" customWidth="1"/>
    <col min="19" max="19" width="16" customWidth="1"/>
  </cols>
  <sheetData>
    <row r="1" spans="1:19" ht="40" customHeight="1">
      <c r="A1" s="40" t="s">
        <v>193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29.25" customHeight="1">
      <c r="A2" s="41" t="s">
        <v>194</v>
      </c>
      <c r="B2" s="41"/>
      <c r="C2" s="41"/>
      <c r="D2" s="41"/>
      <c r="E2" s="41"/>
      <c r="F2" s="4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19"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34.75" customHeight="1">
      <c r="A4" s="43" t="s">
        <v>195</v>
      </c>
      <c r="B4" s="43"/>
      <c r="C4" s="43"/>
      <c r="D4" s="43" t="s">
        <v>196</v>
      </c>
      <c r="E4" s="43"/>
      <c r="F4" s="43"/>
      <c r="G4" s="44" t="s">
        <v>197</v>
      </c>
      <c r="H4" s="44"/>
      <c r="I4" s="44"/>
      <c r="J4" s="44" t="s">
        <v>198</v>
      </c>
      <c r="K4" s="44"/>
      <c r="L4" s="44"/>
      <c r="M4" s="44" t="s">
        <v>199</v>
      </c>
      <c r="N4" s="44"/>
      <c r="O4" s="44"/>
      <c r="P4" s="44" t="s">
        <v>200</v>
      </c>
      <c r="Q4" s="44"/>
      <c r="R4" s="44"/>
      <c r="S4" s="44"/>
    </row>
    <row r="5" spans="1:19" ht="37.25" customHeight="1">
      <c r="A5" s="37">
        <f>SUMIF($E$10:$E$54,"Quantité exportée",$S$10:$S$54)</f>
        <v>3255.5899999999997</v>
      </c>
      <c r="B5" s="38"/>
      <c r="C5" s="38"/>
      <c r="D5" s="39">
        <f>SUMIF($E$10:$E$54,"Chiffre d'affaires MGA",$S$10:$S$54)</f>
        <v>20607958124</v>
      </c>
      <c r="E5" s="38"/>
      <c r="F5" s="38"/>
      <c r="G5" s="39">
        <f>SUMIFS($S$10:$S$54,$A$10:$A$54,"Japon",$E$10:$E$54,"Chiffre d'affaires MGA")</f>
        <v>6195484540</v>
      </c>
      <c r="H5" s="34"/>
      <c r="I5" s="34"/>
      <c r="J5" s="39">
        <f>SUMIFS($S$10:$S$54,$A$10:$A$54,"Russie",$E$10:$E$54,"Chiffre d'affaires MGA")</f>
        <v>7339667331</v>
      </c>
      <c r="K5" s="34"/>
      <c r="L5" s="34"/>
      <c r="M5" s="39">
        <f>SUMIFS($S$10:$S$54,$A$10:$A$54,"Chine",$E$10:$E$54,"Chiffre d'affaires MGA")</f>
        <v>7072806253</v>
      </c>
      <c r="N5" s="34"/>
      <c r="O5" s="34"/>
      <c r="P5" s="34" t="s">
        <v>201</v>
      </c>
      <c r="Q5" s="34"/>
      <c r="R5" s="34"/>
      <c r="S5" s="34"/>
    </row>
    <row r="6" spans="1:19"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29.25" customHeight="1">
      <c r="A7" s="35" t="s">
        <v>202</v>
      </c>
      <c r="B7" s="35"/>
      <c r="C7" s="35"/>
      <c r="D7" s="35"/>
      <c r="E7" s="35"/>
      <c r="F7" s="35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</row>
    <row r="8" spans="1:19"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45.25" customHeight="1">
      <c r="A9" s="7" t="s">
        <v>27</v>
      </c>
      <c r="B9" s="7" t="s">
        <v>28</v>
      </c>
      <c r="C9" s="7" t="s">
        <v>150</v>
      </c>
      <c r="D9" s="7" t="s">
        <v>29</v>
      </c>
      <c r="E9" s="7" t="s">
        <v>203</v>
      </c>
      <c r="F9" s="7" t="s">
        <v>151</v>
      </c>
      <c r="G9" s="23" t="s">
        <v>152</v>
      </c>
      <c r="H9" s="23" t="s">
        <v>153</v>
      </c>
      <c r="I9" s="23" t="s">
        <v>154</v>
      </c>
      <c r="J9" s="23" t="s">
        <v>155</v>
      </c>
      <c r="K9" s="23" t="s">
        <v>156</v>
      </c>
      <c r="L9" s="23" t="s">
        <v>157</v>
      </c>
      <c r="M9" s="23" t="s">
        <v>158</v>
      </c>
      <c r="N9" s="23" t="s">
        <v>159</v>
      </c>
      <c r="O9" s="23" t="s">
        <v>160</v>
      </c>
      <c r="P9" s="23" t="s">
        <v>161</v>
      </c>
      <c r="Q9" s="23" t="s">
        <v>162</v>
      </c>
      <c r="R9" s="23" t="s">
        <v>163</v>
      </c>
      <c r="S9" s="23" t="s">
        <v>164</v>
      </c>
    </row>
    <row r="10" spans="1:19">
      <c r="A10" s="8" t="s">
        <v>31</v>
      </c>
      <c r="B10" s="8" t="s">
        <v>32</v>
      </c>
      <c r="C10" s="9" t="s">
        <v>165</v>
      </c>
      <c r="D10" s="9" t="s">
        <v>33</v>
      </c>
      <c r="E10" s="9" t="s">
        <v>204</v>
      </c>
      <c r="F10" s="9" t="s">
        <v>166</v>
      </c>
      <c r="G10" s="24">
        <v>24.38</v>
      </c>
      <c r="H10" s="24">
        <v>18.59</v>
      </c>
      <c r="I10" s="24">
        <v>20.84</v>
      </c>
      <c r="J10" s="24">
        <v>23.01</v>
      </c>
      <c r="K10" s="24">
        <v>22.26</v>
      </c>
      <c r="L10" s="24">
        <v>17.25</v>
      </c>
      <c r="M10" s="24">
        <v>26.42</v>
      </c>
      <c r="N10" s="24">
        <v>25.86</v>
      </c>
      <c r="O10" s="24">
        <v>21.41</v>
      </c>
      <c r="P10" s="24">
        <v>25.93</v>
      </c>
      <c r="Q10" s="24">
        <v>29.15</v>
      </c>
      <c r="R10" s="24">
        <v>28.96</v>
      </c>
      <c r="S10" s="24">
        <v>284.06</v>
      </c>
    </row>
    <row r="11" spans="1:19">
      <c r="A11" s="10" t="s">
        <v>31</v>
      </c>
      <c r="B11" s="10" t="s">
        <v>32</v>
      </c>
      <c r="C11" s="11" t="s">
        <v>165</v>
      </c>
      <c r="D11" s="11" t="s">
        <v>33</v>
      </c>
      <c r="E11" s="11" t="s">
        <v>205</v>
      </c>
      <c r="F11" s="11" t="s">
        <v>33</v>
      </c>
      <c r="G11" s="25">
        <v>4738633.9400000004</v>
      </c>
      <c r="H11" s="25">
        <v>3613256.97</v>
      </c>
      <c r="I11" s="25">
        <v>4050579.62</v>
      </c>
      <c r="J11" s="25">
        <v>4472353.03</v>
      </c>
      <c r="K11" s="25">
        <v>4326578.8099999996</v>
      </c>
      <c r="L11" s="25">
        <v>3352807.03</v>
      </c>
      <c r="M11" s="25">
        <v>5135139.8099999996</v>
      </c>
      <c r="N11" s="25">
        <v>5026295.0599999996</v>
      </c>
      <c r="O11" s="25">
        <v>4161368.03</v>
      </c>
      <c r="P11" s="25">
        <v>5039900.66</v>
      </c>
      <c r="Q11" s="25">
        <v>5665757.9699999997</v>
      </c>
      <c r="R11" s="25">
        <v>5628828.5</v>
      </c>
      <c r="S11" s="25">
        <v>55211499.43</v>
      </c>
    </row>
    <row r="12" spans="1:19">
      <c r="A12" s="12" t="s">
        <v>31</v>
      </c>
      <c r="B12" s="12" t="s">
        <v>32</v>
      </c>
      <c r="C12" s="12" t="s">
        <v>165</v>
      </c>
      <c r="D12" s="12" t="s">
        <v>33</v>
      </c>
      <c r="E12" s="12" t="s">
        <v>206</v>
      </c>
      <c r="F12" s="12" t="s">
        <v>175</v>
      </c>
      <c r="G12" s="26">
        <v>151162423</v>
      </c>
      <c r="H12" s="26">
        <v>115262897</v>
      </c>
      <c r="I12" s="26">
        <v>129213490</v>
      </c>
      <c r="J12" s="26">
        <v>142668062</v>
      </c>
      <c r="K12" s="26">
        <v>138017864</v>
      </c>
      <c r="L12" s="26">
        <v>106954544</v>
      </c>
      <c r="M12" s="26">
        <v>163810960</v>
      </c>
      <c r="N12" s="26">
        <v>160338812</v>
      </c>
      <c r="O12" s="26">
        <v>132747640</v>
      </c>
      <c r="P12" s="26">
        <v>160772831</v>
      </c>
      <c r="Q12" s="26">
        <v>180737679</v>
      </c>
      <c r="R12" s="26">
        <v>179559629</v>
      </c>
      <c r="S12" s="26">
        <v>1761246831</v>
      </c>
    </row>
    <row r="13" spans="1:19">
      <c r="A13" s="10" t="s">
        <v>31</v>
      </c>
      <c r="B13" s="10" t="s">
        <v>32</v>
      </c>
      <c r="C13" s="11" t="s">
        <v>167</v>
      </c>
      <c r="D13" s="11" t="s">
        <v>33</v>
      </c>
      <c r="E13" s="11" t="s">
        <v>204</v>
      </c>
      <c r="F13" s="11" t="s">
        <v>166</v>
      </c>
      <c r="G13" s="25">
        <v>21.75</v>
      </c>
      <c r="H13" s="25">
        <v>22.83</v>
      </c>
      <c r="I13" s="25">
        <v>19.920000000000002</v>
      </c>
      <c r="J13" s="25">
        <v>18.68</v>
      </c>
      <c r="K13" s="25">
        <v>15.25</v>
      </c>
      <c r="L13" s="25">
        <v>16.7</v>
      </c>
      <c r="M13" s="25">
        <v>16.48</v>
      </c>
      <c r="N13" s="25">
        <v>22.52</v>
      </c>
      <c r="O13" s="25">
        <v>20.5</v>
      </c>
      <c r="P13" s="25">
        <v>13.22</v>
      </c>
      <c r="Q13" s="25">
        <v>18.809999999999999</v>
      </c>
      <c r="R13" s="25">
        <v>15.68</v>
      </c>
      <c r="S13" s="25">
        <v>222.34</v>
      </c>
    </row>
    <row r="14" spans="1:19">
      <c r="A14" s="10" t="s">
        <v>31</v>
      </c>
      <c r="B14" s="10" t="s">
        <v>32</v>
      </c>
      <c r="C14" s="11" t="s">
        <v>167</v>
      </c>
      <c r="D14" s="11" t="s">
        <v>33</v>
      </c>
      <c r="E14" s="11" t="s">
        <v>205</v>
      </c>
      <c r="F14" s="11" t="s">
        <v>33</v>
      </c>
      <c r="G14" s="25">
        <v>3907537.03</v>
      </c>
      <c r="H14" s="25">
        <v>4101566.46</v>
      </c>
      <c r="I14" s="25">
        <v>3578764.95</v>
      </c>
      <c r="J14" s="25">
        <v>3355990.42</v>
      </c>
      <c r="K14" s="25">
        <v>2739767.34</v>
      </c>
      <c r="L14" s="25">
        <v>3000269.81</v>
      </c>
      <c r="M14" s="25">
        <v>2960745.3</v>
      </c>
      <c r="N14" s="25">
        <v>4045872.82</v>
      </c>
      <c r="O14" s="25">
        <v>3682965.94</v>
      </c>
      <c r="P14" s="25">
        <v>2375063.89</v>
      </c>
      <c r="Q14" s="25">
        <v>3379345.82</v>
      </c>
      <c r="R14" s="25">
        <v>2817019.8</v>
      </c>
      <c r="S14" s="25">
        <v>39944909.579999998</v>
      </c>
    </row>
    <row r="15" spans="1:19">
      <c r="A15" s="12" t="s">
        <v>31</v>
      </c>
      <c r="B15" s="12" t="s">
        <v>32</v>
      </c>
      <c r="C15" s="12" t="s">
        <v>167</v>
      </c>
      <c r="D15" s="12" t="s">
        <v>33</v>
      </c>
      <c r="E15" s="12" t="s">
        <v>206</v>
      </c>
      <c r="F15" s="12" t="s">
        <v>175</v>
      </c>
      <c r="G15" s="26">
        <v>124650431</v>
      </c>
      <c r="H15" s="26">
        <v>130839970</v>
      </c>
      <c r="I15" s="26">
        <v>114162602</v>
      </c>
      <c r="J15" s="26">
        <v>107056094</v>
      </c>
      <c r="K15" s="26">
        <v>87398578</v>
      </c>
      <c r="L15" s="26">
        <v>95708607</v>
      </c>
      <c r="M15" s="26">
        <v>94447775</v>
      </c>
      <c r="N15" s="26">
        <v>129063343</v>
      </c>
      <c r="O15" s="26">
        <v>117486613</v>
      </c>
      <c r="P15" s="26">
        <v>75764538</v>
      </c>
      <c r="Q15" s="26">
        <v>107801132</v>
      </c>
      <c r="R15" s="26">
        <v>89862932</v>
      </c>
      <c r="S15" s="26">
        <v>1274242615</v>
      </c>
    </row>
    <row r="16" spans="1:19">
      <c r="A16" s="10" t="s">
        <v>31</v>
      </c>
      <c r="B16" s="10" t="s">
        <v>32</v>
      </c>
      <c r="C16" s="11" t="s">
        <v>168</v>
      </c>
      <c r="D16" s="11" t="s">
        <v>33</v>
      </c>
      <c r="E16" s="11" t="s">
        <v>204</v>
      </c>
      <c r="F16" s="11" t="s">
        <v>166</v>
      </c>
      <c r="G16" s="25">
        <v>14.57</v>
      </c>
      <c r="H16" s="25">
        <v>17.37</v>
      </c>
      <c r="I16" s="25">
        <v>15.3</v>
      </c>
      <c r="J16" s="25">
        <v>18.57</v>
      </c>
      <c r="K16" s="25">
        <v>15.85</v>
      </c>
      <c r="L16" s="25">
        <v>19.57</v>
      </c>
      <c r="M16" s="25">
        <v>14.62</v>
      </c>
      <c r="N16" s="25">
        <v>11.91</v>
      </c>
      <c r="O16" s="25">
        <v>13.55</v>
      </c>
      <c r="P16" s="25">
        <v>12.66</v>
      </c>
      <c r="Q16" s="25">
        <v>19.23</v>
      </c>
      <c r="R16" s="25">
        <v>13.99</v>
      </c>
      <c r="S16" s="25">
        <v>187.19</v>
      </c>
    </row>
    <row r="17" spans="1:19">
      <c r="A17" s="10" t="s">
        <v>31</v>
      </c>
      <c r="B17" s="10" t="s">
        <v>32</v>
      </c>
      <c r="C17" s="11" t="s">
        <v>168</v>
      </c>
      <c r="D17" s="11" t="s">
        <v>33</v>
      </c>
      <c r="E17" s="11" t="s">
        <v>205</v>
      </c>
      <c r="F17" s="11" t="s">
        <v>33</v>
      </c>
      <c r="G17" s="25">
        <v>2525755.0299999998</v>
      </c>
      <c r="H17" s="25">
        <v>3011143.78</v>
      </c>
      <c r="I17" s="25">
        <v>2652302.81</v>
      </c>
      <c r="J17" s="25">
        <v>3219167.53</v>
      </c>
      <c r="K17" s="25">
        <v>2747647.03</v>
      </c>
      <c r="L17" s="25">
        <v>3392520.66</v>
      </c>
      <c r="M17" s="25">
        <v>2534422.69</v>
      </c>
      <c r="N17" s="25">
        <v>2064635.72</v>
      </c>
      <c r="O17" s="25">
        <v>2348934.84</v>
      </c>
      <c r="P17" s="25">
        <v>2194650.56</v>
      </c>
      <c r="Q17" s="25">
        <v>3333580.59</v>
      </c>
      <c r="R17" s="25">
        <v>2425210.2200000002</v>
      </c>
      <c r="S17" s="25">
        <v>32449971.460000001</v>
      </c>
    </row>
    <row r="18" spans="1:19">
      <c r="A18" s="12" t="s">
        <v>31</v>
      </c>
      <c r="B18" s="12" t="s">
        <v>32</v>
      </c>
      <c r="C18" s="12" t="s">
        <v>168</v>
      </c>
      <c r="D18" s="12" t="s">
        <v>33</v>
      </c>
      <c r="E18" s="12" t="s">
        <v>206</v>
      </c>
      <c r="F18" s="12" t="s">
        <v>175</v>
      </c>
      <c r="G18" s="26">
        <v>80571585</v>
      </c>
      <c r="H18" s="26">
        <v>96055487</v>
      </c>
      <c r="I18" s="26">
        <v>84608460</v>
      </c>
      <c r="J18" s="26">
        <v>102691444</v>
      </c>
      <c r="K18" s="26">
        <v>87649940</v>
      </c>
      <c r="L18" s="26">
        <v>108221409</v>
      </c>
      <c r="M18" s="26">
        <v>80848084</v>
      </c>
      <c r="N18" s="26">
        <v>65861879</v>
      </c>
      <c r="O18" s="26">
        <v>74931021</v>
      </c>
      <c r="P18" s="26">
        <v>70009353</v>
      </c>
      <c r="Q18" s="26">
        <v>106341221</v>
      </c>
      <c r="R18" s="26">
        <v>77364206</v>
      </c>
      <c r="S18" s="26">
        <v>1035154089</v>
      </c>
    </row>
    <row r="19" spans="1:19">
      <c r="A19" s="10" t="s">
        <v>31</v>
      </c>
      <c r="B19" s="10" t="s">
        <v>32</v>
      </c>
      <c r="C19" s="11" t="s">
        <v>169</v>
      </c>
      <c r="D19" s="11" t="s">
        <v>33</v>
      </c>
      <c r="E19" s="11" t="s">
        <v>204</v>
      </c>
      <c r="F19" s="11" t="s">
        <v>166</v>
      </c>
      <c r="G19" s="25">
        <v>15.64</v>
      </c>
      <c r="H19" s="25">
        <v>17.940000000000001</v>
      </c>
      <c r="I19" s="25">
        <v>20.91</v>
      </c>
      <c r="J19" s="25">
        <v>18.75</v>
      </c>
      <c r="K19" s="25">
        <v>22.99</v>
      </c>
      <c r="L19" s="25">
        <v>16.37</v>
      </c>
      <c r="M19" s="25">
        <v>23.73</v>
      </c>
      <c r="N19" s="25">
        <v>21.89</v>
      </c>
      <c r="O19" s="25">
        <v>15.56</v>
      </c>
      <c r="P19" s="25">
        <v>16.57</v>
      </c>
      <c r="Q19" s="25">
        <v>19.38</v>
      </c>
      <c r="R19" s="25">
        <v>18.059999999999999</v>
      </c>
      <c r="S19" s="25">
        <v>227.79</v>
      </c>
    </row>
    <row r="20" spans="1:19">
      <c r="A20" s="10" t="s">
        <v>31</v>
      </c>
      <c r="B20" s="10" t="s">
        <v>32</v>
      </c>
      <c r="C20" s="11" t="s">
        <v>169</v>
      </c>
      <c r="D20" s="11" t="s">
        <v>33</v>
      </c>
      <c r="E20" s="11" t="s">
        <v>205</v>
      </c>
      <c r="F20" s="11" t="s">
        <v>33</v>
      </c>
      <c r="G20" s="25">
        <v>2924855.95</v>
      </c>
      <c r="H20" s="25">
        <v>3354981.83</v>
      </c>
      <c r="I20" s="25">
        <v>3910405.24</v>
      </c>
      <c r="J20" s="25">
        <v>3506460.94</v>
      </c>
      <c r="K20" s="25">
        <v>4299388.6399999997</v>
      </c>
      <c r="L20" s="25">
        <v>3061374.16</v>
      </c>
      <c r="M20" s="25">
        <v>4437776.96</v>
      </c>
      <c r="N20" s="25">
        <v>4093676.26</v>
      </c>
      <c r="O20" s="25">
        <v>2909895.05</v>
      </c>
      <c r="P20" s="25">
        <v>3098776.41</v>
      </c>
      <c r="Q20" s="25">
        <v>3624278.02</v>
      </c>
      <c r="R20" s="25">
        <v>3377423.17</v>
      </c>
      <c r="S20" s="25">
        <v>42599292.630000003</v>
      </c>
    </row>
    <row r="21" spans="1:19">
      <c r="A21" s="12" t="s">
        <v>31</v>
      </c>
      <c r="B21" s="12" t="s">
        <v>32</v>
      </c>
      <c r="C21" s="12" t="s">
        <v>169</v>
      </c>
      <c r="D21" s="12" t="s">
        <v>33</v>
      </c>
      <c r="E21" s="12" t="s">
        <v>206</v>
      </c>
      <c r="F21" s="12" t="s">
        <v>175</v>
      </c>
      <c r="G21" s="26">
        <v>93302905</v>
      </c>
      <c r="H21" s="26">
        <v>107023920</v>
      </c>
      <c r="I21" s="26">
        <v>124741927</v>
      </c>
      <c r="J21" s="26">
        <v>111856104</v>
      </c>
      <c r="K21" s="26">
        <v>137150498</v>
      </c>
      <c r="L21" s="26">
        <v>97657836</v>
      </c>
      <c r="M21" s="26">
        <v>141565085</v>
      </c>
      <c r="N21" s="26">
        <v>130588273</v>
      </c>
      <c r="O21" s="26">
        <v>92825652</v>
      </c>
      <c r="P21" s="26">
        <v>98850967</v>
      </c>
      <c r="Q21" s="26">
        <v>115614469</v>
      </c>
      <c r="R21" s="26">
        <v>107739799</v>
      </c>
      <c r="S21" s="26">
        <v>1358917435</v>
      </c>
    </row>
    <row r="22" spans="1:19">
      <c r="A22" s="10" t="s">
        <v>31</v>
      </c>
      <c r="B22" s="10" t="s">
        <v>32</v>
      </c>
      <c r="C22" s="11" t="s">
        <v>170</v>
      </c>
      <c r="D22" s="11" t="s">
        <v>33</v>
      </c>
      <c r="E22" s="11" t="s">
        <v>204</v>
      </c>
      <c r="F22" s="11" t="s">
        <v>166</v>
      </c>
      <c r="G22" s="25">
        <v>12.59</v>
      </c>
      <c r="H22" s="25">
        <v>13.62</v>
      </c>
      <c r="I22" s="25">
        <v>10.48</v>
      </c>
      <c r="J22" s="25">
        <v>11.48</v>
      </c>
      <c r="K22" s="25">
        <v>13.34</v>
      </c>
      <c r="L22" s="25">
        <v>14.38</v>
      </c>
      <c r="M22" s="25">
        <v>14.16</v>
      </c>
      <c r="N22" s="25">
        <v>13.28</v>
      </c>
      <c r="O22" s="25">
        <v>10.029999999999999</v>
      </c>
      <c r="P22" s="25">
        <v>11.21</v>
      </c>
      <c r="Q22" s="25">
        <v>12.28</v>
      </c>
      <c r="R22" s="25">
        <v>10.59</v>
      </c>
      <c r="S22" s="25">
        <v>147.44</v>
      </c>
    </row>
    <row r="23" spans="1:19">
      <c r="A23" s="10" t="s">
        <v>31</v>
      </c>
      <c r="B23" s="10" t="s">
        <v>32</v>
      </c>
      <c r="C23" s="11" t="s">
        <v>170</v>
      </c>
      <c r="D23" s="11" t="s">
        <v>33</v>
      </c>
      <c r="E23" s="11" t="s">
        <v>205</v>
      </c>
      <c r="F23" s="11" t="s">
        <v>33</v>
      </c>
      <c r="G23" s="25">
        <v>2050242.16</v>
      </c>
      <c r="H23" s="25">
        <v>2217974.44</v>
      </c>
      <c r="I23" s="25">
        <v>1706635.25</v>
      </c>
      <c r="J23" s="25">
        <v>1869482.12</v>
      </c>
      <c r="K23" s="25">
        <v>2172377.31</v>
      </c>
      <c r="L23" s="25">
        <v>2341738.06</v>
      </c>
      <c r="M23" s="25">
        <v>2305911.75</v>
      </c>
      <c r="N23" s="25">
        <v>2162606.5</v>
      </c>
      <c r="O23" s="25">
        <v>1633354.16</v>
      </c>
      <c r="P23" s="25">
        <v>1825513.47</v>
      </c>
      <c r="Q23" s="25">
        <v>1999759.62</v>
      </c>
      <c r="R23" s="25">
        <v>1724548.41</v>
      </c>
      <c r="S23" s="25">
        <v>24010143.25</v>
      </c>
    </row>
    <row r="24" spans="1:19">
      <c r="A24" s="12" t="s">
        <v>31</v>
      </c>
      <c r="B24" s="12" t="s">
        <v>32</v>
      </c>
      <c r="C24" s="12" t="s">
        <v>170</v>
      </c>
      <c r="D24" s="12" t="s">
        <v>33</v>
      </c>
      <c r="E24" s="12" t="s">
        <v>206</v>
      </c>
      <c r="F24" s="12" t="s">
        <v>175</v>
      </c>
      <c r="G24" s="26">
        <v>65402725</v>
      </c>
      <c r="H24" s="26">
        <v>70753385</v>
      </c>
      <c r="I24" s="26">
        <v>54441664</v>
      </c>
      <c r="J24" s="26">
        <v>59636480</v>
      </c>
      <c r="K24" s="26">
        <v>69298836</v>
      </c>
      <c r="L24" s="26">
        <v>74701444</v>
      </c>
      <c r="M24" s="26">
        <v>73558585</v>
      </c>
      <c r="N24" s="26">
        <v>68987147</v>
      </c>
      <c r="O24" s="26">
        <v>52103998</v>
      </c>
      <c r="P24" s="26">
        <v>58233880</v>
      </c>
      <c r="Q24" s="26">
        <v>63792332</v>
      </c>
      <c r="R24" s="26">
        <v>55013094</v>
      </c>
      <c r="S24" s="26">
        <v>765923570</v>
      </c>
    </row>
    <row r="25" spans="1:19">
      <c r="A25" s="13" t="s">
        <v>35</v>
      </c>
      <c r="B25" s="13" t="s">
        <v>36</v>
      </c>
      <c r="C25" s="14" t="s">
        <v>165</v>
      </c>
      <c r="D25" s="14" t="s">
        <v>37</v>
      </c>
      <c r="E25" s="14" t="s">
        <v>204</v>
      </c>
      <c r="F25" s="14" t="s">
        <v>166</v>
      </c>
      <c r="G25" s="27">
        <v>26.66</v>
      </c>
      <c r="H25" s="27">
        <v>30.01</v>
      </c>
      <c r="I25" s="27">
        <v>30.01</v>
      </c>
      <c r="J25" s="27">
        <v>28.98</v>
      </c>
      <c r="K25" s="27">
        <v>25.65</v>
      </c>
      <c r="L25" s="27">
        <v>21.47</v>
      </c>
      <c r="M25" s="27">
        <v>21.55</v>
      </c>
      <c r="N25" s="27">
        <v>24.97</v>
      </c>
      <c r="O25" s="27">
        <v>20.34</v>
      </c>
      <c r="P25" s="27">
        <v>28.63</v>
      </c>
      <c r="Q25" s="27">
        <v>28.04</v>
      </c>
      <c r="R25" s="27">
        <v>17.45</v>
      </c>
      <c r="S25" s="27">
        <v>303.76</v>
      </c>
    </row>
    <row r="26" spans="1:19">
      <c r="A26" s="15" t="s">
        <v>35</v>
      </c>
      <c r="B26" s="15" t="s">
        <v>36</v>
      </c>
      <c r="C26" s="16" t="s">
        <v>165</v>
      </c>
      <c r="D26" s="16" t="s">
        <v>37</v>
      </c>
      <c r="E26" s="16" t="s">
        <v>205</v>
      </c>
      <c r="F26" s="16" t="s">
        <v>37</v>
      </c>
      <c r="G26" s="28">
        <v>40614.01</v>
      </c>
      <c r="H26" s="28">
        <v>45717.42</v>
      </c>
      <c r="I26" s="28">
        <v>45717.42</v>
      </c>
      <c r="J26" s="28">
        <v>44148.31</v>
      </c>
      <c r="K26" s="28">
        <v>39075.370000000003</v>
      </c>
      <c r="L26" s="28">
        <v>32707.53</v>
      </c>
      <c r="M26" s="28">
        <v>32829.4</v>
      </c>
      <c r="N26" s="28">
        <v>38039.449999999997</v>
      </c>
      <c r="O26" s="28">
        <v>30986.080000000002</v>
      </c>
      <c r="P26" s="28">
        <v>43615.12</v>
      </c>
      <c r="Q26" s="28">
        <v>42716.31</v>
      </c>
      <c r="R26" s="28">
        <v>26583.439999999999</v>
      </c>
      <c r="S26" s="28">
        <v>462749.86</v>
      </c>
    </row>
    <row r="27" spans="1:19">
      <c r="A27" s="17" t="s">
        <v>35</v>
      </c>
      <c r="B27" s="17" t="s">
        <v>36</v>
      </c>
      <c r="C27" s="17" t="s">
        <v>165</v>
      </c>
      <c r="D27" s="17" t="s">
        <v>37</v>
      </c>
      <c r="E27" s="17" t="s">
        <v>206</v>
      </c>
      <c r="F27" s="17" t="s">
        <v>175</v>
      </c>
      <c r="G27" s="29">
        <v>189667427</v>
      </c>
      <c r="H27" s="29">
        <v>213500351</v>
      </c>
      <c r="I27" s="29">
        <v>213500351</v>
      </c>
      <c r="J27" s="29">
        <v>206172608</v>
      </c>
      <c r="K27" s="29">
        <v>182481978</v>
      </c>
      <c r="L27" s="29">
        <v>152744165</v>
      </c>
      <c r="M27" s="29">
        <v>153313298</v>
      </c>
      <c r="N27" s="29">
        <v>177644232</v>
      </c>
      <c r="O27" s="29">
        <v>144704994</v>
      </c>
      <c r="P27" s="29">
        <v>203682610</v>
      </c>
      <c r="Q27" s="29">
        <v>199485168</v>
      </c>
      <c r="R27" s="29">
        <v>124144665</v>
      </c>
      <c r="S27" s="29">
        <v>2161041847</v>
      </c>
    </row>
    <row r="28" spans="1:19">
      <c r="A28" s="15" t="s">
        <v>35</v>
      </c>
      <c r="B28" s="15" t="s">
        <v>36</v>
      </c>
      <c r="C28" s="16" t="s">
        <v>167</v>
      </c>
      <c r="D28" s="16" t="s">
        <v>37</v>
      </c>
      <c r="E28" s="16" t="s">
        <v>204</v>
      </c>
      <c r="F28" s="16" t="s">
        <v>166</v>
      </c>
      <c r="G28" s="28">
        <v>18.11</v>
      </c>
      <c r="H28" s="28">
        <v>13.33</v>
      </c>
      <c r="I28" s="28">
        <v>21.36</v>
      </c>
      <c r="J28" s="28">
        <v>15.7</v>
      </c>
      <c r="K28" s="28">
        <v>20.81</v>
      </c>
      <c r="L28" s="28">
        <v>15.14</v>
      </c>
      <c r="M28" s="28">
        <v>15.9</v>
      </c>
      <c r="N28" s="28">
        <v>21.7</v>
      </c>
      <c r="O28" s="28">
        <v>17.190000000000001</v>
      </c>
      <c r="P28" s="28">
        <v>15.34</v>
      </c>
      <c r="Q28" s="28">
        <v>13.66</v>
      </c>
      <c r="R28" s="28">
        <v>17.3</v>
      </c>
      <c r="S28" s="28">
        <v>205.54</v>
      </c>
    </row>
    <row r="29" spans="1:19">
      <c r="A29" s="15" t="s">
        <v>35</v>
      </c>
      <c r="B29" s="15" t="s">
        <v>36</v>
      </c>
      <c r="C29" s="16" t="s">
        <v>167</v>
      </c>
      <c r="D29" s="16" t="s">
        <v>37</v>
      </c>
      <c r="E29" s="16" t="s">
        <v>205</v>
      </c>
      <c r="F29" s="16" t="s">
        <v>37</v>
      </c>
      <c r="G29" s="28">
        <v>25115.4</v>
      </c>
      <c r="H29" s="28">
        <v>18486.38</v>
      </c>
      <c r="I29" s="28">
        <v>29622.58</v>
      </c>
      <c r="J29" s="28">
        <v>21773.15</v>
      </c>
      <c r="K29" s="28">
        <v>28859.83</v>
      </c>
      <c r="L29" s="28">
        <v>20996.53</v>
      </c>
      <c r="M29" s="28">
        <v>22050.52</v>
      </c>
      <c r="N29" s="28">
        <v>30094.1</v>
      </c>
      <c r="O29" s="28">
        <v>23839.52</v>
      </c>
      <c r="P29" s="28">
        <v>21273.9</v>
      </c>
      <c r="Q29" s="28">
        <v>18944.03</v>
      </c>
      <c r="R29" s="28">
        <v>23992.07</v>
      </c>
      <c r="S29" s="28">
        <v>285048.01</v>
      </c>
    </row>
    <row r="30" spans="1:19">
      <c r="A30" s="17" t="s">
        <v>35</v>
      </c>
      <c r="B30" s="17" t="s">
        <v>36</v>
      </c>
      <c r="C30" s="17" t="s">
        <v>167</v>
      </c>
      <c r="D30" s="17" t="s">
        <v>37</v>
      </c>
      <c r="E30" s="17" t="s">
        <v>206</v>
      </c>
      <c r="F30" s="17" t="s">
        <v>175</v>
      </c>
      <c r="G30" s="29">
        <v>117288918</v>
      </c>
      <c r="H30" s="29">
        <v>86331395</v>
      </c>
      <c r="I30" s="29">
        <v>138337449</v>
      </c>
      <c r="J30" s="29">
        <v>101680610</v>
      </c>
      <c r="K30" s="29">
        <v>134775406</v>
      </c>
      <c r="L30" s="29">
        <v>98053795</v>
      </c>
      <c r="M30" s="29">
        <v>102975928</v>
      </c>
      <c r="N30" s="29">
        <v>140539447</v>
      </c>
      <c r="O30" s="29">
        <v>111330558</v>
      </c>
      <c r="P30" s="29">
        <v>99349113</v>
      </c>
      <c r="Q30" s="29">
        <v>88468620</v>
      </c>
      <c r="R30" s="29">
        <v>112042967</v>
      </c>
      <c r="S30" s="29">
        <v>1331174206</v>
      </c>
    </row>
    <row r="31" spans="1:19">
      <c r="A31" s="15" t="s">
        <v>35</v>
      </c>
      <c r="B31" s="15" t="s">
        <v>36</v>
      </c>
      <c r="C31" s="16" t="s">
        <v>168</v>
      </c>
      <c r="D31" s="16" t="s">
        <v>37</v>
      </c>
      <c r="E31" s="16" t="s">
        <v>204</v>
      </c>
      <c r="F31" s="16" t="s">
        <v>166</v>
      </c>
      <c r="G31" s="28">
        <v>12.15</v>
      </c>
      <c r="H31" s="28">
        <v>18.07</v>
      </c>
      <c r="I31" s="28">
        <v>17.52</v>
      </c>
      <c r="J31" s="28">
        <v>17.71</v>
      </c>
      <c r="K31" s="28">
        <v>18.46</v>
      </c>
      <c r="L31" s="28">
        <v>14.26</v>
      </c>
      <c r="M31" s="28">
        <v>15.91</v>
      </c>
      <c r="N31" s="28">
        <v>12.39</v>
      </c>
      <c r="O31" s="28">
        <v>16.16</v>
      </c>
      <c r="P31" s="28">
        <v>16.27</v>
      </c>
      <c r="Q31" s="28">
        <v>14.49</v>
      </c>
      <c r="R31" s="28">
        <v>14.43</v>
      </c>
      <c r="S31" s="28">
        <v>187.82</v>
      </c>
    </row>
    <row r="32" spans="1:19">
      <c r="A32" s="15" t="s">
        <v>35</v>
      </c>
      <c r="B32" s="15" t="s">
        <v>36</v>
      </c>
      <c r="C32" s="16" t="s">
        <v>168</v>
      </c>
      <c r="D32" s="16" t="s">
        <v>37</v>
      </c>
      <c r="E32" s="16" t="s">
        <v>205</v>
      </c>
      <c r="F32" s="16" t="s">
        <v>37</v>
      </c>
      <c r="G32" s="28">
        <v>16211.67</v>
      </c>
      <c r="H32" s="28">
        <v>24110.69</v>
      </c>
      <c r="I32" s="28">
        <v>23376.83</v>
      </c>
      <c r="J32" s="28">
        <v>23630.34</v>
      </c>
      <c r="K32" s="28">
        <v>24631.06</v>
      </c>
      <c r="L32" s="28">
        <v>19027.03</v>
      </c>
      <c r="M32" s="28">
        <v>21228.61</v>
      </c>
      <c r="N32" s="28">
        <v>16531.900000000001</v>
      </c>
      <c r="O32" s="28">
        <v>21562.19</v>
      </c>
      <c r="P32" s="28">
        <v>21708.959999999999</v>
      </c>
      <c r="Q32" s="28">
        <v>19333.919999999998</v>
      </c>
      <c r="R32" s="28">
        <v>19253.86</v>
      </c>
      <c r="S32" s="28">
        <v>250607.06</v>
      </c>
    </row>
    <row r="33" spans="1:19">
      <c r="A33" s="17" t="s">
        <v>35</v>
      </c>
      <c r="B33" s="17" t="s">
        <v>36</v>
      </c>
      <c r="C33" s="17" t="s">
        <v>168</v>
      </c>
      <c r="D33" s="17" t="s">
        <v>37</v>
      </c>
      <c r="E33" s="17" t="s">
        <v>206</v>
      </c>
      <c r="F33" s="17" t="s">
        <v>175</v>
      </c>
      <c r="G33" s="29">
        <v>75708499</v>
      </c>
      <c r="H33" s="29">
        <v>112596922</v>
      </c>
      <c r="I33" s="29">
        <v>109169796</v>
      </c>
      <c r="J33" s="29">
        <v>110353688</v>
      </c>
      <c r="K33" s="29">
        <v>115027050</v>
      </c>
      <c r="L33" s="29">
        <v>88856230</v>
      </c>
      <c r="M33" s="29">
        <v>99137609</v>
      </c>
      <c r="N33" s="29">
        <v>77203973</v>
      </c>
      <c r="O33" s="29">
        <v>100695427</v>
      </c>
      <c r="P33" s="29">
        <v>101380843</v>
      </c>
      <c r="Q33" s="29">
        <v>90289406</v>
      </c>
      <c r="R33" s="29">
        <v>89915526</v>
      </c>
      <c r="S33" s="29">
        <v>1170334969</v>
      </c>
    </row>
    <row r="34" spans="1:19">
      <c r="A34" s="15" t="s">
        <v>35</v>
      </c>
      <c r="B34" s="15" t="s">
        <v>36</v>
      </c>
      <c r="C34" s="16" t="s">
        <v>169</v>
      </c>
      <c r="D34" s="16" t="s">
        <v>37</v>
      </c>
      <c r="E34" s="16" t="s">
        <v>204</v>
      </c>
      <c r="F34" s="16" t="s">
        <v>166</v>
      </c>
      <c r="G34" s="28">
        <v>19.5</v>
      </c>
      <c r="H34" s="28">
        <v>17.600000000000001</v>
      </c>
      <c r="I34" s="28">
        <v>27.29</v>
      </c>
      <c r="J34" s="28">
        <v>25.79</v>
      </c>
      <c r="K34" s="28">
        <v>17.52</v>
      </c>
      <c r="L34" s="28">
        <v>18.510000000000002</v>
      </c>
      <c r="M34" s="28">
        <v>26.79</v>
      </c>
      <c r="N34" s="28">
        <v>25.88</v>
      </c>
      <c r="O34" s="28">
        <v>21.67</v>
      </c>
      <c r="P34" s="28">
        <v>20.02</v>
      </c>
      <c r="Q34" s="28">
        <v>16.7</v>
      </c>
      <c r="R34" s="28">
        <v>22.74</v>
      </c>
      <c r="S34" s="28">
        <v>260.01</v>
      </c>
    </row>
    <row r="35" spans="1:19">
      <c r="A35" s="15" t="s">
        <v>35</v>
      </c>
      <c r="B35" s="15" t="s">
        <v>36</v>
      </c>
      <c r="C35" s="16" t="s">
        <v>169</v>
      </c>
      <c r="D35" s="16" t="s">
        <v>37</v>
      </c>
      <c r="E35" s="16" t="s">
        <v>205</v>
      </c>
      <c r="F35" s="16" t="s">
        <v>37</v>
      </c>
      <c r="G35" s="28">
        <v>28477.19</v>
      </c>
      <c r="H35" s="28">
        <v>25702.49</v>
      </c>
      <c r="I35" s="28">
        <v>39853.46</v>
      </c>
      <c r="J35" s="28">
        <v>37662.910000000003</v>
      </c>
      <c r="K35" s="28">
        <v>25585.66</v>
      </c>
      <c r="L35" s="28">
        <v>27031.43</v>
      </c>
      <c r="M35" s="28">
        <v>39123.279999999999</v>
      </c>
      <c r="N35" s="28">
        <v>37794.339999999997</v>
      </c>
      <c r="O35" s="28">
        <v>31646.19</v>
      </c>
      <c r="P35" s="28">
        <v>29236.58</v>
      </c>
      <c r="Q35" s="28">
        <v>24388.16</v>
      </c>
      <c r="R35" s="28">
        <v>33208.79</v>
      </c>
      <c r="S35" s="28">
        <v>379710.48</v>
      </c>
    </row>
    <row r="36" spans="1:19">
      <c r="A36" s="17" t="s">
        <v>35</v>
      </c>
      <c r="B36" s="17" t="s">
        <v>36</v>
      </c>
      <c r="C36" s="17" t="s">
        <v>169</v>
      </c>
      <c r="D36" s="17" t="s">
        <v>37</v>
      </c>
      <c r="E36" s="17" t="s">
        <v>206</v>
      </c>
      <c r="F36" s="17" t="s">
        <v>175</v>
      </c>
      <c r="G36" s="29">
        <v>132988477</v>
      </c>
      <c r="H36" s="29">
        <v>120030628</v>
      </c>
      <c r="I36" s="29">
        <v>186115658</v>
      </c>
      <c r="J36" s="29">
        <v>175885790</v>
      </c>
      <c r="K36" s="29">
        <v>119485032</v>
      </c>
      <c r="L36" s="29">
        <v>126236778</v>
      </c>
      <c r="M36" s="29">
        <v>182705718</v>
      </c>
      <c r="N36" s="29">
        <v>176499568</v>
      </c>
      <c r="O36" s="29">
        <v>147787707</v>
      </c>
      <c r="P36" s="29">
        <v>136534829</v>
      </c>
      <c r="Q36" s="29">
        <v>113892707</v>
      </c>
      <c r="R36" s="29">
        <v>155085049</v>
      </c>
      <c r="S36" s="29">
        <v>1773247941</v>
      </c>
    </row>
    <row r="37" spans="1:19">
      <c r="A37" s="15" t="s">
        <v>35</v>
      </c>
      <c r="B37" s="15" t="s">
        <v>36</v>
      </c>
      <c r="C37" s="16" t="s">
        <v>170</v>
      </c>
      <c r="D37" s="16" t="s">
        <v>37</v>
      </c>
      <c r="E37" s="16" t="s">
        <v>204</v>
      </c>
      <c r="F37" s="16" t="s">
        <v>166</v>
      </c>
      <c r="G37" s="28">
        <v>10.8</v>
      </c>
      <c r="H37" s="28">
        <v>12.59</v>
      </c>
      <c r="I37" s="28">
        <v>10.76</v>
      </c>
      <c r="J37" s="28">
        <v>12.91</v>
      </c>
      <c r="K37" s="28">
        <v>13.05</v>
      </c>
      <c r="L37" s="28">
        <v>12.95</v>
      </c>
      <c r="M37" s="28">
        <v>14.95</v>
      </c>
      <c r="N37" s="28">
        <v>11.2</v>
      </c>
      <c r="O37" s="28">
        <v>15.55</v>
      </c>
      <c r="P37" s="28">
        <v>12.77</v>
      </c>
      <c r="Q37" s="28">
        <v>13.28</v>
      </c>
      <c r="R37" s="28">
        <v>15.31</v>
      </c>
      <c r="S37" s="28">
        <v>156.12</v>
      </c>
    </row>
    <row r="38" spans="1:19">
      <c r="A38" s="15" t="s">
        <v>35</v>
      </c>
      <c r="B38" s="15" t="s">
        <v>36</v>
      </c>
      <c r="C38" s="16" t="s">
        <v>170</v>
      </c>
      <c r="D38" s="16" t="s">
        <v>37</v>
      </c>
      <c r="E38" s="16" t="s">
        <v>205</v>
      </c>
      <c r="F38" s="16" t="s">
        <v>37</v>
      </c>
      <c r="G38" s="28">
        <v>13389.17</v>
      </c>
      <c r="H38" s="28">
        <v>15608.3</v>
      </c>
      <c r="I38" s="28">
        <v>13339.58</v>
      </c>
      <c r="J38" s="28">
        <v>16005.01</v>
      </c>
      <c r="K38" s="28">
        <v>16178.57</v>
      </c>
      <c r="L38" s="28">
        <v>16054.6</v>
      </c>
      <c r="M38" s="28">
        <v>18534.080000000002</v>
      </c>
      <c r="N38" s="28">
        <v>13885.06</v>
      </c>
      <c r="O38" s="28">
        <v>19277.919999999998</v>
      </c>
      <c r="P38" s="28">
        <v>15831.45</v>
      </c>
      <c r="Q38" s="28">
        <v>16463.71</v>
      </c>
      <c r="R38" s="28">
        <v>18980.38</v>
      </c>
      <c r="S38" s="28">
        <v>193547.83</v>
      </c>
    </row>
    <row r="39" spans="1:19">
      <c r="A39" s="17" t="s">
        <v>35</v>
      </c>
      <c r="B39" s="17" t="s">
        <v>36</v>
      </c>
      <c r="C39" s="17" t="s">
        <v>170</v>
      </c>
      <c r="D39" s="17" t="s">
        <v>37</v>
      </c>
      <c r="E39" s="17" t="s">
        <v>206</v>
      </c>
      <c r="F39" s="17" t="s">
        <v>175</v>
      </c>
      <c r="G39" s="29">
        <v>62527424</v>
      </c>
      <c r="H39" s="29">
        <v>72890761</v>
      </c>
      <c r="I39" s="29">
        <v>62295839</v>
      </c>
      <c r="J39" s="29">
        <v>74743397</v>
      </c>
      <c r="K39" s="29">
        <v>75553922</v>
      </c>
      <c r="L39" s="29">
        <v>74974982</v>
      </c>
      <c r="M39" s="29">
        <v>86554154</v>
      </c>
      <c r="N39" s="29">
        <v>64843230</v>
      </c>
      <c r="O39" s="29">
        <v>90027886</v>
      </c>
      <c r="P39" s="29">
        <v>73932872</v>
      </c>
      <c r="Q39" s="29">
        <v>76885526</v>
      </c>
      <c r="R39" s="29">
        <v>88638375</v>
      </c>
      <c r="S39" s="29">
        <v>903868368</v>
      </c>
    </row>
    <row r="40" spans="1:19">
      <c r="A40" s="18" t="s">
        <v>38</v>
      </c>
      <c r="B40" s="18" t="s">
        <v>39</v>
      </c>
      <c r="C40" s="19" t="s">
        <v>165</v>
      </c>
      <c r="D40" s="19" t="s">
        <v>37</v>
      </c>
      <c r="E40" s="19" t="s">
        <v>204</v>
      </c>
      <c r="F40" s="19" t="s">
        <v>166</v>
      </c>
      <c r="G40" s="30">
        <v>21.27</v>
      </c>
      <c r="H40" s="30">
        <v>30.13</v>
      </c>
      <c r="I40" s="30">
        <v>22.14</v>
      </c>
      <c r="J40" s="30">
        <v>25.09</v>
      </c>
      <c r="K40" s="30">
        <v>24.08</v>
      </c>
      <c r="L40" s="30">
        <v>18.97</v>
      </c>
      <c r="M40" s="30">
        <v>24.24</v>
      </c>
      <c r="N40" s="30">
        <v>29.9</v>
      </c>
      <c r="O40" s="30">
        <v>26.59</v>
      </c>
      <c r="P40" s="30">
        <v>18.7</v>
      </c>
      <c r="Q40" s="30">
        <v>27.74</v>
      </c>
      <c r="R40" s="30">
        <v>25.64</v>
      </c>
      <c r="S40" s="30">
        <v>294.49</v>
      </c>
    </row>
    <row r="41" spans="1:19">
      <c r="A41" s="20" t="s">
        <v>38</v>
      </c>
      <c r="B41" s="20" t="s">
        <v>39</v>
      </c>
      <c r="C41" s="21" t="s">
        <v>165</v>
      </c>
      <c r="D41" s="21" t="s">
        <v>37</v>
      </c>
      <c r="E41" s="21" t="s">
        <v>205</v>
      </c>
      <c r="F41" s="21" t="s">
        <v>37</v>
      </c>
      <c r="G41" s="31">
        <v>32402.85</v>
      </c>
      <c r="H41" s="31">
        <v>45900.23</v>
      </c>
      <c r="I41" s="31">
        <v>33728.21</v>
      </c>
      <c r="J41" s="31">
        <v>38222.26</v>
      </c>
      <c r="K41" s="31">
        <v>36683.620000000003</v>
      </c>
      <c r="L41" s="31">
        <v>28899.02</v>
      </c>
      <c r="M41" s="31">
        <v>36927.370000000003</v>
      </c>
      <c r="N41" s="31">
        <v>45549.85</v>
      </c>
      <c r="O41" s="31">
        <v>40507.370000000003</v>
      </c>
      <c r="P41" s="31">
        <v>28487.7</v>
      </c>
      <c r="Q41" s="31">
        <v>42259.29</v>
      </c>
      <c r="R41" s="31">
        <v>39060.14</v>
      </c>
      <c r="S41" s="31">
        <v>448627.91000000003</v>
      </c>
    </row>
    <row r="42" spans="1:19">
      <c r="A42" s="22" t="s">
        <v>38</v>
      </c>
      <c r="B42" s="22" t="s">
        <v>39</v>
      </c>
      <c r="C42" s="22" t="s">
        <v>165</v>
      </c>
      <c r="D42" s="22" t="s">
        <v>37</v>
      </c>
      <c r="E42" s="22" t="s">
        <v>206</v>
      </c>
      <c r="F42" s="22" t="s">
        <v>175</v>
      </c>
      <c r="G42" s="32">
        <v>151321310</v>
      </c>
      <c r="H42" s="32">
        <v>214354074</v>
      </c>
      <c r="I42" s="32">
        <v>157510741</v>
      </c>
      <c r="J42" s="32">
        <v>178497954</v>
      </c>
      <c r="K42" s="32">
        <v>171312505</v>
      </c>
      <c r="L42" s="32">
        <v>134958423</v>
      </c>
      <c r="M42" s="32">
        <v>172450818</v>
      </c>
      <c r="N42" s="32">
        <v>212717800</v>
      </c>
      <c r="O42" s="32">
        <v>189169418</v>
      </c>
      <c r="P42" s="32">
        <v>133037559</v>
      </c>
      <c r="Q42" s="32">
        <v>197350884</v>
      </c>
      <c r="R42" s="32">
        <v>182410854</v>
      </c>
      <c r="S42" s="32">
        <v>2095092340</v>
      </c>
    </row>
    <row r="43" spans="1:19">
      <c r="A43" s="20" t="s">
        <v>38</v>
      </c>
      <c r="B43" s="20" t="s">
        <v>39</v>
      </c>
      <c r="C43" s="21" t="s">
        <v>167</v>
      </c>
      <c r="D43" s="21" t="s">
        <v>37</v>
      </c>
      <c r="E43" s="21" t="s">
        <v>204</v>
      </c>
      <c r="F43" s="21" t="s">
        <v>166</v>
      </c>
      <c r="G43" s="31">
        <v>13.73</v>
      </c>
      <c r="H43" s="31">
        <v>19.91</v>
      </c>
      <c r="I43" s="31">
        <v>13.46</v>
      </c>
      <c r="J43" s="31">
        <v>21.16</v>
      </c>
      <c r="K43" s="31">
        <v>22.71</v>
      </c>
      <c r="L43" s="31">
        <v>14.94</v>
      </c>
      <c r="M43" s="31">
        <v>15.84</v>
      </c>
      <c r="N43" s="31">
        <v>18.62</v>
      </c>
      <c r="O43" s="31">
        <v>16.75</v>
      </c>
      <c r="P43" s="31">
        <v>17.78</v>
      </c>
      <c r="Q43" s="31">
        <v>15.01</v>
      </c>
      <c r="R43" s="31">
        <v>13.66</v>
      </c>
      <c r="S43" s="31">
        <v>203.57</v>
      </c>
    </row>
    <row r="44" spans="1:19">
      <c r="A44" s="20" t="s">
        <v>38</v>
      </c>
      <c r="B44" s="20" t="s">
        <v>39</v>
      </c>
      <c r="C44" s="21" t="s">
        <v>167</v>
      </c>
      <c r="D44" s="21" t="s">
        <v>37</v>
      </c>
      <c r="E44" s="21" t="s">
        <v>205</v>
      </c>
      <c r="F44" s="21" t="s">
        <v>37</v>
      </c>
      <c r="G44" s="31">
        <v>19041.11</v>
      </c>
      <c r="H44" s="31">
        <v>27611.69</v>
      </c>
      <c r="I44" s="31">
        <v>18666.66</v>
      </c>
      <c r="J44" s="31">
        <v>29345.22</v>
      </c>
      <c r="K44" s="31">
        <v>31494.799999999999</v>
      </c>
      <c r="L44" s="31">
        <v>20719.169999999998</v>
      </c>
      <c r="M44" s="31">
        <v>21967.31</v>
      </c>
      <c r="N44" s="31">
        <v>25822.68</v>
      </c>
      <c r="O44" s="31">
        <v>23229.32</v>
      </c>
      <c r="P44" s="31">
        <v>24657.75</v>
      </c>
      <c r="Q44" s="31">
        <v>20816.240000000002</v>
      </c>
      <c r="R44" s="31">
        <v>18944.03</v>
      </c>
      <c r="S44" s="31">
        <v>282315.98</v>
      </c>
    </row>
    <row r="45" spans="1:19">
      <c r="A45" s="22" t="s">
        <v>38</v>
      </c>
      <c r="B45" s="22" t="s">
        <v>39</v>
      </c>
      <c r="C45" s="22" t="s">
        <v>167</v>
      </c>
      <c r="D45" s="22" t="s">
        <v>37</v>
      </c>
      <c r="E45" s="22" t="s">
        <v>206</v>
      </c>
      <c r="F45" s="22" t="s">
        <v>175</v>
      </c>
      <c r="G45" s="32">
        <v>88921984</v>
      </c>
      <c r="H45" s="32">
        <v>128946592</v>
      </c>
      <c r="I45" s="32">
        <v>87173302</v>
      </c>
      <c r="J45" s="32">
        <v>137042177</v>
      </c>
      <c r="K45" s="32">
        <v>147080716</v>
      </c>
      <c r="L45" s="32">
        <v>96758524</v>
      </c>
      <c r="M45" s="32">
        <v>102587338</v>
      </c>
      <c r="N45" s="32">
        <v>120591916</v>
      </c>
      <c r="O45" s="32">
        <v>108480924</v>
      </c>
      <c r="P45" s="32">
        <v>115151692</v>
      </c>
      <c r="Q45" s="32">
        <v>97211841</v>
      </c>
      <c r="R45" s="32">
        <v>88468620</v>
      </c>
      <c r="S45" s="32">
        <v>1318415626</v>
      </c>
    </row>
    <row r="46" spans="1:19">
      <c r="A46" s="20" t="s">
        <v>38</v>
      </c>
      <c r="B46" s="20" t="s">
        <v>39</v>
      </c>
      <c r="C46" s="21" t="s">
        <v>168</v>
      </c>
      <c r="D46" s="21" t="s">
        <v>37</v>
      </c>
      <c r="E46" s="21" t="s">
        <v>204</v>
      </c>
      <c r="F46" s="21" t="s">
        <v>166</v>
      </c>
      <c r="G46" s="31">
        <v>13.24</v>
      </c>
      <c r="H46" s="31">
        <v>12.95</v>
      </c>
      <c r="I46" s="31">
        <v>17.34</v>
      </c>
      <c r="J46" s="31">
        <v>15.98</v>
      </c>
      <c r="K46" s="31">
        <v>16.48</v>
      </c>
      <c r="L46" s="31">
        <v>11.83</v>
      </c>
      <c r="M46" s="31">
        <v>13.56</v>
      </c>
      <c r="N46" s="31">
        <v>14.85</v>
      </c>
      <c r="O46" s="31">
        <v>16.45</v>
      </c>
      <c r="P46" s="31">
        <v>15.76</v>
      </c>
      <c r="Q46" s="31">
        <v>18.29</v>
      </c>
      <c r="R46" s="31">
        <v>12.96</v>
      </c>
      <c r="S46" s="31">
        <v>179.69</v>
      </c>
    </row>
    <row r="47" spans="1:19">
      <c r="A47" s="20" t="s">
        <v>38</v>
      </c>
      <c r="B47" s="20" t="s">
        <v>39</v>
      </c>
      <c r="C47" s="21" t="s">
        <v>168</v>
      </c>
      <c r="D47" s="21" t="s">
        <v>37</v>
      </c>
      <c r="E47" s="21" t="s">
        <v>205</v>
      </c>
      <c r="F47" s="21" t="s">
        <v>37</v>
      </c>
      <c r="G47" s="31">
        <v>17666.05</v>
      </c>
      <c r="H47" s="31">
        <v>17279.099999999999</v>
      </c>
      <c r="I47" s="31">
        <v>23136.65</v>
      </c>
      <c r="J47" s="31">
        <v>21322.01</v>
      </c>
      <c r="K47" s="31">
        <v>21989.16</v>
      </c>
      <c r="L47" s="31">
        <v>15784.7</v>
      </c>
      <c r="M47" s="31">
        <v>18093.02</v>
      </c>
      <c r="N47" s="31">
        <v>19814.259999999998</v>
      </c>
      <c r="O47" s="31">
        <v>21949.13</v>
      </c>
      <c r="P47" s="31">
        <v>21028.47</v>
      </c>
      <c r="Q47" s="31">
        <v>24404.23</v>
      </c>
      <c r="R47" s="31">
        <v>17292.45</v>
      </c>
      <c r="S47" s="31">
        <v>239759.23</v>
      </c>
    </row>
    <row r="48" spans="1:19">
      <c r="A48" s="22" t="s">
        <v>38</v>
      </c>
      <c r="B48" s="22" t="s">
        <v>39</v>
      </c>
      <c r="C48" s="22" t="s">
        <v>168</v>
      </c>
      <c r="D48" s="22" t="s">
        <v>37</v>
      </c>
      <c r="E48" s="22" t="s">
        <v>206</v>
      </c>
      <c r="F48" s="22" t="s">
        <v>175</v>
      </c>
      <c r="G48" s="32">
        <v>82500454</v>
      </c>
      <c r="H48" s="32">
        <v>80693397</v>
      </c>
      <c r="I48" s="32">
        <v>108048156</v>
      </c>
      <c r="J48" s="32">
        <v>99573787</v>
      </c>
      <c r="K48" s="32">
        <v>102689377</v>
      </c>
      <c r="L48" s="32">
        <v>73714549</v>
      </c>
      <c r="M48" s="32">
        <v>84494403</v>
      </c>
      <c r="N48" s="32">
        <v>92532594</v>
      </c>
      <c r="O48" s="32">
        <v>102502437</v>
      </c>
      <c r="P48" s="32">
        <v>98202955</v>
      </c>
      <c r="Q48" s="32">
        <v>113967754</v>
      </c>
      <c r="R48" s="32">
        <v>80755742</v>
      </c>
      <c r="S48" s="32">
        <v>1119675605</v>
      </c>
    </row>
    <row r="49" spans="1:19">
      <c r="A49" s="20" t="s">
        <v>38</v>
      </c>
      <c r="B49" s="20" t="s">
        <v>39</v>
      </c>
      <c r="C49" s="21" t="s">
        <v>169</v>
      </c>
      <c r="D49" s="21" t="s">
        <v>37</v>
      </c>
      <c r="E49" s="21" t="s">
        <v>204</v>
      </c>
      <c r="F49" s="21" t="s">
        <v>166</v>
      </c>
      <c r="G49" s="31">
        <v>19.32</v>
      </c>
      <c r="H49" s="31">
        <v>24</v>
      </c>
      <c r="I49" s="31">
        <v>15.91</v>
      </c>
      <c r="J49" s="31">
        <v>15.52</v>
      </c>
      <c r="K49" s="31">
        <v>16.559999999999999</v>
      </c>
      <c r="L49" s="31">
        <v>22.46</v>
      </c>
      <c r="M49" s="31">
        <v>23.88</v>
      </c>
      <c r="N49" s="31">
        <v>25.19</v>
      </c>
      <c r="O49" s="31">
        <v>18.510000000000002</v>
      </c>
      <c r="P49" s="31">
        <v>24.51</v>
      </c>
      <c r="Q49" s="31">
        <v>17.39</v>
      </c>
      <c r="R49" s="31">
        <v>17.72</v>
      </c>
      <c r="S49" s="31">
        <v>240.97</v>
      </c>
    </row>
    <row r="50" spans="1:19">
      <c r="A50" s="20" t="s">
        <v>38</v>
      </c>
      <c r="B50" s="20" t="s">
        <v>39</v>
      </c>
      <c r="C50" s="21" t="s">
        <v>169</v>
      </c>
      <c r="D50" s="21" t="s">
        <v>37</v>
      </c>
      <c r="E50" s="21" t="s">
        <v>205</v>
      </c>
      <c r="F50" s="21" t="s">
        <v>37</v>
      </c>
      <c r="G50" s="31">
        <v>28214.32</v>
      </c>
      <c r="H50" s="31">
        <v>35048.85</v>
      </c>
      <c r="I50" s="31">
        <v>23234.47</v>
      </c>
      <c r="J50" s="31">
        <v>22664.92</v>
      </c>
      <c r="K50" s="31">
        <v>24183.71</v>
      </c>
      <c r="L50" s="31">
        <v>32799.879999999997</v>
      </c>
      <c r="M50" s="31">
        <v>34873.61</v>
      </c>
      <c r="N50" s="31">
        <v>36786.69</v>
      </c>
      <c r="O50" s="31">
        <v>27031.43</v>
      </c>
      <c r="P50" s="31">
        <v>35793.64</v>
      </c>
      <c r="Q50" s="31">
        <v>25395.81</v>
      </c>
      <c r="R50" s="31">
        <v>25877.73</v>
      </c>
      <c r="S50" s="31">
        <v>351905.06</v>
      </c>
    </row>
    <row r="51" spans="1:19">
      <c r="A51" s="22" t="s">
        <v>38</v>
      </c>
      <c r="B51" s="22" t="s">
        <v>39</v>
      </c>
      <c r="C51" s="22" t="s">
        <v>169</v>
      </c>
      <c r="D51" s="22" t="s">
        <v>37</v>
      </c>
      <c r="E51" s="22" t="s">
        <v>206</v>
      </c>
      <c r="F51" s="22" t="s">
        <v>175</v>
      </c>
      <c r="G51" s="32">
        <v>131760874</v>
      </c>
      <c r="H51" s="32">
        <v>163678130</v>
      </c>
      <c r="I51" s="32">
        <v>108504975</v>
      </c>
      <c r="J51" s="32">
        <v>105845176</v>
      </c>
      <c r="K51" s="32">
        <v>112937926</v>
      </c>
      <c r="L51" s="32">
        <v>153175440</v>
      </c>
      <c r="M51" s="32">
        <v>162859759</v>
      </c>
      <c r="N51" s="32">
        <v>171793842</v>
      </c>
      <c r="O51" s="32">
        <v>126236778</v>
      </c>
      <c r="P51" s="32">
        <v>167156299</v>
      </c>
      <c r="Q51" s="32">
        <v>118598433</v>
      </c>
      <c r="R51" s="32">
        <v>120848999</v>
      </c>
      <c r="S51" s="32">
        <v>1643396631</v>
      </c>
    </row>
    <row r="52" spans="1:19">
      <c r="A52" s="20" t="s">
        <v>38</v>
      </c>
      <c r="B52" s="20" t="s">
        <v>39</v>
      </c>
      <c r="C52" s="21" t="s">
        <v>170</v>
      </c>
      <c r="D52" s="21" t="s">
        <v>37</v>
      </c>
      <c r="E52" s="21" t="s">
        <v>204</v>
      </c>
      <c r="F52" s="21" t="s">
        <v>166</v>
      </c>
      <c r="G52" s="31">
        <v>15.13</v>
      </c>
      <c r="H52" s="31">
        <v>12.3</v>
      </c>
      <c r="I52" s="31">
        <v>12.37</v>
      </c>
      <c r="J52" s="31">
        <v>15.25</v>
      </c>
      <c r="K52" s="31">
        <v>10.48</v>
      </c>
      <c r="L52" s="31">
        <v>10.87</v>
      </c>
      <c r="M52" s="31">
        <v>16.22</v>
      </c>
      <c r="N52" s="31">
        <v>10.79</v>
      </c>
      <c r="O52" s="31">
        <v>10.4</v>
      </c>
      <c r="P52" s="31">
        <v>16.399999999999999</v>
      </c>
      <c r="Q52" s="31">
        <v>12.29</v>
      </c>
      <c r="R52" s="31">
        <v>12.3</v>
      </c>
      <c r="S52" s="31">
        <v>154.80000000000001</v>
      </c>
    </row>
    <row r="53" spans="1:19">
      <c r="A53" s="20" t="s">
        <v>38</v>
      </c>
      <c r="B53" s="20" t="s">
        <v>39</v>
      </c>
      <c r="C53" s="21" t="s">
        <v>170</v>
      </c>
      <c r="D53" s="21" t="s">
        <v>37</v>
      </c>
      <c r="E53" s="21" t="s">
        <v>205</v>
      </c>
      <c r="F53" s="21" t="s">
        <v>37</v>
      </c>
      <c r="G53" s="31">
        <v>18757.23</v>
      </c>
      <c r="H53" s="31">
        <v>15248.77</v>
      </c>
      <c r="I53" s="31">
        <v>15335.55</v>
      </c>
      <c r="J53" s="31">
        <v>18906</v>
      </c>
      <c r="K53" s="31">
        <v>12992.45</v>
      </c>
      <c r="L53" s="31">
        <v>13475.95</v>
      </c>
      <c r="M53" s="31">
        <v>20108.54</v>
      </c>
      <c r="N53" s="31">
        <v>13376.77</v>
      </c>
      <c r="O53" s="31">
        <v>12893.27</v>
      </c>
      <c r="P53" s="31">
        <v>20331.689999999999</v>
      </c>
      <c r="Q53" s="31">
        <v>15236.37</v>
      </c>
      <c r="R53" s="31">
        <v>15248.77</v>
      </c>
      <c r="S53" s="31">
        <v>191911.36000000002</v>
      </c>
    </row>
    <row r="54" spans="1:19">
      <c r="A54" s="22" t="s">
        <v>38</v>
      </c>
      <c r="B54" s="22" t="s">
        <v>39</v>
      </c>
      <c r="C54" s="22" t="s">
        <v>170</v>
      </c>
      <c r="D54" s="22" t="s">
        <v>37</v>
      </c>
      <c r="E54" s="22" t="s">
        <v>206</v>
      </c>
      <c r="F54" s="22" t="s">
        <v>175</v>
      </c>
      <c r="G54" s="32">
        <v>87596264</v>
      </c>
      <c r="H54" s="32">
        <v>71211756</v>
      </c>
      <c r="I54" s="32">
        <v>71617018</v>
      </c>
      <c r="J54" s="32">
        <v>88291020</v>
      </c>
      <c r="K54" s="32">
        <v>60674742</v>
      </c>
      <c r="L54" s="32">
        <v>62932686</v>
      </c>
      <c r="M54" s="32">
        <v>93906882</v>
      </c>
      <c r="N54" s="32">
        <v>62469516</v>
      </c>
      <c r="O54" s="32">
        <v>60211571</v>
      </c>
      <c r="P54" s="32">
        <v>94948992</v>
      </c>
      <c r="Q54" s="32">
        <v>71153848</v>
      </c>
      <c r="R54" s="32">
        <v>71211756</v>
      </c>
      <c r="S54" s="32">
        <v>896226051</v>
      </c>
    </row>
  </sheetData>
  <mergeCells count="15">
    <mergeCell ref="A1:S1"/>
    <mergeCell ref="A2:S2"/>
    <mergeCell ref="A4:C4"/>
    <mergeCell ref="D4:F4"/>
    <mergeCell ref="G4:I4"/>
    <mergeCell ref="J4:L4"/>
    <mergeCell ref="M4:O4"/>
    <mergeCell ref="P4:S4"/>
    <mergeCell ref="P5:S5"/>
    <mergeCell ref="A7:S7"/>
    <mergeCell ref="A5:C5"/>
    <mergeCell ref="D5:F5"/>
    <mergeCell ref="G5:I5"/>
    <mergeCell ref="J5:L5"/>
    <mergeCell ref="M5:O5"/>
  </mergeCells>
  <conditionalFormatting sqref="S10:S54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{55A74A3F-6AFA-3C89-6848-3917534EA35A}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A74A3F-6AFA-3C89-6848-3917534EA35A}">
            <x14:dataBar>
              <x14:cfvo type="min"/>
              <x14:cfvo type="max"/>
              <x14:negativeFillColor auto="1"/>
              <x14:axisColor auto="1"/>
            </x14:dataBar>
          </x14:cfRule>
          <xm:sqref>S10:S54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"/>
  <sheetViews>
    <sheetView workbookViewId="0"/>
  </sheetViews>
  <sheetFormatPr baseColWidth="10" defaultColWidth="8.83203125" defaultRowHeight="14"/>
  <cols>
    <col min="1" max="1" width="5.1640625" customWidth="1"/>
    <col min="2" max="2" width="30" customWidth="1"/>
    <col min="3" max="3" width="24" customWidth="1"/>
    <col min="4" max="4" width="4.6640625" customWidth="1"/>
    <col min="5" max="16" width="8.83203125" customWidth="1"/>
    <col min="17" max="17" width="9.83203125" customWidth="1"/>
  </cols>
  <sheetData>
    <row r="1" spans="1:17" ht="32">
      <c r="A1" s="1" t="s">
        <v>27</v>
      </c>
      <c r="B1" s="1" t="s">
        <v>28</v>
      </c>
      <c r="C1" s="1" t="s">
        <v>207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</row>
    <row r="2" spans="1:17">
      <c r="A2" t="s">
        <v>31</v>
      </c>
      <c r="B2" t="s">
        <v>32</v>
      </c>
      <c r="C2" t="s">
        <v>208</v>
      </c>
      <c r="D2" t="s">
        <v>175</v>
      </c>
      <c r="E2" s="4">
        <v>17610000</v>
      </c>
      <c r="F2" s="4">
        <v>16889000</v>
      </c>
      <c r="G2" s="4">
        <v>18146000</v>
      </c>
      <c r="H2" s="4">
        <v>16528000</v>
      </c>
      <c r="I2" s="4">
        <v>15626000</v>
      </c>
      <c r="J2" s="4">
        <v>18048000</v>
      </c>
      <c r="K2" s="4">
        <v>16419000</v>
      </c>
      <c r="L2" s="4">
        <v>13962000</v>
      </c>
      <c r="M2" s="4">
        <v>17805000</v>
      </c>
      <c r="N2" s="4">
        <v>17051000</v>
      </c>
      <c r="O2" s="4">
        <v>14077000</v>
      </c>
      <c r="P2" s="4">
        <v>13900000</v>
      </c>
      <c r="Q2" s="4">
        <v>196061000</v>
      </c>
    </row>
    <row r="3" spans="1:17">
      <c r="A3" t="s">
        <v>31</v>
      </c>
      <c r="B3" t="s">
        <v>32</v>
      </c>
      <c r="C3" t="s">
        <v>209</v>
      </c>
      <c r="D3" t="s">
        <v>175</v>
      </c>
      <c r="E3" s="4">
        <v>7762000</v>
      </c>
      <c r="F3" s="4">
        <v>7559000</v>
      </c>
      <c r="G3" s="4">
        <v>6544000</v>
      </c>
      <c r="H3" s="4">
        <v>6575000</v>
      </c>
      <c r="I3" s="4">
        <v>7601000</v>
      </c>
      <c r="J3" s="4">
        <v>6612000</v>
      </c>
      <c r="K3" s="4">
        <v>8272000</v>
      </c>
      <c r="L3" s="4">
        <v>8349000</v>
      </c>
      <c r="M3" s="4">
        <v>6265000</v>
      </c>
      <c r="N3" s="4">
        <v>8323000</v>
      </c>
      <c r="O3" s="4">
        <v>7616000</v>
      </c>
      <c r="P3" s="4">
        <v>8197000</v>
      </c>
      <c r="Q3" s="4">
        <v>89675000</v>
      </c>
    </row>
    <row r="4" spans="1:17">
      <c r="A4" t="s">
        <v>31</v>
      </c>
      <c r="B4" t="s">
        <v>32</v>
      </c>
      <c r="C4" t="s">
        <v>210</v>
      </c>
      <c r="D4" t="s">
        <v>175</v>
      </c>
      <c r="E4" s="4">
        <v>10807000</v>
      </c>
      <c r="F4" s="4">
        <v>9309000</v>
      </c>
      <c r="G4" s="4">
        <v>9542000</v>
      </c>
      <c r="H4" s="4">
        <v>8481000</v>
      </c>
      <c r="I4" s="4">
        <v>10007000</v>
      </c>
      <c r="J4" s="4">
        <v>11098000</v>
      </c>
      <c r="K4" s="4">
        <v>10960000</v>
      </c>
      <c r="L4" s="4">
        <v>9909000</v>
      </c>
      <c r="M4" s="4">
        <v>8864000</v>
      </c>
      <c r="N4" s="4">
        <v>10819000</v>
      </c>
      <c r="O4" s="4">
        <v>10122000</v>
      </c>
      <c r="P4" s="4">
        <v>11345000</v>
      </c>
      <c r="Q4" s="4">
        <v>121263000</v>
      </c>
    </row>
    <row r="5" spans="1:17">
      <c r="A5" t="s">
        <v>31</v>
      </c>
      <c r="B5" t="s">
        <v>32</v>
      </c>
      <c r="C5" t="s">
        <v>211</v>
      </c>
      <c r="D5" t="s">
        <v>175</v>
      </c>
      <c r="E5" s="4">
        <v>54951000</v>
      </c>
      <c r="F5" s="4">
        <v>57499000</v>
      </c>
      <c r="G5" s="4">
        <v>57240000</v>
      </c>
      <c r="H5" s="4">
        <v>62881000</v>
      </c>
      <c r="I5" s="4">
        <v>58526000</v>
      </c>
      <c r="J5" s="4">
        <v>52783000</v>
      </c>
      <c r="K5" s="4">
        <v>51590000</v>
      </c>
      <c r="L5" s="4">
        <v>58727000</v>
      </c>
      <c r="M5" s="4">
        <v>55034000</v>
      </c>
      <c r="N5" s="4">
        <v>53112000</v>
      </c>
      <c r="O5" s="4">
        <v>61131000</v>
      </c>
      <c r="P5" s="4">
        <v>56110000</v>
      </c>
      <c r="Q5" s="4">
        <v>679584000</v>
      </c>
    </row>
    <row r="6" spans="1:17">
      <c r="A6" t="s">
        <v>31</v>
      </c>
      <c r="B6" t="s">
        <v>32</v>
      </c>
      <c r="C6" t="s">
        <v>212</v>
      </c>
      <c r="D6" t="s">
        <v>175</v>
      </c>
      <c r="E6" s="4">
        <v>5352000</v>
      </c>
      <c r="F6" s="4">
        <v>4664000</v>
      </c>
      <c r="G6" s="4">
        <v>4947000</v>
      </c>
      <c r="H6" s="4">
        <v>4567000</v>
      </c>
      <c r="I6" s="4">
        <v>5447000</v>
      </c>
      <c r="J6" s="4">
        <v>4620000</v>
      </c>
      <c r="K6" s="4">
        <v>5976000</v>
      </c>
      <c r="L6" s="4">
        <v>5406000</v>
      </c>
      <c r="M6" s="4">
        <v>5122000</v>
      </c>
      <c r="N6" s="4">
        <v>5535000</v>
      </c>
      <c r="O6" s="4">
        <v>5423000</v>
      </c>
      <c r="P6" s="4">
        <v>5235000</v>
      </c>
      <c r="Q6" s="4">
        <v>62294000</v>
      </c>
    </row>
    <row r="7" spans="1:17">
      <c r="A7" t="s">
        <v>31</v>
      </c>
      <c r="B7" t="s">
        <v>32</v>
      </c>
      <c r="C7" t="s">
        <v>213</v>
      </c>
      <c r="D7" t="s">
        <v>175</v>
      </c>
      <c r="E7" s="4">
        <v>3689000</v>
      </c>
      <c r="F7" s="4">
        <v>3180000</v>
      </c>
      <c r="G7" s="4">
        <v>4156000</v>
      </c>
      <c r="H7" s="4">
        <v>3305000</v>
      </c>
      <c r="I7" s="4">
        <v>3273000</v>
      </c>
      <c r="J7" s="4">
        <v>3258000</v>
      </c>
      <c r="K7" s="4">
        <v>3751000</v>
      </c>
      <c r="L7" s="4">
        <v>3439000</v>
      </c>
      <c r="M7" s="4">
        <v>4238000</v>
      </c>
      <c r="N7" s="4">
        <v>3990000</v>
      </c>
      <c r="O7" s="4">
        <v>3235000</v>
      </c>
      <c r="P7" s="4">
        <v>3826000</v>
      </c>
      <c r="Q7" s="4">
        <v>43340000</v>
      </c>
    </row>
    <row r="8" spans="1:17">
      <c r="A8" t="s">
        <v>35</v>
      </c>
      <c r="B8" t="s">
        <v>36</v>
      </c>
      <c r="C8" t="s">
        <v>208</v>
      </c>
      <c r="D8" t="s">
        <v>175</v>
      </c>
      <c r="E8" s="4">
        <v>15289000</v>
      </c>
      <c r="F8" s="4">
        <v>19660000</v>
      </c>
      <c r="G8" s="4">
        <v>19356000</v>
      </c>
      <c r="H8" s="4">
        <v>18383000</v>
      </c>
      <c r="I8" s="4">
        <v>16259000</v>
      </c>
      <c r="J8" s="4">
        <v>17107000</v>
      </c>
      <c r="K8" s="4">
        <v>16338000</v>
      </c>
      <c r="L8" s="4">
        <v>19312000</v>
      </c>
      <c r="M8" s="4">
        <v>18245000</v>
      </c>
      <c r="N8" s="4">
        <v>16741000</v>
      </c>
      <c r="O8" s="4">
        <v>17331000</v>
      </c>
      <c r="P8" s="4">
        <v>19063000</v>
      </c>
      <c r="Q8" s="4">
        <v>213084000</v>
      </c>
    </row>
    <row r="9" spans="1:17">
      <c r="A9" t="s">
        <v>35</v>
      </c>
      <c r="B9" t="s">
        <v>36</v>
      </c>
      <c r="C9" t="s">
        <v>209</v>
      </c>
      <c r="D9" t="s">
        <v>175</v>
      </c>
      <c r="E9" s="4">
        <v>7718000</v>
      </c>
      <c r="F9" s="4">
        <v>7884000</v>
      </c>
      <c r="G9" s="4">
        <v>8137000</v>
      </c>
      <c r="H9" s="4">
        <v>7764000</v>
      </c>
      <c r="I9" s="4">
        <v>8548000</v>
      </c>
      <c r="J9" s="4">
        <v>8120000</v>
      </c>
      <c r="K9" s="4">
        <v>8125000</v>
      </c>
      <c r="L9" s="4">
        <v>7869000</v>
      </c>
      <c r="M9" s="4">
        <v>6762000</v>
      </c>
      <c r="N9" s="4">
        <v>8967000</v>
      </c>
      <c r="O9" s="4">
        <v>7637000</v>
      </c>
      <c r="P9" s="4">
        <v>6804000</v>
      </c>
      <c r="Q9" s="4">
        <v>94335000</v>
      </c>
    </row>
    <row r="10" spans="1:17">
      <c r="A10" t="s">
        <v>35</v>
      </c>
      <c r="B10" t="s">
        <v>36</v>
      </c>
      <c r="C10" t="s">
        <v>210</v>
      </c>
      <c r="D10" t="s">
        <v>175</v>
      </c>
      <c r="E10" s="4">
        <v>10675000</v>
      </c>
      <c r="F10" s="4">
        <v>9623000</v>
      </c>
      <c r="G10" s="4">
        <v>9949000</v>
      </c>
      <c r="H10" s="4">
        <v>10856000</v>
      </c>
      <c r="I10" s="4">
        <v>10034000</v>
      </c>
      <c r="J10" s="4">
        <v>10566000</v>
      </c>
      <c r="K10" s="4">
        <v>11548000</v>
      </c>
      <c r="L10" s="4">
        <v>9254000</v>
      </c>
      <c r="M10" s="4">
        <v>11117000</v>
      </c>
      <c r="N10" s="4">
        <v>10851000</v>
      </c>
      <c r="O10" s="4">
        <v>12253000</v>
      </c>
      <c r="P10" s="4">
        <v>9564000</v>
      </c>
      <c r="Q10" s="4">
        <v>126290000</v>
      </c>
    </row>
    <row r="11" spans="1:17">
      <c r="A11" t="s">
        <v>35</v>
      </c>
      <c r="B11" t="s">
        <v>36</v>
      </c>
      <c r="C11" t="s">
        <v>211</v>
      </c>
      <c r="D11" t="s">
        <v>175</v>
      </c>
      <c r="E11" s="4">
        <v>58022000</v>
      </c>
      <c r="F11" s="4">
        <v>55273000</v>
      </c>
      <c r="G11" s="4">
        <v>52721000</v>
      </c>
      <c r="H11" s="4">
        <v>54426000</v>
      </c>
      <c r="I11" s="4">
        <v>58690000</v>
      </c>
      <c r="J11" s="4">
        <v>53357000</v>
      </c>
      <c r="K11" s="4">
        <v>53259000</v>
      </c>
      <c r="L11" s="4">
        <v>69283000</v>
      </c>
      <c r="M11" s="4">
        <v>58609000</v>
      </c>
      <c r="N11" s="4">
        <v>51449000</v>
      </c>
      <c r="O11" s="4">
        <v>54907000</v>
      </c>
      <c r="P11" s="4">
        <v>56104000</v>
      </c>
      <c r="Q11" s="4">
        <v>676100000</v>
      </c>
    </row>
    <row r="12" spans="1:17">
      <c r="A12" t="s">
        <v>35</v>
      </c>
      <c r="B12" t="s">
        <v>36</v>
      </c>
      <c r="C12" t="s">
        <v>212</v>
      </c>
      <c r="D12" t="s">
        <v>175</v>
      </c>
      <c r="E12" s="4">
        <v>6271000</v>
      </c>
      <c r="F12" s="4">
        <v>5795000</v>
      </c>
      <c r="G12" s="4">
        <v>6464000</v>
      </c>
      <c r="H12" s="4">
        <v>5036000</v>
      </c>
      <c r="I12" s="4">
        <v>5179000</v>
      </c>
      <c r="J12" s="4">
        <v>6463000</v>
      </c>
      <c r="K12" s="4">
        <v>5267000</v>
      </c>
      <c r="L12" s="4">
        <v>6343000</v>
      </c>
      <c r="M12" s="4">
        <v>6276000</v>
      </c>
      <c r="N12" s="4">
        <v>5860000</v>
      </c>
      <c r="O12" s="4">
        <v>6442000</v>
      </c>
      <c r="P12" s="4">
        <v>5839000</v>
      </c>
      <c r="Q12" s="4">
        <v>71235000</v>
      </c>
    </row>
    <row r="13" spans="1:17">
      <c r="A13" t="s">
        <v>35</v>
      </c>
      <c r="B13" t="s">
        <v>36</v>
      </c>
      <c r="C13" t="s">
        <v>213</v>
      </c>
      <c r="D13" t="s">
        <v>175</v>
      </c>
      <c r="E13" s="4">
        <v>3466000</v>
      </c>
      <c r="F13" s="4">
        <v>4583000</v>
      </c>
      <c r="G13" s="4">
        <v>4605000</v>
      </c>
      <c r="H13" s="4">
        <v>4261000</v>
      </c>
      <c r="I13" s="4">
        <v>4439000</v>
      </c>
      <c r="J13" s="4">
        <v>4046000</v>
      </c>
      <c r="K13" s="4">
        <v>4551000</v>
      </c>
      <c r="L13" s="4">
        <v>4579000</v>
      </c>
      <c r="M13" s="4">
        <v>4513000</v>
      </c>
      <c r="N13" s="4">
        <v>4592000</v>
      </c>
      <c r="O13" s="4">
        <v>4209000</v>
      </c>
      <c r="P13" s="4">
        <v>4596000</v>
      </c>
      <c r="Q13" s="4">
        <v>52440000</v>
      </c>
    </row>
    <row r="14" spans="1:17">
      <c r="A14" t="s">
        <v>38</v>
      </c>
      <c r="B14" t="s">
        <v>39</v>
      </c>
      <c r="C14" t="s">
        <v>208</v>
      </c>
      <c r="D14" t="s">
        <v>175</v>
      </c>
      <c r="E14" s="4">
        <v>12233000</v>
      </c>
      <c r="F14" s="4">
        <v>12421000</v>
      </c>
      <c r="G14" s="4">
        <v>14802000</v>
      </c>
      <c r="H14" s="4">
        <v>13219000</v>
      </c>
      <c r="I14" s="4">
        <v>12065000</v>
      </c>
      <c r="J14" s="4">
        <v>14657000</v>
      </c>
      <c r="K14" s="4">
        <v>12219000</v>
      </c>
      <c r="L14" s="4">
        <v>15962000</v>
      </c>
      <c r="M14" s="4">
        <v>12337000</v>
      </c>
      <c r="N14" s="4">
        <v>15010000</v>
      </c>
      <c r="O14" s="4">
        <v>14355000</v>
      </c>
      <c r="P14" s="4">
        <v>14359000</v>
      </c>
      <c r="Q14" s="4">
        <v>163639000</v>
      </c>
    </row>
    <row r="15" spans="1:17">
      <c r="A15" t="s">
        <v>38</v>
      </c>
      <c r="B15" t="s">
        <v>39</v>
      </c>
      <c r="C15" t="s">
        <v>209</v>
      </c>
      <c r="D15" t="s">
        <v>175</v>
      </c>
      <c r="E15" s="4">
        <v>6521000</v>
      </c>
      <c r="F15" s="4">
        <v>6567000</v>
      </c>
      <c r="G15" s="4">
        <v>6480000</v>
      </c>
      <c r="H15" s="4">
        <v>5619000</v>
      </c>
      <c r="I15" s="4">
        <v>6201000</v>
      </c>
      <c r="J15" s="4">
        <v>6560000</v>
      </c>
      <c r="K15" s="4">
        <v>6419000</v>
      </c>
      <c r="L15" s="4">
        <v>5987000</v>
      </c>
      <c r="M15" s="4">
        <v>5545000</v>
      </c>
      <c r="N15" s="4">
        <v>6267000</v>
      </c>
      <c r="O15" s="4">
        <v>5689000</v>
      </c>
      <c r="P15" s="4">
        <v>6829000</v>
      </c>
      <c r="Q15" s="4">
        <v>74684000</v>
      </c>
    </row>
    <row r="16" spans="1:17">
      <c r="A16" t="s">
        <v>38</v>
      </c>
      <c r="B16" t="s">
        <v>39</v>
      </c>
      <c r="C16" t="s">
        <v>210</v>
      </c>
      <c r="D16" t="s">
        <v>175</v>
      </c>
      <c r="E16" s="4">
        <v>7995000</v>
      </c>
      <c r="F16" s="4">
        <v>8150000</v>
      </c>
      <c r="G16" s="4">
        <v>9005000</v>
      </c>
      <c r="H16" s="4">
        <v>8861000</v>
      </c>
      <c r="I16" s="4">
        <v>8416000</v>
      </c>
      <c r="J16" s="4">
        <v>8262000</v>
      </c>
      <c r="K16" s="4">
        <v>9236000</v>
      </c>
      <c r="L16" s="4">
        <v>7969000</v>
      </c>
      <c r="M16" s="4">
        <v>7766000</v>
      </c>
      <c r="N16" s="4">
        <v>8435000</v>
      </c>
      <c r="O16" s="4">
        <v>9506000</v>
      </c>
      <c r="P16" s="4">
        <v>7867000</v>
      </c>
      <c r="Q16" s="4">
        <v>101468000</v>
      </c>
    </row>
    <row r="17" spans="1:17">
      <c r="A17" t="s">
        <v>38</v>
      </c>
      <c r="B17" t="s">
        <v>39</v>
      </c>
      <c r="C17" t="s">
        <v>211</v>
      </c>
      <c r="D17" t="s">
        <v>175</v>
      </c>
      <c r="E17" s="4">
        <v>56096000</v>
      </c>
      <c r="F17" s="4">
        <v>54942000</v>
      </c>
      <c r="G17" s="4">
        <v>53698000</v>
      </c>
      <c r="H17" s="4">
        <v>54349000</v>
      </c>
      <c r="I17" s="4">
        <v>49170000</v>
      </c>
      <c r="J17" s="4">
        <v>52426000</v>
      </c>
      <c r="K17" s="4">
        <v>52326000</v>
      </c>
      <c r="L17" s="4">
        <v>46911000</v>
      </c>
      <c r="M17" s="4">
        <v>49476000</v>
      </c>
      <c r="N17" s="4">
        <v>43833000</v>
      </c>
      <c r="O17" s="4">
        <v>42141000</v>
      </c>
      <c r="P17" s="4">
        <v>47760000</v>
      </c>
      <c r="Q17" s="4">
        <v>603128000</v>
      </c>
    </row>
    <row r="18" spans="1:17">
      <c r="A18" t="s">
        <v>38</v>
      </c>
      <c r="B18" t="s">
        <v>39</v>
      </c>
      <c r="C18" t="s">
        <v>212</v>
      </c>
      <c r="D18" t="s">
        <v>175</v>
      </c>
      <c r="E18" s="4">
        <v>5379000</v>
      </c>
      <c r="F18" s="4">
        <v>4716000</v>
      </c>
      <c r="G18" s="4">
        <v>4604000</v>
      </c>
      <c r="H18" s="4">
        <v>4814000</v>
      </c>
      <c r="I18" s="4">
        <v>4737000</v>
      </c>
      <c r="J18" s="4">
        <v>4515000</v>
      </c>
      <c r="K18" s="4">
        <v>5063000</v>
      </c>
      <c r="L18" s="4">
        <v>4848000</v>
      </c>
      <c r="M18" s="4">
        <v>4932000</v>
      </c>
      <c r="N18" s="4">
        <v>4348000</v>
      </c>
      <c r="O18" s="4">
        <v>4545000</v>
      </c>
      <c r="P18" s="4">
        <v>4358000</v>
      </c>
      <c r="Q18" s="4">
        <v>56859000</v>
      </c>
    </row>
    <row r="19" spans="1:17">
      <c r="A19" t="s">
        <v>38</v>
      </c>
      <c r="B19" t="s">
        <v>39</v>
      </c>
      <c r="C19" t="s">
        <v>213</v>
      </c>
      <c r="D19" t="s">
        <v>175</v>
      </c>
      <c r="E19" s="4">
        <v>3109000</v>
      </c>
      <c r="F19" s="4">
        <v>3477000</v>
      </c>
      <c r="G19" s="4">
        <v>3482000</v>
      </c>
      <c r="H19" s="4">
        <v>3369000</v>
      </c>
      <c r="I19" s="4">
        <v>3112000</v>
      </c>
      <c r="J19" s="4">
        <v>3334000</v>
      </c>
      <c r="K19" s="4">
        <v>3772000</v>
      </c>
      <c r="L19" s="4">
        <v>3147000</v>
      </c>
      <c r="M19" s="4">
        <v>3538000</v>
      </c>
      <c r="N19" s="4">
        <v>3516000</v>
      </c>
      <c r="O19" s="4">
        <v>3392000</v>
      </c>
      <c r="P19" s="4">
        <v>3048000</v>
      </c>
      <c r="Q19" s="4">
        <v>40296000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topLeftCell="B1" workbookViewId="0">
      <selection activeCell="L19" sqref="L19"/>
    </sheetView>
  </sheetViews>
  <sheetFormatPr baseColWidth="10" defaultColWidth="8.83203125" defaultRowHeight="14"/>
  <cols>
    <col min="1" max="1" width="26" customWidth="1"/>
    <col min="2" max="2" width="28.5" customWidth="1"/>
    <col min="3" max="3" width="11.1640625" customWidth="1"/>
    <col min="4" max="4" width="24" customWidth="1"/>
    <col min="5" max="5" width="23.5" customWidth="1"/>
    <col min="6" max="6" width="18.1640625" customWidth="1"/>
    <col min="7" max="7" width="23.1640625" customWidth="1"/>
    <col min="8" max="11" width="11.1640625" customWidth="1"/>
    <col min="12" max="12" width="30.33203125" customWidth="1"/>
    <col min="13" max="14" width="11.1640625" customWidth="1"/>
    <col min="15" max="15" width="26.33203125" customWidth="1"/>
  </cols>
  <sheetData>
    <row r="1" spans="1:15" ht="16">
      <c r="A1" s="1" t="s">
        <v>203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</row>
    <row r="2" spans="1:15">
      <c r="A2" t="s">
        <v>214</v>
      </c>
      <c r="B2" t="s">
        <v>175</v>
      </c>
      <c r="C2" s="4">
        <f>SUMIF(Exportations!$E$2:$E$59,"Chiffre d'affaires MGA",Exportations!$G$2:$G$59)</f>
        <v>1635371700</v>
      </c>
      <c r="D2" s="4">
        <f>SUMIF(Exportations!$E$2:$E$59,"Chiffre d'affaires MGA",Exportations!$H$2:$H$59)</f>
        <v>1784169665</v>
      </c>
      <c r="E2" s="4">
        <f>SUMIF(Exportations!$E$2:$E$59,"Chiffre d'affaires MGA",Exportations!$I$2:$I$59)</f>
        <v>1749441428</v>
      </c>
      <c r="F2" s="4">
        <f>SUMIF(Exportations!$E$2:$E$59,"Chiffre d'affaires MGA",Exportations!$J$2:$J$59)</f>
        <v>1801994391</v>
      </c>
      <c r="G2" s="4">
        <f>SUMIF(Exportations!$E$2:$E$59,"Chiffre d'affaires MGA",Exportations!$K$2:$K$59)</f>
        <v>1741534370</v>
      </c>
      <c r="H2" s="4">
        <f>SUMIF(Exportations!$E$2:$E$59,"Chiffre d'affaires MGA",Exportations!$L$2:$L$59)</f>
        <v>1545649412</v>
      </c>
      <c r="I2" s="4">
        <f>SUMIF(Exportations!$E$2:$E$59,"Chiffre d'affaires MGA",Exportations!$M$2:$M$59)</f>
        <v>1795216396</v>
      </c>
      <c r="J2" s="4">
        <f>SUMIF(Exportations!$E$2:$E$59,"Chiffre d'affaires MGA",Exportations!$N$2:$N$59)</f>
        <v>1851675572</v>
      </c>
      <c r="K2" s="4">
        <f>SUMIF(Exportations!$E$2:$E$59,"Chiffre d'affaires MGA",Exportations!$O$2:$O$59)</f>
        <v>1651242624</v>
      </c>
      <c r="L2" s="4">
        <f>SUMIF(Exportations!$E$2:$E$59,"Chiffre d'affaires MGA",Exportations!$P$2:$P$59)</f>
        <v>1687009333</v>
      </c>
      <c r="M2" s="4">
        <f>SUMIF(Exportations!$E$2:$E$59,"Chiffre d'affaires MGA",Exportations!$Q$2:$Q$59)</f>
        <v>1741591020</v>
      </c>
      <c r="N2" s="4">
        <f>SUMIF(Exportations!$E$2:$E$59,"Chiffre d'affaires MGA",Exportations!$R$2:$R$59)</f>
        <v>1623062213</v>
      </c>
      <c r="O2" s="4">
        <f>SUM(C2:N2)</f>
        <v>20607958124</v>
      </c>
    </row>
    <row r="3" spans="1:15">
      <c r="A3" t="s">
        <v>215</v>
      </c>
      <c r="B3" t="s">
        <v>175</v>
      </c>
      <c r="C3" s="4">
        <f>SUM(Charges!$E$2:$E$14)</f>
        <v>546473000</v>
      </c>
      <c r="D3" s="4">
        <f>SUM(Charges!$F$2:$F$14)</f>
        <v>542185000</v>
      </c>
      <c r="E3" s="4">
        <f>SUM(Charges!$G$2:$G$14)</f>
        <v>527869000</v>
      </c>
      <c r="F3" s="4">
        <f>SUM(Charges!$H$2:$H$14)</f>
        <v>553239000</v>
      </c>
      <c r="G3" s="4">
        <f>SUM(Charges!$I$2:$I$14)</f>
        <v>533151000</v>
      </c>
      <c r="H3" s="4">
        <f>SUM(Charges!$J$2:$J$14)</f>
        <v>527189000</v>
      </c>
      <c r="I3" s="4">
        <f>SUM(Charges!$K$2:$K$14)</f>
        <v>544461000</v>
      </c>
      <c r="J3" s="4">
        <f>SUM(Charges!$L$2:$L$14)</f>
        <v>565544000</v>
      </c>
      <c r="K3" s="4">
        <f>SUM(Charges!$M$2:$M$14)</f>
        <v>566817000</v>
      </c>
      <c r="L3" s="4">
        <f>SUM(Charges!$N$2:$N$14)</f>
        <v>570812000</v>
      </c>
      <c r="M3" s="4">
        <f>SUM(Charges!$O$2:$O$14)</f>
        <v>555127000</v>
      </c>
      <c r="N3" s="4">
        <f>SUM(Charges!$P$2:$P$14)</f>
        <v>561023000</v>
      </c>
      <c r="O3" s="4">
        <f>SUM(C3:N3)</f>
        <v>6593890000</v>
      </c>
    </row>
    <row r="4" spans="1:15">
      <c r="A4" t="s">
        <v>216</v>
      </c>
      <c r="B4" t="s">
        <v>175</v>
      </c>
      <c r="C4" s="4">
        <f>SUM('Frais Export'!$E$2:$E$19)</f>
        <v>292945000</v>
      </c>
      <c r="D4" s="4">
        <f>SUM('Frais Export'!$F$2:$F$19)</f>
        <v>292191000</v>
      </c>
      <c r="E4" s="4">
        <f>SUM('Frais Export'!$G$2:$G$19)</f>
        <v>293878000</v>
      </c>
      <c r="F4" s="4">
        <f>SUM('Frais Export'!$H$2:$H$19)</f>
        <v>293294000</v>
      </c>
      <c r="G4" s="4">
        <f>SUM('Frais Export'!$I$2:$I$19)</f>
        <v>287330000</v>
      </c>
      <c r="H4" s="4">
        <f>SUM('Frais Export'!$J$2:$J$19)</f>
        <v>285832000</v>
      </c>
      <c r="I4" s="4">
        <f>SUM('Frais Export'!$K$2:$K$19)</f>
        <v>285091000</v>
      </c>
      <c r="J4" s="4">
        <f>SUM('Frais Export'!$L$2:$L$19)</f>
        <v>301256000</v>
      </c>
      <c r="K4" s="4">
        <f>SUM('Frais Export'!$M$2:$M$19)</f>
        <v>286444000</v>
      </c>
      <c r="L4" s="4">
        <f>SUM('Frais Export'!$N$2:$N$19)</f>
        <v>278699000</v>
      </c>
      <c r="M4" s="4">
        <f>SUM('Frais Export'!$O$2:$O$19)</f>
        <v>284011000</v>
      </c>
      <c r="N4" s="4">
        <f>SUM('Frais Export'!$P$2:$P$19)</f>
        <v>284804000</v>
      </c>
      <c r="O4" s="4">
        <f>SUM(C4:N4)</f>
        <v>3465775000</v>
      </c>
    </row>
    <row r="5" spans="1:15">
      <c r="A5" t="s">
        <v>217</v>
      </c>
      <c r="B5" t="s">
        <v>175</v>
      </c>
      <c r="C5" s="4">
        <f>SUM(Employes!$I$2:$I$61)</f>
        <v>360167000</v>
      </c>
      <c r="D5" s="4">
        <f>SUM(Employes!$I$2:$I$61)</f>
        <v>360167000</v>
      </c>
      <c r="E5" s="4">
        <f>SUM(Employes!$I$2:$I$61)</f>
        <v>360167000</v>
      </c>
      <c r="F5" s="4">
        <f>SUM(Employes!$I$2:$I$61)</f>
        <v>360167000</v>
      </c>
      <c r="G5" s="4">
        <f>SUM(Employes!$I$2:$I$61)</f>
        <v>360167000</v>
      </c>
      <c r="H5" s="4">
        <f>SUM(Employes!$I$2:$I$61)</f>
        <v>360167000</v>
      </c>
      <c r="I5" s="4">
        <f>SUM(Employes!$I$2:$I$61)</f>
        <v>360167000</v>
      </c>
      <c r="J5" s="4">
        <f>SUM(Employes!$I$2:$I$61)</f>
        <v>360167000</v>
      </c>
      <c r="K5" s="4">
        <f>SUM(Employes!$I$2:$I$61)</f>
        <v>360167000</v>
      </c>
      <c r="L5" s="4">
        <f>SUM(Employes!$I$2:$I$61)</f>
        <v>360167000</v>
      </c>
      <c r="M5" s="4">
        <f>SUM(Employes!$I$2:$I$61)</f>
        <v>360167000</v>
      </c>
      <c r="N5" s="4">
        <f>SUM(Employes!$I$2:$I$61)</f>
        <v>360167000</v>
      </c>
      <c r="O5" s="4">
        <f>SUM(C5:N5)</f>
        <v>4322004000</v>
      </c>
    </row>
    <row r="6" spans="1:15">
      <c r="A6" t="s">
        <v>218</v>
      </c>
      <c r="B6" t="s">
        <v>175</v>
      </c>
      <c r="C6" s="4">
        <f t="shared" ref="C6:N6" si="0">C2-C3-C4-C5</f>
        <v>435786700</v>
      </c>
      <c r="D6" s="4">
        <f t="shared" si="0"/>
        <v>589626665</v>
      </c>
      <c r="E6" s="4">
        <f t="shared" si="0"/>
        <v>567527428</v>
      </c>
      <c r="F6" s="4">
        <f t="shared" si="0"/>
        <v>595294391</v>
      </c>
      <c r="G6" s="4">
        <f t="shared" si="0"/>
        <v>560886370</v>
      </c>
      <c r="H6" s="4">
        <f t="shared" si="0"/>
        <v>372461412</v>
      </c>
      <c r="I6" s="4">
        <f t="shared" si="0"/>
        <v>605497396</v>
      </c>
      <c r="J6" s="4">
        <f t="shared" si="0"/>
        <v>624708572</v>
      </c>
      <c r="K6" s="4">
        <f t="shared" si="0"/>
        <v>437814624</v>
      </c>
      <c r="L6" s="4">
        <f t="shared" si="0"/>
        <v>477331333</v>
      </c>
      <c r="M6" s="4">
        <f t="shared" si="0"/>
        <v>542286020</v>
      </c>
      <c r="N6" s="4">
        <f t="shared" si="0"/>
        <v>417068213</v>
      </c>
      <c r="O6" s="4">
        <f>SUM(C6:N6)</f>
        <v>6226289124</v>
      </c>
    </row>
    <row r="7" spans="1:15">
      <c r="A7" t="s">
        <v>219</v>
      </c>
      <c r="B7" t="s">
        <v>9</v>
      </c>
      <c r="C7" s="6">
        <f t="shared" ref="C7:O7" si="1">IFERROR(C6/C2,0)</f>
        <v>0.26647562752859183</v>
      </c>
      <c r="D7" s="6">
        <f t="shared" si="1"/>
        <v>0.33047679072606584</v>
      </c>
      <c r="E7" s="6">
        <f t="shared" si="1"/>
        <v>0.3244049322924803</v>
      </c>
      <c r="F7" s="6">
        <f t="shared" si="1"/>
        <v>0.3303530765540546</v>
      </c>
      <c r="G7" s="6">
        <f t="shared" si="1"/>
        <v>0.32206448500927376</v>
      </c>
      <c r="H7" s="6">
        <f t="shared" si="1"/>
        <v>0.24097405861142332</v>
      </c>
      <c r="I7" s="6">
        <f t="shared" si="1"/>
        <v>0.337283793390666</v>
      </c>
      <c r="J7" s="6">
        <f t="shared" si="1"/>
        <v>0.33737474395973727</v>
      </c>
      <c r="K7" s="6">
        <f t="shared" si="1"/>
        <v>0.26514251608853817</v>
      </c>
      <c r="L7" s="6">
        <f t="shared" si="1"/>
        <v>0.28294528291148463</v>
      </c>
      <c r="M7" s="6">
        <f t="shared" si="1"/>
        <v>0.3113739183152196</v>
      </c>
      <c r="N7" s="6">
        <f t="shared" si="1"/>
        <v>0.25696378712995149</v>
      </c>
      <c r="O7" s="6">
        <f t="shared" si="1"/>
        <v>0.3021303268638183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Donnees SOMIDA</vt:lpstr>
      <vt:lpstr>Employes</vt:lpstr>
      <vt:lpstr>Production</vt:lpstr>
      <vt:lpstr>Charges</vt:lpstr>
      <vt:lpstr>Exportations</vt:lpstr>
      <vt:lpstr>Frais Export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2026-09-29T19:36:52Z</dcterms:modified>
</cp:coreProperties>
</file>