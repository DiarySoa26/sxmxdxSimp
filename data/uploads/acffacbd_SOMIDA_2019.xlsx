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c/Downloads/SOMIDA_2015_2026_SITES_EMPLOYES/"/>
    </mc:Choice>
  </mc:AlternateContent>
  <xr:revisionPtr revIDLastSave="0" documentId="13_ncr:1_{B867F2BB-0A38-924C-AABE-D86864A943B5}" xr6:coauthVersionLast="47" xr6:coauthVersionMax="47" xr10:uidLastSave="{00000000-0000-0000-0000-000000000000}"/>
  <bookViews>
    <workbookView xWindow="0" yWindow="600" windowWidth="28800" windowHeight="16120" activeTab="3" xr2:uid="{00000000-000D-0000-FFFF-FFFF00000000}"/>
  </bookViews>
  <sheets>
    <sheet name="Donnees SOMIDA" sheetId="1" r:id="rId1"/>
    <sheet name="Employes" sheetId="2" r:id="rId2"/>
    <sheet name="Production" sheetId="3" r:id="rId3"/>
    <sheet name="Charges" sheetId="4" r:id="rId4"/>
    <sheet name="Exportations" sheetId="5" r:id="rId5"/>
    <sheet name="Frais Export" sheetId="6" r:id="rId6"/>
    <sheet name="Synthese" sheetId="7" r:id="rId7"/>
    <sheet name="CR" sheetId="8" r:id="rId8"/>
    <sheet name="Amortissement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3" i="9" l="1"/>
  <c r="O13" i="9"/>
  <c r="N13" i="9"/>
  <c r="M13" i="9"/>
  <c r="Q13" i="9" s="1"/>
  <c r="L13" i="9"/>
  <c r="K13" i="9"/>
  <c r="J13" i="9"/>
  <c r="I13" i="9"/>
  <c r="H13" i="9"/>
  <c r="G13" i="9"/>
  <c r="F13" i="9"/>
  <c r="E13" i="9"/>
  <c r="M31" i="8"/>
  <c r="L31" i="8"/>
  <c r="K31" i="8"/>
  <c r="J31" i="8"/>
  <c r="I31" i="8"/>
  <c r="H31" i="8"/>
  <c r="G31" i="8"/>
  <c r="F31" i="8"/>
  <c r="E31" i="8"/>
  <c r="D31" i="8"/>
  <c r="C31" i="8"/>
  <c r="B31" i="8"/>
  <c r="N31" i="8" s="1"/>
  <c r="M30" i="8"/>
  <c r="M32" i="8" s="1"/>
  <c r="L30" i="8"/>
  <c r="L32" i="8" s="1"/>
  <c r="K30" i="8"/>
  <c r="K32" i="8" s="1"/>
  <c r="J30" i="8"/>
  <c r="J32" i="8" s="1"/>
  <c r="I30" i="8"/>
  <c r="I32" i="8" s="1"/>
  <c r="H30" i="8"/>
  <c r="H32" i="8" s="1"/>
  <c r="G30" i="8"/>
  <c r="G32" i="8" s="1"/>
  <c r="F30" i="8"/>
  <c r="F32" i="8" s="1"/>
  <c r="E30" i="8"/>
  <c r="E32" i="8" s="1"/>
  <c r="D30" i="8"/>
  <c r="D32" i="8" s="1"/>
  <c r="C30" i="8"/>
  <c r="C32" i="8" s="1"/>
  <c r="B30" i="8"/>
  <c r="M28" i="8"/>
  <c r="L28" i="8"/>
  <c r="K28" i="8"/>
  <c r="J28" i="8"/>
  <c r="I28" i="8"/>
  <c r="H28" i="8"/>
  <c r="G28" i="8"/>
  <c r="F28" i="8"/>
  <c r="E28" i="8"/>
  <c r="D28" i="8"/>
  <c r="C28" i="8"/>
  <c r="B28" i="8"/>
  <c r="N28" i="8" s="1"/>
  <c r="M24" i="8"/>
  <c r="L24" i="8"/>
  <c r="K24" i="8"/>
  <c r="J24" i="8"/>
  <c r="I24" i="8"/>
  <c r="H24" i="8"/>
  <c r="G24" i="8"/>
  <c r="F24" i="8"/>
  <c r="E24" i="8"/>
  <c r="D24" i="8"/>
  <c r="C24" i="8"/>
  <c r="B24" i="8"/>
  <c r="N24" i="8" s="1"/>
  <c r="M23" i="8"/>
  <c r="M25" i="8" s="1"/>
  <c r="L23" i="8"/>
  <c r="L25" i="8" s="1"/>
  <c r="K23" i="8"/>
  <c r="J23" i="8"/>
  <c r="J25" i="8" s="1"/>
  <c r="I23" i="8"/>
  <c r="I25" i="8" s="1"/>
  <c r="H23" i="8"/>
  <c r="H25" i="8" s="1"/>
  <c r="G23" i="8"/>
  <c r="G25" i="8" s="1"/>
  <c r="F23" i="8"/>
  <c r="E23" i="8"/>
  <c r="D23" i="8"/>
  <c r="D25" i="8" s="1"/>
  <c r="C23" i="8"/>
  <c r="C25" i="8" s="1"/>
  <c r="B23" i="8"/>
  <c r="M21" i="8"/>
  <c r="L21" i="8"/>
  <c r="K21" i="8"/>
  <c r="J21" i="8"/>
  <c r="I21" i="8"/>
  <c r="H21" i="8"/>
  <c r="G21" i="8"/>
  <c r="F21" i="8"/>
  <c r="E21" i="8"/>
  <c r="D21" i="8"/>
  <c r="C21" i="8"/>
  <c r="B21" i="8"/>
  <c r="N21" i="8" s="1"/>
  <c r="M20" i="8"/>
  <c r="L20" i="8"/>
  <c r="K20" i="8"/>
  <c r="J20" i="8"/>
  <c r="I20" i="8"/>
  <c r="H20" i="8"/>
  <c r="G20" i="8"/>
  <c r="F20" i="8"/>
  <c r="E20" i="8"/>
  <c r="D20" i="8"/>
  <c r="C20" i="8"/>
  <c r="B20" i="8"/>
  <c r="N20" i="8" s="1"/>
  <c r="M19" i="8"/>
  <c r="L19" i="8"/>
  <c r="K19" i="8"/>
  <c r="J19" i="8"/>
  <c r="I19" i="8"/>
  <c r="H19" i="8"/>
  <c r="G19" i="8"/>
  <c r="F19" i="8"/>
  <c r="E19" i="8"/>
  <c r="D19" i="8"/>
  <c r="C19" i="8"/>
  <c r="B19" i="8"/>
  <c r="N19" i="8" s="1"/>
  <c r="M18" i="8"/>
  <c r="L18" i="8"/>
  <c r="K18" i="8"/>
  <c r="J18" i="8"/>
  <c r="I18" i="8"/>
  <c r="H18" i="8"/>
  <c r="G18" i="8"/>
  <c r="F18" i="8"/>
  <c r="E18" i="8"/>
  <c r="D18" i="8"/>
  <c r="C18" i="8"/>
  <c r="B18" i="8"/>
  <c r="N18" i="8" s="1"/>
  <c r="M17" i="8"/>
  <c r="L17" i="8"/>
  <c r="K17" i="8"/>
  <c r="J17" i="8"/>
  <c r="I17" i="8"/>
  <c r="H17" i="8"/>
  <c r="N17" i="8" s="1"/>
  <c r="G17" i="8"/>
  <c r="F17" i="8"/>
  <c r="E17" i="8"/>
  <c r="D17" i="8"/>
  <c r="C17" i="8"/>
  <c r="B17" i="8"/>
  <c r="M14" i="8"/>
  <c r="L14" i="8"/>
  <c r="K14" i="8"/>
  <c r="J14" i="8"/>
  <c r="I14" i="8"/>
  <c r="H14" i="8"/>
  <c r="G14" i="8"/>
  <c r="F14" i="8"/>
  <c r="E14" i="8"/>
  <c r="D14" i="8"/>
  <c r="C14" i="8"/>
  <c r="B14" i="8"/>
  <c r="N14" i="8" s="1"/>
  <c r="M13" i="8"/>
  <c r="L13" i="8"/>
  <c r="K13" i="8"/>
  <c r="J13" i="8"/>
  <c r="I13" i="8"/>
  <c r="H13" i="8"/>
  <c r="G13" i="8"/>
  <c r="F13" i="8"/>
  <c r="E13" i="8"/>
  <c r="D13" i="8"/>
  <c r="C13" i="8"/>
  <c r="B13" i="8"/>
  <c r="N13" i="8" s="1"/>
  <c r="M10" i="8"/>
  <c r="L10" i="8"/>
  <c r="K10" i="8"/>
  <c r="J10" i="8"/>
  <c r="I10" i="8"/>
  <c r="H10" i="8"/>
  <c r="G10" i="8"/>
  <c r="F10" i="8"/>
  <c r="E10" i="8"/>
  <c r="D10" i="8"/>
  <c r="C10" i="8"/>
  <c r="B10" i="8"/>
  <c r="M9" i="8"/>
  <c r="L9" i="8"/>
  <c r="K9" i="8"/>
  <c r="K11" i="8" s="1"/>
  <c r="J9" i="8"/>
  <c r="J11" i="8" s="1"/>
  <c r="I9" i="8"/>
  <c r="I11" i="8" s="1"/>
  <c r="H9" i="8"/>
  <c r="H11" i="8" s="1"/>
  <c r="G9" i="8"/>
  <c r="F9" i="8"/>
  <c r="F11" i="8" s="1"/>
  <c r="E9" i="8"/>
  <c r="E11" i="8" s="1"/>
  <c r="D9" i="8"/>
  <c r="D11" i="8" s="1"/>
  <c r="C9" i="8"/>
  <c r="C11" i="8" s="1"/>
  <c r="B9" i="8"/>
  <c r="M7" i="8"/>
  <c r="L7" i="8"/>
  <c r="K7" i="8"/>
  <c r="J7" i="8"/>
  <c r="I7" i="8"/>
  <c r="H7" i="8"/>
  <c r="G7" i="8"/>
  <c r="F7" i="8"/>
  <c r="E7" i="8"/>
  <c r="D7" i="8"/>
  <c r="C7" i="8"/>
  <c r="B7" i="8"/>
  <c r="N7" i="8" s="1"/>
  <c r="M6" i="8"/>
  <c r="L6" i="8"/>
  <c r="K6" i="8"/>
  <c r="J6" i="8"/>
  <c r="I6" i="8"/>
  <c r="H6" i="8"/>
  <c r="G6" i="8"/>
  <c r="F6" i="8"/>
  <c r="E6" i="8"/>
  <c r="D6" i="8"/>
  <c r="C6" i="8"/>
  <c r="B6" i="8"/>
  <c r="N6" i="8" s="1"/>
  <c r="N4" i="7"/>
  <c r="M4" i="7"/>
  <c r="L4" i="7"/>
  <c r="K4" i="7"/>
  <c r="J4" i="7"/>
  <c r="I4" i="7"/>
  <c r="H4" i="7"/>
  <c r="G4" i="7"/>
  <c r="F4" i="7"/>
  <c r="E4" i="7"/>
  <c r="D4" i="7"/>
  <c r="C4" i="7"/>
  <c r="O4" i="7" s="1"/>
  <c r="N2" i="7"/>
  <c r="M2" i="7"/>
  <c r="L2" i="7"/>
  <c r="K2" i="7"/>
  <c r="J2" i="7"/>
  <c r="I2" i="7"/>
  <c r="H2" i="7"/>
  <c r="G2" i="7"/>
  <c r="F2" i="7"/>
  <c r="E2" i="7"/>
  <c r="D2" i="7"/>
  <c r="C2" i="7"/>
  <c r="Q19" i="6"/>
  <c r="Q18" i="6"/>
  <c r="Q17" i="6"/>
  <c r="Q16" i="6"/>
  <c r="Q15" i="6"/>
  <c r="Q14" i="6"/>
  <c r="Q13" i="6"/>
  <c r="Q12" i="6"/>
  <c r="Q11" i="6"/>
  <c r="Q10" i="6"/>
  <c r="Q9" i="6"/>
  <c r="Q8" i="6"/>
  <c r="Q7" i="6"/>
  <c r="Q6" i="6"/>
  <c r="Q5" i="6"/>
  <c r="Q4" i="6"/>
  <c r="Q3" i="6"/>
  <c r="Q2" i="6"/>
  <c r="R54" i="5"/>
  <c r="Q54" i="5"/>
  <c r="P54" i="5"/>
  <c r="O54" i="5"/>
  <c r="N54" i="5"/>
  <c r="M54" i="5"/>
  <c r="L54" i="5"/>
  <c r="K54" i="5"/>
  <c r="J54" i="5"/>
  <c r="I54" i="5"/>
  <c r="H54" i="5"/>
  <c r="G54" i="5"/>
  <c r="S54" i="5" s="1"/>
  <c r="R51" i="5"/>
  <c r="Q51" i="5"/>
  <c r="P51" i="5"/>
  <c r="O51" i="5"/>
  <c r="N51" i="5"/>
  <c r="M51" i="5"/>
  <c r="L51" i="5"/>
  <c r="K51" i="5"/>
  <c r="J51" i="5"/>
  <c r="I51" i="5"/>
  <c r="H51" i="5"/>
  <c r="G51" i="5"/>
  <c r="S51" i="5" s="1"/>
  <c r="R48" i="5"/>
  <c r="Q48" i="5"/>
  <c r="P48" i="5"/>
  <c r="O48" i="5"/>
  <c r="N48" i="5"/>
  <c r="M48" i="5"/>
  <c r="L48" i="5"/>
  <c r="K48" i="5"/>
  <c r="J48" i="5"/>
  <c r="I48" i="5"/>
  <c r="H48" i="5"/>
  <c r="G48" i="5"/>
  <c r="S48" i="5" s="1"/>
  <c r="R45" i="5"/>
  <c r="Q45" i="5"/>
  <c r="P45" i="5"/>
  <c r="O45" i="5"/>
  <c r="N45" i="5"/>
  <c r="M45" i="5"/>
  <c r="L45" i="5"/>
  <c r="K45" i="5"/>
  <c r="J45" i="5"/>
  <c r="I45" i="5"/>
  <c r="H45" i="5"/>
  <c r="G45" i="5"/>
  <c r="S45" i="5" s="1"/>
  <c r="R42" i="5"/>
  <c r="Q42" i="5"/>
  <c r="P42" i="5"/>
  <c r="O42" i="5"/>
  <c r="N42" i="5"/>
  <c r="M42" i="5"/>
  <c r="L42" i="5"/>
  <c r="K42" i="5"/>
  <c r="J42" i="5"/>
  <c r="I42" i="5"/>
  <c r="H42" i="5"/>
  <c r="G42" i="5"/>
  <c r="S42" i="5" s="1"/>
  <c r="M5" i="5" s="1"/>
  <c r="R39" i="5"/>
  <c r="Q39" i="5"/>
  <c r="P39" i="5"/>
  <c r="O39" i="5"/>
  <c r="N39" i="5"/>
  <c r="M39" i="5"/>
  <c r="L39" i="5"/>
  <c r="K39" i="5"/>
  <c r="J39" i="5"/>
  <c r="I39" i="5"/>
  <c r="H39" i="5"/>
  <c r="G39" i="5"/>
  <c r="S39" i="5" s="1"/>
  <c r="R36" i="5"/>
  <c r="Q36" i="5"/>
  <c r="P36" i="5"/>
  <c r="O36" i="5"/>
  <c r="N36" i="5"/>
  <c r="M36" i="5"/>
  <c r="L36" i="5"/>
  <c r="K36" i="5"/>
  <c r="J36" i="5"/>
  <c r="I36" i="5"/>
  <c r="H36" i="5"/>
  <c r="G36" i="5"/>
  <c r="S36" i="5" s="1"/>
  <c r="R33" i="5"/>
  <c r="Q33" i="5"/>
  <c r="P33" i="5"/>
  <c r="O33" i="5"/>
  <c r="N33" i="5"/>
  <c r="M33" i="5"/>
  <c r="L33" i="5"/>
  <c r="K33" i="5"/>
  <c r="J33" i="5"/>
  <c r="I33" i="5"/>
  <c r="H33" i="5"/>
  <c r="G33" i="5"/>
  <c r="S33" i="5" s="1"/>
  <c r="R30" i="5"/>
  <c r="Q30" i="5"/>
  <c r="P30" i="5"/>
  <c r="O30" i="5"/>
  <c r="N30" i="5"/>
  <c r="M30" i="5"/>
  <c r="L30" i="5"/>
  <c r="K30" i="5"/>
  <c r="J30" i="5"/>
  <c r="I30" i="5"/>
  <c r="H30" i="5"/>
  <c r="G30" i="5"/>
  <c r="S30" i="5" s="1"/>
  <c r="R27" i="5"/>
  <c r="Q27" i="5"/>
  <c r="P27" i="5"/>
  <c r="O27" i="5"/>
  <c r="N27" i="5"/>
  <c r="M27" i="5"/>
  <c r="L27" i="5"/>
  <c r="K27" i="5"/>
  <c r="J27" i="5"/>
  <c r="I27" i="5"/>
  <c r="H27" i="5"/>
  <c r="G27" i="5"/>
  <c r="S27" i="5" s="1"/>
  <c r="J5" i="5" s="1"/>
  <c r="R24" i="5"/>
  <c r="Q24" i="5"/>
  <c r="P24" i="5"/>
  <c r="O24" i="5"/>
  <c r="N24" i="5"/>
  <c r="M24" i="5"/>
  <c r="L24" i="5"/>
  <c r="K24" i="5"/>
  <c r="J24" i="5"/>
  <c r="I24" i="5"/>
  <c r="H24" i="5"/>
  <c r="G24" i="5"/>
  <c r="S24" i="5" s="1"/>
  <c r="R21" i="5"/>
  <c r="Q21" i="5"/>
  <c r="P21" i="5"/>
  <c r="O21" i="5"/>
  <c r="N21" i="5"/>
  <c r="M21" i="5"/>
  <c r="L21" i="5"/>
  <c r="K21" i="5"/>
  <c r="J21" i="5"/>
  <c r="I21" i="5"/>
  <c r="H21" i="5"/>
  <c r="G21" i="5"/>
  <c r="S21" i="5" s="1"/>
  <c r="R18" i="5"/>
  <c r="Q18" i="5"/>
  <c r="P18" i="5"/>
  <c r="O18" i="5"/>
  <c r="N18" i="5"/>
  <c r="M18" i="5"/>
  <c r="L18" i="5"/>
  <c r="K18" i="5"/>
  <c r="J18" i="5"/>
  <c r="I18" i="5"/>
  <c r="H18" i="5"/>
  <c r="G18" i="5"/>
  <c r="S18" i="5" s="1"/>
  <c r="R15" i="5"/>
  <c r="Q15" i="5"/>
  <c r="P15" i="5"/>
  <c r="O15" i="5"/>
  <c r="N15" i="5"/>
  <c r="M15" i="5"/>
  <c r="L15" i="5"/>
  <c r="K15" i="5"/>
  <c r="J15" i="5"/>
  <c r="I15" i="5"/>
  <c r="H15" i="5"/>
  <c r="G15" i="5"/>
  <c r="S15" i="5" s="1"/>
  <c r="R12" i="5"/>
  <c r="Q12" i="5"/>
  <c r="P12" i="5"/>
  <c r="O12" i="5"/>
  <c r="N12" i="5"/>
  <c r="M12" i="5"/>
  <c r="L12" i="5"/>
  <c r="K12" i="5"/>
  <c r="J12" i="5"/>
  <c r="I12" i="5"/>
  <c r="H12" i="5"/>
  <c r="G12" i="5"/>
  <c r="S12" i="5" s="1"/>
  <c r="A5" i="5"/>
  <c r="P11" i="3"/>
  <c r="P10" i="3"/>
  <c r="P9" i="3"/>
  <c r="P8" i="3"/>
  <c r="P7" i="3"/>
  <c r="P6" i="3"/>
  <c r="P5" i="3"/>
  <c r="P4" i="3"/>
  <c r="P3" i="3"/>
  <c r="P2" i="3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N10" i="8" l="1"/>
  <c r="L11" i="8"/>
  <c r="F25" i="8"/>
  <c r="M11" i="8"/>
  <c r="E25" i="8"/>
  <c r="K25" i="8"/>
  <c r="G11" i="8"/>
  <c r="N30" i="8"/>
  <c r="B32" i="8"/>
  <c r="N32" i="8" s="1"/>
  <c r="N23" i="8"/>
  <c r="B25" i="8"/>
  <c r="N25" i="8" s="1"/>
  <c r="B11" i="8"/>
  <c r="N11" i="8" s="1"/>
  <c r="N9" i="8"/>
  <c r="M5" i="8"/>
  <c r="M8" i="8" s="1"/>
  <c r="M12" i="8" s="1"/>
  <c r="L5" i="8"/>
  <c r="L8" i="8" s="1"/>
  <c r="L12" i="8" s="1"/>
  <c r="K5" i="8"/>
  <c r="K8" i="8" s="1"/>
  <c r="K12" i="8" s="1"/>
  <c r="J5" i="8"/>
  <c r="J8" i="8" s="1"/>
  <c r="J12" i="8" s="1"/>
  <c r="I5" i="8"/>
  <c r="I8" i="8" s="1"/>
  <c r="I12" i="8" s="1"/>
  <c r="H5" i="8"/>
  <c r="H8" i="8" s="1"/>
  <c r="H12" i="8" s="1"/>
  <c r="G5" i="8"/>
  <c r="G8" i="8" s="1"/>
  <c r="G12" i="8" s="1"/>
  <c r="F5" i="8"/>
  <c r="F8" i="8" s="1"/>
  <c r="F12" i="8" s="1"/>
  <c r="E5" i="8"/>
  <c r="E8" i="8" s="1"/>
  <c r="E12" i="8" s="1"/>
  <c r="D5" i="8"/>
  <c r="D8" i="8" s="1"/>
  <c r="D12" i="8" s="1"/>
  <c r="C5" i="8"/>
  <c r="C8" i="8" s="1"/>
  <c r="C12" i="8" s="1"/>
  <c r="B5" i="8"/>
  <c r="O2" i="7"/>
  <c r="G5" i="5"/>
  <c r="D5" i="5"/>
  <c r="D5" i="7"/>
  <c r="G5" i="7"/>
  <c r="K5" i="7"/>
  <c r="C5" i="7"/>
  <c r="E5" i="7"/>
  <c r="F5" i="7"/>
  <c r="H5" i="7"/>
  <c r="J5" i="7"/>
  <c r="L5" i="7"/>
  <c r="M5" i="7"/>
  <c r="N5" i="7"/>
  <c r="I5" i="7"/>
  <c r="B8" i="8" l="1"/>
  <c r="N5" i="8"/>
  <c r="C15" i="8"/>
  <c r="C16" i="8" s="1"/>
  <c r="C22" i="8" s="1"/>
  <c r="C26" i="8" s="1"/>
  <c r="D3" i="7"/>
  <c r="D6" i="7" s="1"/>
  <c r="D7" i="7" s="1"/>
  <c r="G3" i="7"/>
  <c r="G6" i="7" s="1"/>
  <c r="G7" i="7" s="1"/>
  <c r="F15" i="8"/>
  <c r="F16" i="8" s="1"/>
  <c r="F22" i="8" s="1"/>
  <c r="F26" i="8" s="1"/>
  <c r="K3" i="7"/>
  <c r="K6" i="7" s="1"/>
  <c r="K7" i="7" s="1"/>
  <c r="J15" i="8"/>
  <c r="J16" i="8" s="1"/>
  <c r="J22" i="8" s="1"/>
  <c r="J26" i="8" s="1"/>
  <c r="O5" i="7"/>
  <c r="B15" i="8"/>
  <c r="C3" i="7"/>
  <c r="D15" i="8"/>
  <c r="D16" i="8" s="1"/>
  <c r="D22" i="8" s="1"/>
  <c r="D26" i="8" s="1"/>
  <c r="E3" i="7"/>
  <c r="E6" i="7" s="1"/>
  <c r="E7" i="7" s="1"/>
  <c r="E15" i="8"/>
  <c r="E16" i="8" s="1"/>
  <c r="E22" i="8" s="1"/>
  <c r="E26" i="8" s="1"/>
  <c r="F3" i="7"/>
  <c r="F6" i="7" s="1"/>
  <c r="F7" i="7" s="1"/>
  <c r="G15" i="8"/>
  <c r="G16" i="8" s="1"/>
  <c r="G22" i="8" s="1"/>
  <c r="G26" i="8" s="1"/>
  <c r="H3" i="7"/>
  <c r="H6" i="7" s="1"/>
  <c r="H7" i="7" s="1"/>
  <c r="I15" i="8"/>
  <c r="I16" i="8" s="1"/>
  <c r="I22" i="8" s="1"/>
  <c r="I26" i="8" s="1"/>
  <c r="J3" i="7"/>
  <c r="J6" i="7" s="1"/>
  <c r="J7" i="7" s="1"/>
  <c r="K15" i="8"/>
  <c r="K16" i="8" s="1"/>
  <c r="K22" i="8" s="1"/>
  <c r="K26" i="8" s="1"/>
  <c r="L3" i="7"/>
  <c r="L6" i="7" s="1"/>
  <c r="L7" i="7" s="1"/>
  <c r="L15" i="8"/>
  <c r="L16" i="8" s="1"/>
  <c r="L22" i="8" s="1"/>
  <c r="L26" i="8" s="1"/>
  <c r="M3" i="7"/>
  <c r="M6" i="7" s="1"/>
  <c r="M7" i="7" s="1"/>
  <c r="M15" i="8"/>
  <c r="M16" i="8" s="1"/>
  <c r="M22" i="8" s="1"/>
  <c r="M26" i="8" s="1"/>
  <c r="N3" i="7"/>
  <c r="N6" i="7" s="1"/>
  <c r="N7" i="7" s="1"/>
  <c r="I3" i="7"/>
  <c r="I6" i="7" s="1"/>
  <c r="I7" i="7" s="1"/>
  <c r="H15" i="8"/>
  <c r="H16" i="8" s="1"/>
  <c r="H22" i="8" s="1"/>
  <c r="H26" i="8" s="1"/>
  <c r="N8" i="8" l="1"/>
  <c r="B12" i="8"/>
  <c r="C27" i="8"/>
  <c r="C29" i="8" s="1"/>
  <c r="C33" i="8" s="1"/>
  <c r="C34" i="8" s="1"/>
  <c r="F27" i="8"/>
  <c r="F29" i="8" s="1"/>
  <c r="F33" i="8" s="1"/>
  <c r="F34" i="8" s="1"/>
  <c r="J27" i="8"/>
  <c r="J29" i="8" s="1"/>
  <c r="J33" i="8" s="1"/>
  <c r="J34" i="8" s="1"/>
  <c r="C6" i="7"/>
  <c r="O3" i="7"/>
  <c r="D27" i="8"/>
  <c r="D29" i="8" s="1"/>
  <c r="D33" i="8" s="1"/>
  <c r="D34" i="8" s="1"/>
  <c r="E27" i="8"/>
  <c r="E29" i="8"/>
  <c r="E33" i="8" s="1"/>
  <c r="E34" i="8" s="1"/>
  <c r="G27" i="8"/>
  <c r="G29" i="8" s="1"/>
  <c r="G33" i="8" s="1"/>
  <c r="G34" i="8" s="1"/>
  <c r="I27" i="8"/>
  <c r="I29" i="8" s="1"/>
  <c r="I33" i="8" s="1"/>
  <c r="I34" i="8" s="1"/>
  <c r="K27" i="8"/>
  <c r="K29" i="8" s="1"/>
  <c r="K33" i="8" s="1"/>
  <c r="K34" i="8" s="1"/>
  <c r="L29" i="8"/>
  <c r="L33" i="8" s="1"/>
  <c r="L34" i="8" s="1"/>
  <c r="L27" i="8"/>
  <c r="M27" i="8"/>
  <c r="M29" i="8" s="1"/>
  <c r="M33" i="8" s="1"/>
  <c r="M34" i="8" s="1"/>
  <c r="H27" i="8"/>
  <c r="H29" i="8" s="1"/>
  <c r="H33" i="8" s="1"/>
  <c r="H34" i="8" s="1"/>
  <c r="N15" i="8"/>
  <c r="N12" i="8" l="1"/>
  <c r="B16" i="8"/>
  <c r="C7" i="7"/>
  <c r="O6" i="7"/>
  <c r="O7" i="7" s="1"/>
  <c r="N16" i="8" l="1"/>
  <c r="B22" i="8"/>
  <c r="N22" i="8" l="1"/>
  <c r="B26" i="8"/>
  <c r="N26" i="8" l="1"/>
  <c r="B27" i="8"/>
  <c r="N27" i="8" l="1"/>
  <c r="B29" i="8"/>
  <c r="N29" i="8"/>
  <c r="B33" i="8"/>
  <c r="N33" i="8" l="1"/>
  <c r="N34" i="8" s="1"/>
  <c r="B34" i="8"/>
</calcChain>
</file>

<file path=xl/sharedStrings.xml><?xml version="1.0" encoding="utf-8"?>
<sst xmlns="http://schemas.openxmlformats.org/spreadsheetml/2006/main" count="1225" uniqueCount="381">
  <si>
    <t>DONNEES SOMIDA - PARAMETRES ET REFERENTIELS</t>
  </si>
  <si>
    <t>Paramètre</t>
  </si>
  <si>
    <t>Valeur</t>
  </si>
  <si>
    <t>Unité / devise</t>
  </si>
  <si>
    <t>Commentaire</t>
  </si>
  <si>
    <t>Exercice</t>
  </si>
  <si>
    <t>année</t>
  </si>
  <si>
    <t>Inflation annuelle</t>
  </si>
  <si>
    <t>%</t>
  </si>
  <si>
    <t>Taux USD/MGA</t>
  </si>
  <si>
    <t>MGA/USD</t>
  </si>
  <si>
    <t>Taux JPY/MGA</t>
  </si>
  <si>
    <t>MGA/JPY</t>
  </si>
  <si>
    <t>Augmentation salariale</t>
  </si>
  <si>
    <t>TVA</t>
  </si>
  <si>
    <t>Paramètre fiscal</t>
  </si>
  <si>
    <t>Site principal</t>
  </si>
  <si>
    <t>FORT DAUPHIN</t>
  </si>
  <si>
    <t>Administration / export</t>
  </si>
  <si>
    <t>Site production</t>
  </si>
  <si>
    <t>AMPANDRANDAVA</t>
  </si>
  <si>
    <t>Production</t>
  </si>
  <si>
    <t>MARCHES EXPORT</t>
  </si>
  <si>
    <t>Pays</t>
  </si>
  <si>
    <t>Entité représentatrice</t>
  </si>
  <si>
    <t>Devise</t>
  </si>
  <si>
    <t>Observation</t>
  </si>
  <si>
    <t>Japon</t>
  </si>
  <si>
    <t>GOODEIS</t>
  </si>
  <si>
    <t>JPY</t>
  </si>
  <si>
    <t>Russie</t>
  </si>
  <si>
    <t>ELINAR</t>
  </si>
  <si>
    <t>USD</t>
  </si>
  <si>
    <t>Chine</t>
  </si>
  <si>
    <t>Matricule</t>
  </si>
  <si>
    <t>Site</t>
  </si>
  <si>
    <t>Département</t>
  </si>
  <si>
    <t>Poste</t>
  </si>
  <si>
    <t>Salaire base mensuel (MGA)</t>
  </si>
  <si>
    <t>Prime mensuelle (MGA)</t>
  </si>
  <si>
    <t>Charges patronales (MGA)</t>
  </si>
  <si>
    <t>Coût mensuel total (MGA)</t>
  </si>
  <si>
    <t>Statut</t>
  </si>
  <si>
    <t>Produit</t>
  </si>
  <si>
    <t>Unité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</si>
  <si>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</si>
  <si>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</si>
  <si>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</si>
  <si>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</si>
  <si>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</si>
  <si>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</si>
  <si>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</si>
  <si>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</si>
  <si>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</si>
  <si>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</si>
  <si>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</si>
  <si>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</si>
  <si>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 annuel</t>
  </si>
  <si>
    <t>ABR COUPE</t>
  </si>
  <si>
    <t>tonnes</t>
  </si>
  <si>
    <t>FP1 COUPE</t>
  </si>
  <si>
    <t>FP2 COUPE</t>
  </si>
  <si>
    <t>TRA</t>
  </si>
  <si>
    <t>BSA</t>
  </si>
  <si>
    <t>Pilotage DAF • Japon / Russie / Chine • Suivi mensuel des volumes, devises et chiffre d’affaires</t>
  </si>
  <si>
    <t>VOLUME EXPORTÉ (t)</t>
  </si>
  <si>
    <t>CA EXPORT (MGA)</t>
  </si>
  <si>
    <t>CA JAPON (MGA)</t>
  </si>
  <si>
    <t>CA RUSSIE (MGA)</t>
  </si>
  <si>
    <t>CA CHINE (MGA)</t>
  </si>
  <si>
    <t>MARCHÉS / DEVISES</t>
  </si>
  <si>
    <t>3 pays • JPY / USD</t>
  </si>
  <si>
    <t>DÉTAIL MENSUEL DES EXPORTATIONS PAR MARCHÉ, REPRÉSENTANT ET PRODUIT</t>
  </si>
  <si>
    <t>Indicateur</t>
  </si>
  <si>
    <t>Quantité exportée</t>
  </si>
  <si>
    <t>Chiffre d'affaires devise</t>
  </si>
  <si>
    <t>Chiffre d'affaires MGA</t>
  </si>
  <si>
    <t>MGA</t>
  </si>
  <si>
    <t>REPRESENTANT CHINE - A VALIDER</t>
  </si>
  <si>
    <t>Nature frais</t>
  </si>
  <si>
    <t>Transport local</t>
  </si>
  <si>
    <t>Transit &amp; documents</t>
  </si>
  <si>
    <t>Manutention portuaire</t>
  </si>
  <si>
    <t>Fret international</t>
  </si>
  <si>
    <t>Assurance transport</t>
  </si>
  <si>
    <t>Frais bancaires export</t>
  </si>
  <si>
    <t>CA export</t>
  </si>
  <si>
    <t>Charges exploitation</t>
  </si>
  <si>
    <t>Frais export</t>
  </si>
  <si>
    <t>Masse salariale</t>
  </si>
  <si>
    <t>Résultat opérationnel</t>
  </si>
  <si>
    <t>Marge opérationnelle</t>
  </si>
  <si>
    <t>Paramètre annuel</t>
  </si>
  <si>
    <t>Taux de change</t>
  </si>
  <si>
    <t>Évolution salariale</t>
  </si>
  <si>
    <t>Marché export</t>
  </si>
  <si>
    <t>REPRESENTANT CHINE</t>
  </si>
  <si>
    <t>Nom</t>
  </si>
  <si>
    <t>EMP-001</t>
  </si>
  <si>
    <t>RABE Hery</t>
  </si>
  <si>
    <t>Direction</t>
  </si>
  <si>
    <t>Directeur Général</t>
  </si>
  <si>
    <t>Actif</t>
  </si>
  <si>
    <t>EMP-002</t>
  </si>
  <si>
    <t>RAKOTO Miora</t>
  </si>
  <si>
    <t>DAF</t>
  </si>
  <si>
    <t>EMP-003</t>
  </si>
  <si>
    <t>ANDRIA Fanja</t>
  </si>
  <si>
    <t>Finance</t>
  </si>
  <si>
    <t>Chef comptable</t>
  </si>
  <si>
    <t>EMP-004</t>
  </si>
  <si>
    <t>RAZAFY Toky</t>
  </si>
  <si>
    <t>Comptable</t>
  </si>
  <si>
    <t>EMP-005</t>
  </si>
  <si>
    <t>RANDRIA Nirina</t>
  </si>
  <si>
    <t>Assistant comptable</t>
  </si>
  <si>
    <t>EMP-006</t>
  </si>
  <si>
    <t>RATSIM Lova</t>
  </si>
  <si>
    <t>RH</t>
  </si>
  <si>
    <t>Responsable RH</t>
  </si>
  <si>
    <t>EMP-007</t>
  </si>
  <si>
    <t>RAJAO Aina</t>
  </si>
  <si>
    <t>Commercial</t>
  </si>
  <si>
    <t>Responsable commercial export</t>
  </si>
  <si>
    <t>EMP-008</t>
  </si>
  <si>
    <t>RAMAN Tiana</t>
  </si>
  <si>
    <t>Agent export</t>
  </si>
  <si>
    <t>EMP-010</t>
  </si>
  <si>
    <t>RAZAN Mamy</t>
  </si>
  <si>
    <t>Chef d'atelier</t>
  </si>
  <si>
    <t>EMP-011</t>
  </si>
  <si>
    <t>RABARY Lalaina</t>
  </si>
  <si>
    <t>Contrôleur qualité</t>
  </si>
  <si>
    <t>EMP-012</t>
  </si>
  <si>
    <t>RAKOTOMALALA Tahina</t>
  </si>
  <si>
    <t>TRANOMARO</t>
  </si>
  <si>
    <t>Opérateur traitement</t>
  </si>
  <si>
    <t>EMP-013</t>
  </si>
  <si>
    <t>ANDRIAMANANA Soa</t>
  </si>
  <si>
    <t>Coupeuse / trieuse</t>
  </si>
  <si>
    <t>EMP-014</t>
  </si>
  <si>
    <t>RAZAFINDRAKOTO Nomena</t>
  </si>
  <si>
    <t>AMBOASARY</t>
  </si>
  <si>
    <t>Logistique</t>
  </si>
  <si>
    <t>Responsable logistique</t>
  </si>
  <si>
    <t>EMP-015</t>
  </si>
  <si>
    <t>RANDRIAMBOLOLONA Finaritra</t>
  </si>
  <si>
    <t>Magasinier</t>
  </si>
  <si>
    <t>EMP-016</t>
  </si>
  <si>
    <t>RASOLO Harena</t>
  </si>
  <si>
    <t>Maintenance</t>
  </si>
  <si>
    <t>Technicien maintenance</t>
  </si>
  <si>
    <t>EMP-017</t>
  </si>
  <si>
    <t>RATSIMBAZAFY Faniry</t>
  </si>
  <si>
    <t>Sécurité</t>
  </si>
  <si>
    <t>Agent de sécurité</t>
  </si>
  <si>
    <t>EMP-018</t>
  </si>
  <si>
    <t>RAKOTONDRABE Tsiory</t>
  </si>
  <si>
    <t>Administration</t>
  </si>
  <si>
    <t>Assistant administratif</t>
  </si>
  <si>
    <t>EMP-019</t>
  </si>
  <si>
    <t>ANDRIANIRINA Mamy</t>
  </si>
  <si>
    <t>EMP-020</t>
  </si>
  <si>
    <t>RABENJA Felana</t>
  </si>
  <si>
    <t>EMP-021</t>
  </si>
  <si>
    <t>RAJAONARIVELO Faly</t>
  </si>
  <si>
    <t>EMP-022</t>
  </si>
  <si>
    <t>RANORO Haja</t>
  </si>
  <si>
    <t>ANIVORANO</t>
  </si>
  <si>
    <t>EMP-023</t>
  </si>
  <si>
    <t>RAKOTOARISOA Tsanta</t>
  </si>
  <si>
    <t>EMP-024</t>
  </si>
  <si>
    <t>RASOANIRINA Lova</t>
  </si>
  <si>
    <t>EMP-025</t>
  </si>
  <si>
    <t>ANDRIAMAHENINA Onja</t>
  </si>
  <si>
    <t>EMP-026</t>
  </si>
  <si>
    <t>RAKOTOMANGA Fitia</t>
  </si>
  <si>
    <t>EMP-027</t>
  </si>
  <si>
    <t>RAKOTOVAO Tovo</t>
  </si>
  <si>
    <t>EMP-028</t>
  </si>
  <si>
    <t>RANDRIANASOLO Mendrika</t>
  </si>
  <si>
    <t>EMP-029</t>
  </si>
  <si>
    <t>RAVELO Aro</t>
  </si>
  <si>
    <t>EMP-030</t>
  </si>
  <si>
    <t>RAZAFIMAHATRATRA Vola</t>
  </si>
  <si>
    <t>EMP-031</t>
  </si>
  <si>
    <t>RAKOTOVOLOLONA Rado</t>
  </si>
  <si>
    <t>EMP-032</t>
  </si>
  <si>
    <t>RABEMANANJARA Hery</t>
  </si>
  <si>
    <t>EMP-033</t>
  </si>
  <si>
    <t>RAKOTOZAFY Mialy</t>
  </si>
  <si>
    <t>EMP-034</t>
  </si>
  <si>
    <t>RAZAFINDRAKOTOA Ando</t>
  </si>
  <si>
    <t>EMP-035</t>
  </si>
  <si>
    <t>RANAIVO Nantenaina</t>
  </si>
  <si>
    <t>EMP-036</t>
  </si>
  <si>
    <t>RABEHARISOA Nirina</t>
  </si>
  <si>
    <t>EMP-037</t>
  </si>
  <si>
    <t>RAKOTOMIARANA Toky</t>
  </si>
  <si>
    <t>EMP-038</t>
  </si>
  <si>
    <t>ANDRIATSIMBA Tiana</t>
  </si>
  <si>
    <t>EMP-039</t>
  </si>
  <si>
    <t>RASOAMALALA Sitraka</t>
  </si>
  <si>
    <t>EMP-040</t>
  </si>
  <si>
    <t>RAZAFINDRABE Aina</t>
  </si>
  <si>
    <t>EMP-041</t>
  </si>
  <si>
    <t>RATSIMANDRESY Fanja</t>
  </si>
  <si>
    <t>EMP-042</t>
  </si>
  <si>
    <t>RAKOTONIRINA Miora</t>
  </si>
  <si>
    <t>EMP-043</t>
  </si>
  <si>
    <t>RANDRIAMIHAMINA Hasina</t>
  </si>
  <si>
    <t>EMP-044</t>
  </si>
  <si>
    <t>RABEZAFY Feno</t>
  </si>
  <si>
    <t>EMP-045</t>
  </si>
  <si>
    <t>RANOMENJANAHARY Kanto</t>
  </si>
  <si>
    <t>EMP-046</t>
  </si>
  <si>
    <t>RAKOTONIAINA Mamy</t>
  </si>
  <si>
    <t>EMP-047</t>
  </si>
  <si>
    <t>RASOARIMALALA Tafita</t>
  </si>
  <si>
    <t>EMP-048</t>
  </si>
  <si>
    <t>ANDRIANJAFY Rija</t>
  </si>
  <si>
    <t>EMP-049</t>
  </si>
  <si>
    <t>RAKOTOMAHERY Vero</t>
  </si>
  <si>
    <t>EMP-050</t>
  </si>
  <si>
    <t>RAKOTONDRAJAO Lanto</t>
  </si>
  <si>
    <t>EMP-051</t>
  </si>
  <si>
    <t>RANDRIANANTENAINA Rindra</t>
  </si>
  <si>
    <t>EMP-052</t>
  </si>
  <si>
    <t>RAVAOARISOA Miary</t>
  </si>
  <si>
    <t>EMP-053</t>
  </si>
  <si>
    <t>RAZAFIMANANTSOA Solo</t>
  </si>
  <si>
    <t>EMP-054</t>
  </si>
  <si>
    <t>RAKOTONANAHARY Noro</t>
  </si>
  <si>
    <t>EMP-055</t>
  </si>
  <si>
    <t>RABEFENO Rina</t>
  </si>
  <si>
    <t>EMP-056</t>
  </si>
  <si>
    <t>RAKOTOMANANA Tina</t>
  </si>
  <si>
    <t>EMP-058</t>
  </si>
  <si>
    <t>RANDRIATSARA Rado</t>
  </si>
  <si>
    <t>EMP-059</t>
  </si>
  <si>
    <t>RASOLOFONIAINA Fetra</t>
  </si>
  <si>
    <t>EMP-060</t>
  </si>
  <si>
    <t>RAKOTOVONINA Rova</t>
  </si>
  <si>
    <t>Manutentionnaire</t>
  </si>
  <si>
    <t>EMP-061</t>
  </si>
  <si>
    <t>RAKOTOBE Feno</t>
  </si>
  <si>
    <t>EMP-062</t>
  </si>
  <si>
    <t>RANDRIANARISOA Rindra</t>
  </si>
  <si>
    <t>EMP-063</t>
  </si>
  <si>
    <t>RAZAFITSARA Aina</t>
  </si>
  <si>
    <t>EMP-064</t>
  </si>
  <si>
    <t>RABENARIVO Tiana</t>
  </si>
  <si>
    <t>EMP-065</t>
  </si>
  <si>
    <t>RAKOTOFENO Lova</t>
  </si>
  <si>
    <t>EMP-066</t>
  </si>
  <si>
    <t>ANDRIANJAKA Hery</t>
  </si>
  <si>
    <t>EMP-067</t>
  </si>
  <si>
    <t>RATSIMANIRY Miora</t>
  </si>
  <si>
    <t>EMP-068</t>
  </si>
  <si>
    <t>RAJAOMANANA Fanja</t>
  </si>
  <si>
    <t>Collecteur de mica</t>
  </si>
  <si>
    <t>EMP-069</t>
  </si>
  <si>
    <t>RAKOTOHARISOA Tovo</t>
  </si>
  <si>
    <t>EMP-070</t>
  </si>
  <si>
    <t>RASOLOMANGA Soa</t>
  </si>
  <si>
    <t>EMP-071</t>
  </si>
  <si>
    <t>RAKOTONIAINA Tahina</t>
  </si>
  <si>
    <t>EMP-072</t>
  </si>
  <si>
    <t>RAVOAHANGY Noro</t>
  </si>
  <si>
    <t>EMP-073</t>
  </si>
  <si>
    <t>RABESOA Rija</t>
  </si>
  <si>
    <t>EMP-074</t>
  </si>
  <si>
    <t>RAKOTOMIRANA Hasina</t>
  </si>
  <si>
    <t>EMP-075</t>
  </si>
  <si>
    <t>RATSIMANANA Nirina</t>
  </si>
  <si>
    <t>EMP-076</t>
  </si>
  <si>
    <t>ANDRIAMALALA Toky</t>
  </si>
  <si>
    <t>Aide collecteur</t>
  </si>
  <si>
    <t>EMP-077</t>
  </si>
  <si>
    <t>RAZAFIMANANA Kanto</t>
  </si>
  <si>
    <t>EMP-078</t>
  </si>
  <si>
    <t>RAKOTONDRINA Rado</t>
  </si>
  <si>
    <t>EMP-079</t>
  </si>
  <si>
    <t>RANDRIATSARA Miary</t>
  </si>
  <si>
    <t>EMP-080</t>
  </si>
  <si>
    <t>RAKOTOMAHERY Mamy</t>
  </si>
  <si>
    <t>EMP-081</t>
  </si>
  <si>
    <t>RAKOTOFALY Faniry</t>
  </si>
  <si>
    <t>EMP-082</t>
  </si>
  <si>
    <t>RABENIRINA Onja</t>
  </si>
  <si>
    <t>EMP-083</t>
  </si>
  <si>
    <t>RATSIMBAZAFY Fetra</t>
  </si>
  <si>
    <t>Exploitation</t>
  </si>
  <si>
    <t>EMP-084</t>
  </si>
  <si>
    <t>RAKOTONANTSOA Rova</t>
  </si>
  <si>
    <t>EMP-085</t>
  </si>
  <si>
    <t>RAZAFINDRAVOLA Felana</t>
  </si>
  <si>
    <t>EMP-086</t>
  </si>
  <si>
    <t>RABEARISOA Ando</t>
  </si>
  <si>
    <t>EMP-087</t>
  </si>
  <si>
    <t>RAKOTOMIALY Tsiory</t>
  </si>
  <si>
    <t>EMP-088</t>
  </si>
  <si>
    <t>ANDRIANJAFY Faly</t>
  </si>
  <si>
    <t>Agent d’entretien</t>
  </si>
  <si>
    <t>EMP-089</t>
  </si>
  <si>
    <t>RASOLOFONIAINA Tsanta</t>
  </si>
  <si>
    <t>EMP-090</t>
  </si>
  <si>
    <t>RAKOTOMENDRIKA Haja</t>
  </si>
  <si>
    <t>EMP-091</t>
  </si>
  <si>
    <t>RAKOTOVAO Nomena</t>
  </si>
  <si>
    <t>EMP-092</t>
  </si>
  <si>
    <t>RATSIMAHERY Lalaina</t>
  </si>
  <si>
    <t>Catégorie</t>
  </si>
  <si>
    <t>Nature</t>
  </si>
  <si>
    <t>PRODUCTION</t>
  </si>
  <si>
    <t>Matières et consommables</t>
  </si>
  <si>
    <t>Énergie / électricité</t>
  </si>
  <si>
    <t>Traitement mica</t>
  </si>
  <si>
    <t>Maintenance équipements</t>
  </si>
  <si>
    <t>Emballages</t>
  </si>
  <si>
    <t>ADMINISTRATION</t>
  </si>
  <si>
    <t>Télécommunications / Internet</t>
  </si>
  <si>
    <t>Assurances</t>
  </si>
  <si>
    <t>Honoraires et conseil</t>
  </si>
  <si>
    <t>LOGISTIQUE</t>
  </si>
  <si>
    <t>Transport interne</t>
  </si>
  <si>
    <t>Magasinage / manutention</t>
  </si>
  <si>
    <t>FISCAL</t>
  </si>
  <si>
    <t>Impôts et taxes</t>
  </si>
  <si>
    <t>FINANCE</t>
  </si>
  <si>
    <t>Frais bancaires</t>
  </si>
  <si>
    <t>SECURITE</t>
  </si>
  <si>
    <t>Gardiennage / sécurité</t>
  </si>
  <si>
    <t>SOMIDA — TABLEAU DE BORD DES EXPORTATIONS 2019</t>
  </si>
  <si>
    <t>COMPTE DE RÉSULTAT PAR NATURE — SOMIDA 2019</t>
  </si>
  <si>
    <t>Montants en MGA</t>
  </si>
  <si>
    <t>Rubriques</t>
  </si>
  <si>
    <t>Chiffre d'affaires</t>
  </si>
  <si>
    <t>Production stockée</t>
  </si>
  <si>
    <t>Production immobilisée</t>
  </si>
  <si>
    <t>I. PRODUCTION DE L'EXERCICE</t>
  </si>
  <si>
    <t>Achats consommés / charges directes de production</t>
  </si>
  <si>
    <t>Services extérieurs et autres consommations</t>
  </si>
  <si>
    <t>II. CONSOMMATION DE L'EXERCICE</t>
  </si>
  <si>
    <t>III. VALEUR AJOUTÉE D'EXPLOITATION (I-II)</t>
  </si>
  <si>
    <t>Subventions d'exploitation</t>
  </si>
  <si>
    <t>Impôts, taxes et versements assimilés</t>
  </si>
  <si>
    <t>Charges de personnel</t>
  </si>
  <si>
    <t>IV. EXCÉDENT BRUT D'EXPLOITATION</t>
  </si>
  <si>
    <t>Autres produits opérationnels</t>
  </si>
  <si>
    <t>Autres charges opérationnelles</t>
  </si>
  <si>
    <t>Dotations aux amortissements</t>
  </si>
  <si>
    <t>Provisions et pertes de valeur</t>
  </si>
  <si>
    <t>Reprises sur provisions et pertes de valeur</t>
  </si>
  <si>
    <t>V. RÉSULTAT OPÉRATIONNEL</t>
  </si>
  <si>
    <t>Produits financiers</t>
  </si>
  <si>
    <t>Charges financières</t>
  </si>
  <si>
    <t>VI. RÉSULTAT FINANCIER</t>
  </si>
  <si>
    <t>VII. RÉSULTAT AVANT IMPÔTS (V+VI)</t>
  </si>
  <si>
    <t>Impôt exigible sur les résultats (20%)</t>
  </si>
  <si>
    <t>Impôts différés</t>
  </si>
  <si>
    <t>VIII. RÉSULTAT NET DES ACTIVITÉS ORDINAIRES</t>
  </si>
  <si>
    <t>Éléments extraordinaires - produits</t>
  </si>
  <si>
    <t>Éléments extraordinaires - charges</t>
  </si>
  <si>
    <t>IX. RÉSULTAT EXTRAORDINAIRE</t>
  </si>
  <si>
    <t>X. RÉSULTAT NET DE L'EXERCICE</t>
  </si>
  <si>
    <t>Marge nette</t>
  </si>
  <si>
    <t>Périmètre général</t>
  </si>
  <si>
    <t>AMORTISSEMENT</t>
  </si>
  <si>
    <t>DOT.AMORT.MAT &amp; OUTILLAGE</t>
  </si>
  <si>
    <t>DOT.AMORT.VEHICULE UTILITAIRE</t>
  </si>
  <si>
    <t>Autres immobilisations 1</t>
  </si>
  <si>
    <t>DOT.AMORT Réparations toitures</t>
  </si>
  <si>
    <t>Autres immobilisations 2</t>
  </si>
  <si>
    <t>DOT.AMORT.AGENC AMENAG CONSTRUC</t>
  </si>
  <si>
    <t>DOT.AMORT.AUTRES INSTALLATIONS</t>
  </si>
  <si>
    <t>DOT.AMORT.MATERIEL DE BUREAU</t>
  </si>
  <si>
    <t>DOT.AMORT.MATERIEL INFORMATIQUE</t>
  </si>
  <si>
    <t>DOT.AMORT.MAT.&amp; MOB.DE LOGEMENT</t>
  </si>
  <si>
    <t>Autres amortissements</t>
  </si>
  <si>
    <t>TOTAL DOTATIONS AUX AMORTISSEMENTS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</si>
</sst>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#,##0;[Red]\(#,##0\);\-"/>
    <numFmt numFmtId="166" formatCode="#,##0.00;[Red]\(#,##0.00\);\-"/>
    <numFmt numFmtId="167" formatCode="0.0%;[Red]\(0.0%\);\-"/>
    <numFmt numFmtId="168" formatCode="#,##0.00\ &quot;t&quot;;[Red]\(#,##0.00\);\-"/>
    <numFmt numFmtId="169" formatCode="0.00%;[Red]\(0.00%\);\-"/>
    <numFmt numFmtId="170" formatCode="#,##0;[Red]\(#,##0\);\–"/>
  </numFmts>
  <fonts count="14">
    <font>
      <sz val="11"/>
      <name val="Carlito"/>
    </font>
    <font>
      <b/>
      <sz val="11"/>
      <color rgb="FFFFFFFF"/>
      <name val="Carlito"/>
    </font>
    <font>
      <sz val="11"/>
      <color rgb="FF0000FF"/>
      <name val="Carlito"/>
    </font>
    <font>
      <b/>
      <sz val="16"/>
      <color rgb="FFFFFFFF"/>
      <name val="Carlito"/>
    </font>
    <font>
      <i/>
      <sz val="10"/>
      <color rgb="FF404040"/>
      <name val="Carlito"/>
    </font>
    <font>
      <b/>
      <sz val="9"/>
      <color rgb="FFFFFFFF"/>
      <name val="Carlito"/>
    </font>
    <font>
      <b/>
      <sz val="12"/>
      <color rgb="FF000000"/>
      <name val="Carlito"/>
    </font>
    <font>
      <b/>
      <sz val="10"/>
      <color rgb="FFFFFFFF"/>
      <name val="Carlito"/>
    </font>
    <font>
      <sz val="9"/>
      <name val="Carlito"/>
    </font>
    <font>
      <b/>
      <sz val="9"/>
      <name val="Carlito"/>
    </font>
    <font>
      <b/>
      <sz val="9"/>
      <color rgb="FF000000"/>
      <name val="Carlito"/>
    </font>
    <font>
      <b/>
      <sz val="11"/>
      <name val="Carlito"/>
    </font>
    <font>
      <b/>
      <sz val="15"/>
      <color rgb="FFFFFFFF"/>
      <name val="Carlito"/>
    </font>
    <font>
      <sz val="11"/>
      <color rgb="FF243447"/>
      <name val="Carlito"/>
    </font>
  </fonts>
  <fills count="1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5B9BD5"/>
      </patternFill>
    </fill>
    <fill>
      <patternFill patternType="solid">
        <fgColor rgb="FFF7FBFF"/>
      </patternFill>
    </fill>
    <fill>
      <patternFill patternType="solid">
        <fgColor rgb="FFF9F9F9"/>
      </patternFill>
    </fill>
    <fill>
      <patternFill patternType="solid">
        <fgColor rgb="FFFFF9E8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EDF3F9"/>
      </patternFill>
    </fill>
  </fills>
  <borders count="2">
    <border>
      <left/>
      <right/>
      <top/>
      <bottom/>
      <diagonal/>
    </border>
    <border>
      <left/>
      <right/>
      <top style="medium">
        <color rgb="FF17365D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5" fillId="7" borderId="0" xfId="0" applyFont="1" applyFill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0" fontId="9" fillId="8" borderId="0" xfId="0" applyFont="1" applyFill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10" fillId="8" borderId="0" xfId="0" applyFont="1" applyFill="1" applyAlignment="1">
      <alignment horizontal="left" vertical="center"/>
    </xf>
    <xf numFmtId="0" fontId="9" fillId="9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  <xf numFmtId="0" fontId="9" fillId="9" borderId="0" xfId="0" applyFont="1" applyFill="1" applyAlignment="1">
      <alignment horizontal="left" vertical="center"/>
    </xf>
    <xf numFmtId="0" fontId="8" fillId="9" borderId="0" xfId="0" applyFont="1" applyFill="1" applyAlignment="1">
      <alignment horizontal="left" vertical="center"/>
    </xf>
    <xf numFmtId="0" fontId="10" fillId="9" borderId="0" xfId="0" applyFont="1" applyFill="1" applyAlignment="1">
      <alignment horizontal="left" vertical="center"/>
    </xf>
    <xf numFmtId="0" fontId="9" fillId="10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/>
    </xf>
    <xf numFmtId="0" fontId="9" fillId="10" borderId="0" xfId="0" applyFont="1" applyFill="1" applyAlignment="1">
      <alignment horizontal="left" vertical="center"/>
    </xf>
    <xf numFmtId="0" fontId="8" fillId="10" borderId="0" xfId="0" applyFont="1" applyFill="1" applyAlignment="1">
      <alignment horizontal="left" vertical="center"/>
    </xf>
    <xf numFmtId="0" fontId="10" fillId="10" borderId="0" xfId="0" applyFont="1" applyFill="1" applyAlignment="1">
      <alignment horizontal="left" vertical="center"/>
    </xf>
    <xf numFmtId="166" fontId="5" fillId="7" borderId="0" xfId="0" applyNumberFormat="1" applyFont="1" applyFill="1" applyAlignment="1">
      <alignment horizontal="right" vertical="center" wrapText="1"/>
    </xf>
    <xf numFmtId="166" fontId="8" fillId="8" borderId="1" xfId="0" applyNumberFormat="1" applyFont="1" applyFill="1" applyBorder="1" applyAlignment="1">
      <alignment horizontal="right" vertical="center"/>
    </xf>
    <xf numFmtId="166" fontId="8" fillId="8" borderId="0" xfId="0" applyNumberFormat="1" applyFont="1" applyFill="1" applyAlignment="1">
      <alignment horizontal="right" vertical="center"/>
    </xf>
    <xf numFmtId="166" fontId="10" fillId="8" borderId="0" xfId="0" applyNumberFormat="1" applyFont="1" applyFill="1" applyAlignment="1">
      <alignment horizontal="right" vertical="center"/>
    </xf>
    <xf numFmtId="166" fontId="8" fillId="9" borderId="1" xfId="0" applyNumberFormat="1" applyFont="1" applyFill="1" applyBorder="1" applyAlignment="1">
      <alignment horizontal="right" vertical="center"/>
    </xf>
    <xf numFmtId="166" fontId="8" fillId="9" borderId="0" xfId="0" applyNumberFormat="1" applyFont="1" applyFill="1" applyAlignment="1">
      <alignment horizontal="right" vertical="center"/>
    </xf>
    <xf numFmtId="166" fontId="10" fillId="9" borderId="0" xfId="0" applyNumberFormat="1" applyFont="1" applyFill="1" applyAlignment="1">
      <alignment horizontal="right" vertical="center"/>
    </xf>
    <xf numFmtId="166" fontId="8" fillId="10" borderId="1" xfId="0" applyNumberFormat="1" applyFont="1" applyFill="1" applyBorder="1" applyAlignment="1">
      <alignment horizontal="right" vertical="center"/>
    </xf>
    <xf numFmtId="166" fontId="8" fillId="10" borderId="0" xfId="0" applyNumberFormat="1" applyFont="1" applyFill="1" applyAlignment="1">
      <alignment horizontal="right" vertical="center"/>
    </xf>
    <xf numFmtId="166" fontId="10" fillId="10" borderId="0" xfId="0" applyNumberFormat="1" applyFont="1" applyFill="1" applyAlignment="1">
      <alignment horizontal="right" vertical="center"/>
    </xf>
    <xf numFmtId="165" fontId="11" fillId="11" borderId="0" xfId="0" applyNumberFormat="1" applyFont="1" applyFill="1"/>
    <xf numFmtId="0" fontId="1" fillId="13" borderId="0" xfId="0" applyFont="1" applyFill="1"/>
    <xf numFmtId="0" fontId="11" fillId="11" borderId="0" xfId="0" applyFont="1" applyFill="1"/>
    <xf numFmtId="0" fontId="1" fillId="12" borderId="0" xfId="0" applyFont="1" applyFill="1"/>
    <xf numFmtId="165" fontId="1" fillId="12" borderId="0" xfId="0" applyNumberFormat="1" applyFont="1" applyFill="1"/>
    <xf numFmtId="169" fontId="0" fillId="0" borderId="0" xfId="0" applyNumberFormat="1"/>
    <xf numFmtId="0" fontId="1" fillId="14" borderId="0" xfId="0" applyFont="1" applyFill="1" applyAlignment="1">
      <alignment vertical="center" wrapText="1"/>
    </xf>
    <xf numFmtId="0" fontId="13" fillId="0" borderId="0" xfId="0" applyFont="1"/>
    <xf numFmtId="170" fontId="0" fillId="0" borderId="0" xfId="0" applyNumberFormat="1"/>
    <xf numFmtId="0" fontId="13" fillId="15" borderId="0" xfId="0" applyFont="1" applyFill="1"/>
    <xf numFmtId="170" fontId="0" fillId="15" borderId="0" xfId="0" applyNumberFormat="1" applyFill="1"/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/>
    </xf>
    <xf numFmtId="166" fontId="4" fillId="4" borderId="0" xfId="0" applyNumberFormat="1" applyFont="1" applyFill="1" applyAlignment="1">
      <alignment horizontal="left"/>
    </xf>
    <xf numFmtId="0" fontId="5" fillId="5" borderId="0" xfId="0" applyFont="1" applyFill="1" applyAlignment="1">
      <alignment horizontal="center" vertical="center" wrapText="1"/>
    </xf>
    <xf numFmtId="166" fontId="5" fillId="5" borderId="0" xfId="0" applyNumberFormat="1" applyFont="1" applyFill="1" applyAlignment="1">
      <alignment horizontal="center" vertical="center" wrapText="1"/>
    </xf>
    <xf numFmtId="166" fontId="6" fillId="6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left"/>
    </xf>
    <xf numFmtId="166" fontId="7" fillId="3" borderId="0" xfId="0" applyNumberFormat="1" applyFont="1" applyFill="1" applyAlignment="1">
      <alignment horizontal="left"/>
    </xf>
    <xf numFmtId="168" fontId="6" fillId="6" borderId="0" xfId="0" applyNumberFormat="1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6" fillId="6" borderId="0" xfId="0" applyNumberFormat="1" applyFont="1" applyFill="1" applyAlignment="1">
      <alignment horizontal="center" vertical="center"/>
    </xf>
    <xf numFmtId="0" fontId="12" fillId="1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>
      <selection sqref="A1:D1"/>
    </sheetView>
  </sheetViews>
  <sheetFormatPr baseColWidth="10" defaultColWidth="8.83203125" defaultRowHeight="15"/>
  <cols>
    <col min="1" max="1" width="28" customWidth="1"/>
    <col min="2" max="2" width="26.1640625" customWidth="1"/>
    <col min="3" max="3" width="11.1640625" customWidth="1"/>
    <col min="4" max="4" width="40" customWidth="1"/>
  </cols>
  <sheetData>
    <row r="1" spans="1:4">
      <c r="A1" s="44" t="s">
        <v>0</v>
      </c>
      <c r="B1" s="44"/>
      <c r="C1" s="44"/>
      <c r="D1" s="44"/>
    </row>
    <row r="2" spans="1:4" ht="32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t="s">
        <v>5</v>
      </c>
      <c r="B3" s="2">
        <v>2019</v>
      </c>
      <c r="C3" t="s">
        <v>6</v>
      </c>
      <c r="D3" t="s">
        <v>5</v>
      </c>
    </row>
    <row r="4" spans="1:4">
      <c r="A4" t="s">
        <v>7</v>
      </c>
      <c r="B4" s="3">
        <v>5.6000000000000001E-2</v>
      </c>
      <c r="C4" t="s">
        <v>8</v>
      </c>
      <c r="D4" t="s">
        <v>92</v>
      </c>
    </row>
    <row r="5" spans="1:4">
      <c r="A5" t="s">
        <v>9</v>
      </c>
      <c r="B5" s="2">
        <v>3650</v>
      </c>
      <c r="C5" t="s">
        <v>10</v>
      </c>
      <c r="D5" t="s">
        <v>93</v>
      </c>
    </row>
    <row r="6" spans="1:4">
      <c r="A6" t="s">
        <v>11</v>
      </c>
      <c r="B6" s="2">
        <v>33.5</v>
      </c>
      <c r="C6" t="s">
        <v>12</v>
      </c>
      <c r="D6" t="s">
        <v>93</v>
      </c>
    </row>
    <row r="7" spans="1:4">
      <c r="A7" t="s">
        <v>13</v>
      </c>
      <c r="B7" s="3">
        <v>0.05</v>
      </c>
      <c r="C7" t="s">
        <v>8</v>
      </c>
      <c r="D7" t="s">
        <v>94</v>
      </c>
    </row>
    <row r="8" spans="1:4">
      <c r="A8" t="s">
        <v>14</v>
      </c>
      <c r="B8" s="3">
        <v>0.2</v>
      </c>
      <c r="C8" t="s">
        <v>8</v>
      </c>
      <c r="D8" t="s">
        <v>15</v>
      </c>
    </row>
    <row r="9" spans="1:4">
      <c r="A9" t="s">
        <v>16</v>
      </c>
      <c r="B9" t="s">
        <v>17</v>
      </c>
      <c r="D9" t="s">
        <v>18</v>
      </c>
    </row>
    <row r="10" spans="1:4">
      <c r="A10" t="s">
        <v>19</v>
      </c>
      <c r="B10" t="s">
        <v>20</v>
      </c>
      <c r="D10" t="s">
        <v>21</v>
      </c>
    </row>
    <row r="12" spans="1:4" ht="16">
      <c r="A12" s="1" t="s">
        <v>22</v>
      </c>
      <c r="B12" s="1"/>
      <c r="C12" s="1"/>
      <c r="D12" s="1"/>
    </row>
    <row r="13" spans="1:4" ht="16">
      <c r="A13" s="1" t="s">
        <v>23</v>
      </c>
      <c r="B13" s="1" t="s">
        <v>24</v>
      </c>
      <c r="C13" s="1" t="s">
        <v>25</v>
      </c>
      <c r="D13" s="1" t="s">
        <v>26</v>
      </c>
    </row>
    <row r="14" spans="1:4">
      <c r="A14" t="s">
        <v>27</v>
      </c>
      <c r="B14" t="s">
        <v>28</v>
      </c>
      <c r="C14" t="s">
        <v>29</v>
      </c>
      <c r="D14" t="s">
        <v>95</v>
      </c>
    </row>
    <row r="15" spans="1:4">
      <c r="A15" t="s">
        <v>30</v>
      </c>
      <c r="B15" t="s">
        <v>31</v>
      </c>
      <c r="C15" t="s">
        <v>32</v>
      </c>
      <c r="D15" t="s">
        <v>95</v>
      </c>
    </row>
    <row r="16" spans="1:4">
      <c r="A16" t="s">
        <v>33</v>
      </c>
      <c r="B16" t="s">
        <v>96</v>
      </c>
      <c r="C16" t="s">
        <v>32</v>
      </c>
      <c r="D16" t="s">
        <v>95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1"/>
  <sheetViews>
    <sheetView workbookViewId="0"/>
  </sheetViews>
  <sheetFormatPr baseColWidth="10" defaultColWidth="8.83203125" defaultRowHeight="15"/>
  <cols>
    <col min="1" max="1" width="7.83203125" customWidth="1"/>
    <col min="2" max="2" width="18" customWidth="1"/>
    <col min="3" max="3" width="14.6640625" customWidth="1"/>
    <col min="4" max="4" width="11.6640625" customWidth="1"/>
    <col min="5" max="5" width="26" customWidth="1"/>
    <col min="6" max="6" width="22" customWidth="1"/>
    <col min="7" max="7" width="18.6640625" customWidth="1"/>
    <col min="8" max="9" width="20.5" customWidth="1"/>
    <col min="10" max="10" width="5.1640625" customWidth="1"/>
  </cols>
  <sheetData>
    <row r="1" spans="1:10" ht="32">
      <c r="A1" s="1" t="s">
        <v>34</v>
      </c>
      <c r="B1" s="1" t="s">
        <v>97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 spans="1:10">
      <c r="A2" t="s">
        <v>98</v>
      </c>
      <c r="B2" t="s">
        <v>99</v>
      </c>
      <c r="C2" t="s">
        <v>17</v>
      </c>
      <c r="D2" t="s">
        <v>100</v>
      </c>
      <c r="E2" t="s">
        <v>101</v>
      </c>
      <c r="F2" s="4">
        <v>9827600</v>
      </c>
      <c r="G2" s="4">
        <v>982760</v>
      </c>
      <c r="H2" s="4">
        <v>1768810</v>
      </c>
      <c r="I2" s="4">
        <f t="shared" ref="I2:I33" si="0">SUM(F2:H2)</f>
        <v>12579170</v>
      </c>
      <c r="J2" t="s">
        <v>102</v>
      </c>
    </row>
    <row r="3" spans="1:10">
      <c r="A3" t="s">
        <v>103</v>
      </c>
      <c r="B3" t="s">
        <v>104</v>
      </c>
      <c r="C3" t="s">
        <v>20</v>
      </c>
      <c r="D3" t="s">
        <v>100</v>
      </c>
      <c r="E3" t="s">
        <v>105</v>
      </c>
      <c r="F3" s="4">
        <v>7362800</v>
      </c>
      <c r="G3" s="4">
        <v>736280</v>
      </c>
      <c r="H3" s="4">
        <v>1325620</v>
      </c>
      <c r="I3" s="4">
        <f t="shared" si="0"/>
        <v>9424700</v>
      </c>
      <c r="J3" t="s">
        <v>102</v>
      </c>
    </row>
    <row r="4" spans="1:10">
      <c r="A4" t="s">
        <v>106</v>
      </c>
      <c r="B4" t="s">
        <v>107</v>
      </c>
      <c r="C4" t="s">
        <v>17</v>
      </c>
      <c r="D4" t="s">
        <v>108</v>
      </c>
      <c r="E4" t="s">
        <v>109</v>
      </c>
      <c r="F4" s="4">
        <v>4194900</v>
      </c>
      <c r="G4" s="4">
        <v>503230</v>
      </c>
      <c r="H4" s="4">
        <v>755240</v>
      </c>
      <c r="I4" s="4">
        <f t="shared" si="0"/>
        <v>5453370</v>
      </c>
      <c r="J4" t="s">
        <v>102</v>
      </c>
    </row>
    <row r="5" spans="1:10">
      <c r="A5" t="s">
        <v>110</v>
      </c>
      <c r="B5" t="s">
        <v>111</v>
      </c>
      <c r="C5" t="s">
        <v>17</v>
      </c>
      <c r="D5" t="s">
        <v>108</v>
      </c>
      <c r="E5" t="s">
        <v>112</v>
      </c>
      <c r="F5" s="4">
        <v>2693900</v>
      </c>
      <c r="G5" s="4">
        <v>215670</v>
      </c>
      <c r="H5" s="4">
        <v>485060</v>
      </c>
      <c r="I5" s="4">
        <f t="shared" si="0"/>
        <v>3394630</v>
      </c>
      <c r="J5" t="s">
        <v>102</v>
      </c>
    </row>
    <row r="6" spans="1:10">
      <c r="A6" t="s">
        <v>113</v>
      </c>
      <c r="B6" t="s">
        <v>114</v>
      </c>
      <c r="C6" t="s">
        <v>20</v>
      </c>
      <c r="D6" t="s">
        <v>108</v>
      </c>
      <c r="E6" t="s">
        <v>115</v>
      </c>
      <c r="F6" s="4">
        <v>1793300</v>
      </c>
      <c r="G6" s="4">
        <v>90060</v>
      </c>
      <c r="H6" s="4">
        <v>323110</v>
      </c>
      <c r="I6" s="4">
        <f t="shared" si="0"/>
        <v>2206470</v>
      </c>
      <c r="J6" t="s">
        <v>102</v>
      </c>
    </row>
    <row r="7" spans="1:10">
      <c r="A7" t="s">
        <v>116</v>
      </c>
      <c r="B7" t="s">
        <v>117</v>
      </c>
      <c r="C7" t="s">
        <v>20</v>
      </c>
      <c r="D7" t="s">
        <v>118</v>
      </c>
      <c r="E7" t="s">
        <v>119</v>
      </c>
      <c r="F7" s="4">
        <v>3752500</v>
      </c>
      <c r="G7" s="4">
        <v>300200</v>
      </c>
      <c r="H7" s="4">
        <v>675450</v>
      </c>
      <c r="I7" s="4">
        <f t="shared" si="0"/>
        <v>4728150</v>
      </c>
      <c r="J7" t="s">
        <v>102</v>
      </c>
    </row>
    <row r="8" spans="1:10">
      <c r="A8" t="s">
        <v>120</v>
      </c>
      <c r="B8" t="s">
        <v>121</v>
      </c>
      <c r="C8" t="s">
        <v>20</v>
      </c>
      <c r="D8" t="s">
        <v>122</v>
      </c>
      <c r="E8" t="s">
        <v>123</v>
      </c>
      <c r="F8" s="4">
        <v>4258100</v>
      </c>
      <c r="G8" s="4">
        <v>340490</v>
      </c>
      <c r="H8" s="4">
        <v>766300</v>
      </c>
      <c r="I8" s="4">
        <f t="shared" si="0"/>
        <v>5364890</v>
      </c>
      <c r="J8" t="s">
        <v>102</v>
      </c>
    </row>
    <row r="9" spans="1:10">
      <c r="A9" t="s">
        <v>124</v>
      </c>
      <c r="B9" t="s">
        <v>125</v>
      </c>
      <c r="C9" t="s">
        <v>20</v>
      </c>
      <c r="D9" t="s">
        <v>122</v>
      </c>
      <c r="E9" t="s">
        <v>126</v>
      </c>
      <c r="F9" s="4">
        <v>2425300</v>
      </c>
      <c r="G9" s="4">
        <v>121660</v>
      </c>
      <c r="H9" s="4">
        <v>436870</v>
      </c>
      <c r="I9" s="4">
        <f t="shared" si="0"/>
        <v>2983830</v>
      </c>
      <c r="J9" t="s">
        <v>102</v>
      </c>
    </row>
    <row r="10" spans="1:10">
      <c r="A10" t="s">
        <v>127</v>
      </c>
      <c r="B10" t="s">
        <v>128</v>
      </c>
      <c r="C10" t="s">
        <v>17</v>
      </c>
      <c r="D10" t="s">
        <v>21</v>
      </c>
      <c r="E10" t="s">
        <v>129</v>
      </c>
      <c r="F10" s="4">
        <v>2622800</v>
      </c>
      <c r="G10" s="4">
        <v>262280</v>
      </c>
      <c r="H10" s="4">
        <v>472420</v>
      </c>
      <c r="I10" s="4">
        <f t="shared" si="0"/>
        <v>3357500</v>
      </c>
      <c r="J10" t="s">
        <v>102</v>
      </c>
    </row>
    <row r="11" spans="1:10">
      <c r="A11" t="s">
        <v>130</v>
      </c>
      <c r="B11" t="s">
        <v>131</v>
      </c>
      <c r="C11" t="s">
        <v>17</v>
      </c>
      <c r="D11" t="s">
        <v>21</v>
      </c>
      <c r="E11" t="s">
        <v>132</v>
      </c>
      <c r="F11" s="4">
        <v>2006600</v>
      </c>
      <c r="G11" s="4">
        <v>160370</v>
      </c>
      <c r="H11" s="4">
        <v>361030</v>
      </c>
      <c r="I11" s="4">
        <f t="shared" si="0"/>
        <v>2528000</v>
      </c>
      <c r="J11" t="s">
        <v>102</v>
      </c>
    </row>
    <row r="12" spans="1:10">
      <c r="A12" t="s">
        <v>133</v>
      </c>
      <c r="B12" t="s">
        <v>134</v>
      </c>
      <c r="C12" t="s">
        <v>135</v>
      </c>
      <c r="D12" t="s">
        <v>21</v>
      </c>
      <c r="E12" t="s">
        <v>136</v>
      </c>
      <c r="F12" s="4">
        <v>1327200</v>
      </c>
      <c r="G12" s="4">
        <v>105860</v>
      </c>
      <c r="H12" s="4">
        <v>238580</v>
      </c>
      <c r="I12" s="4">
        <f t="shared" si="0"/>
        <v>1671640</v>
      </c>
      <c r="J12" t="s">
        <v>102</v>
      </c>
    </row>
    <row r="13" spans="1:10">
      <c r="A13" t="s">
        <v>137</v>
      </c>
      <c r="B13" t="s">
        <v>138</v>
      </c>
      <c r="C13" t="s">
        <v>17</v>
      </c>
      <c r="D13" t="s">
        <v>21</v>
      </c>
      <c r="E13" t="s">
        <v>139</v>
      </c>
      <c r="F13" s="4">
        <v>1011200</v>
      </c>
      <c r="G13" s="4">
        <v>80580</v>
      </c>
      <c r="H13" s="4">
        <v>181700</v>
      </c>
      <c r="I13" s="4">
        <f t="shared" si="0"/>
        <v>1273480</v>
      </c>
      <c r="J13" t="s">
        <v>102</v>
      </c>
    </row>
    <row r="14" spans="1:10">
      <c r="A14" t="s">
        <v>140</v>
      </c>
      <c r="B14" t="s">
        <v>141</v>
      </c>
      <c r="C14" t="s">
        <v>142</v>
      </c>
      <c r="D14" t="s">
        <v>143</v>
      </c>
      <c r="E14" t="s">
        <v>144</v>
      </c>
      <c r="F14" s="4">
        <v>3017800</v>
      </c>
      <c r="G14" s="4">
        <v>150890</v>
      </c>
      <c r="H14" s="4">
        <v>543520</v>
      </c>
      <c r="I14" s="4">
        <f t="shared" si="0"/>
        <v>3712210</v>
      </c>
      <c r="J14" t="s">
        <v>102</v>
      </c>
    </row>
    <row r="15" spans="1:10">
      <c r="A15" t="s">
        <v>145</v>
      </c>
      <c r="B15" t="s">
        <v>146</v>
      </c>
      <c r="C15" t="s">
        <v>20</v>
      </c>
      <c r="D15" t="s">
        <v>143</v>
      </c>
      <c r="E15" t="s">
        <v>147</v>
      </c>
      <c r="F15" s="4">
        <v>1256100</v>
      </c>
      <c r="G15" s="4">
        <v>125610</v>
      </c>
      <c r="H15" s="4">
        <v>225940</v>
      </c>
      <c r="I15" s="4">
        <f t="shared" si="0"/>
        <v>1607650</v>
      </c>
      <c r="J15" t="s">
        <v>102</v>
      </c>
    </row>
    <row r="16" spans="1:10">
      <c r="A16" t="s">
        <v>148</v>
      </c>
      <c r="B16" t="s">
        <v>149</v>
      </c>
      <c r="C16" t="s">
        <v>20</v>
      </c>
      <c r="D16" t="s">
        <v>150</v>
      </c>
      <c r="E16" t="s">
        <v>151</v>
      </c>
      <c r="F16" s="4">
        <v>1840700</v>
      </c>
      <c r="G16" s="4">
        <v>221200</v>
      </c>
      <c r="H16" s="4">
        <v>331010</v>
      </c>
      <c r="I16" s="4">
        <f t="shared" si="0"/>
        <v>2392910</v>
      </c>
      <c r="J16" t="s">
        <v>102</v>
      </c>
    </row>
    <row r="17" spans="1:10">
      <c r="A17" t="s">
        <v>152</v>
      </c>
      <c r="B17" t="s">
        <v>153</v>
      </c>
      <c r="C17" t="s">
        <v>17</v>
      </c>
      <c r="D17" t="s">
        <v>154</v>
      </c>
      <c r="E17" t="s">
        <v>155</v>
      </c>
      <c r="F17" s="4">
        <v>924300</v>
      </c>
      <c r="G17" s="4">
        <v>74260</v>
      </c>
      <c r="H17" s="4">
        <v>166690</v>
      </c>
      <c r="I17" s="4">
        <f t="shared" si="0"/>
        <v>1165250</v>
      </c>
      <c r="J17" t="s">
        <v>102</v>
      </c>
    </row>
    <row r="18" spans="1:10">
      <c r="A18" t="s">
        <v>156</v>
      </c>
      <c r="B18" t="s">
        <v>157</v>
      </c>
      <c r="C18" t="s">
        <v>17</v>
      </c>
      <c r="D18" t="s">
        <v>158</v>
      </c>
      <c r="E18" t="s">
        <v>159</v>
      </c>
      <c r="F18" s="4">
        <v>1493100</v>
      </c>
      <c r="G18" s="4">
        <v>119290</v>
      </c>
      <c r="H18" s="4">
        <v>268600</v>
      </c>
      <c r="I18" s="4">
        <f t="shared" si="0"/>
        <v>1880990</v>
      </c>
      <c r="J18" t="s">
        <v>102</v>
      </c>
    </row>
    <row r="19" spans="1:10">
      <c r="A19" t="s">
        <v>160</v>
      </c>
      <c r="B19" t="s">
        <v>161</v>
      </c>
      <c r="C19" t="s">
        <v>135</v>
      </c>
      <c r="D19" t="s">
        <v>21</v>
      </c>
      <c r="E19" t="s">
        <v>139</v>
      </c>
      <c r="F19" s="4">
        <v>9867100</v>
      </c>
      <c r="G19" s="4">
        <v>789210</v>
      </c>
      <c r="H19" s="4">
        <v>1775920</v>
      </c>
      <c r="I19" s="4">
        <f t="shared" si="0"/>
        <v>12432230</v>
      </c>
      <c r="J19" t="s">
        <v>102</v>
      </c>
    </row>
    <row r="20" spans="1:10">
      <c r="A20" t="s">
        <v>162</v>
      </c>
      <c r="B20" t="s">
        <v>163</v>
      </c>
      <c r="C20" t="s">
        <v>135</v>
      </c>
      <c r="D20" t="s">
        <v>21</v>
      </c>
      <c r="E20" t="s">
        <v>139</v>
      </c>
      <c r="F20" s="4">
        <v>7252200</v>
      </c>
      <c r="G20" s="4">
        <v>725220</v>
      </c>
      <c r="H20" s="4">
        <v>1305080</v>
      </c>
      <c r="I20" s="4">
        <f t="shared" si="0"/>
        <v>9282500</v>
      </c>
      <c r="J20" t="s">
        <v>102</v>
      </c>
    </row>
    <row r="21" spans="1:10">
      <c r="A21" t="s">
        <v>164</v>
      </c>
      <c r="B21" t="s">
        <v>165</v>
      </c>
      <c r="C21" t="s">
        <v>135</v>
      </c>
      <c r="D21" t="s">
        <v>21</v>
      </c>
      <c r="E21" t="s">
        <v>139</v>
      </c>
      <c r="F21" s="4">
        <v>4439800</v>
      </c>
      <c r="G21" s="4">
        <v>532460</v>
      </c>
      <c r="H21" s="4">
        <v>799480</v>
      </c>
      <c r="I21" s="4">
        <f t="shared" si="0"/>
        <v>5771740</v>
      </c>
      <c r="J21" t="s">
        <v>102</v>
      </c>
    </row>
    <row r="22" spans="1:10">
      <c r="A22" t="s">
        <v>166</v>
      </c>
      <c r="B22" t="s">
        <v>167</v>
      </c>
      <c r="C22" t="s">
        <v>168</v>
      </c>
      <c r="D22" t="s">
        <v>21</v>
      </c>
      <c r="E22" t="s">
        <v>139</v>
      </c>
      <c r="F22" s="4">
        <v>2765000</v>
      </c>
      <c r="G22" s="4">
        <v>221200</v>
      </c>
      <c r="H22" s="4">
        <v>497700</v>
      </c>
      <c r="I22" s="4">
        <f t="shared" si="0"/>
        <v>3483900</v>
      </c>
      <c r="J22" t="s">
        <v>102</v>
      </c>
    </row>
    <row r="23" spans="1:10">
      <c r="A23" t="s">
        <v>169</v>
      </c>
      <c r="B23" t="s">
        <v>170</v>
      </c>
      <c r="C23" t="s">
        <v>168</v>
      </c>
      <c r="D23" t="s">
        <v>21</v>
      </c>
      <c r="E23" t="s">
        <v>139</v>
      </c>
      <c r="F23" s="4">
        <v>1659000</v>
      </c>
      <c r="G23" s="4">
        <v>82950</v>
      </c>
      <c r="H23" s="4">
        <v>298620</v>
      </c>
      <c r="I23" s="4">
        <f t="shared" si="0"/>
        <v>2040570</v>
      </c>
      <c r="J23" t="s">
        <v>102</v>
      </c>
    </row>
    <row r="24" spans="1:10">
      <c r="A24" t="s">
        <v>171</v>
      </c>
      <c r="B24" t="s">
        <v>172</v>
      </c>
      <c r="C24" t="s">
        <v>168</v>
      </c>
      <c r="D24" t="s">
        <v>21</v>
      </c>
      <c r="E24" t="s">
        <v>139</v>
      </c>
      <c r="F24" s="4">
        <v>3665600</v>
      </c>
      <c r="G24" s="4">
        <v>183280</v>
      </c>
      <c r="H24" s="4">
        <v>659650</v>
      </c>
      <c r="I24" s="4">
        <f t="shared" si="0"/>
        <v>4508530</v>
      </c>
      <c r="J24" t="s">
        <v>102</v>
      </c>
    </row>
    <row r="25" spans="1:10">
      <c r="A25" t="s">
        <v>173</v>
      </c>
      <c r="B25" t="s">
        <v>174</v>
      </c>
      <c r="C25" t="s">
        <v>168</v>
      </c>
      <c r="D25" t="s">
        <v>21</v>
      </c>
      <c r="E25" t="s">
        <v>139</v>
      </c>
      <c r="F25" s="4">
        <v>4068500</v>
      </c>
      <c r="G25" s="4">
        <v>325480</v>
      </c>
      <c r="H25" s="4">
        <v>732330</v>
      </c>
      <c r="I25" s="4">
        <f t="shared" si="0"/>
        <v>5126310</v>
      </c>
      <c r="J25" t="s">
        <v>102</v>
      </c>
    </row>
    <row r="26" spans="1:10">
      <c r="A26" t="s">
        <v>175</v>
      </c>
      <c r="B26" t="s">
        <v>176</v>
      </c>
      <c r="C26" t="s">
        <v>168</v>
      </c>
      <c r="D26" t="s">
        <v>21</v>
      </c>
      <c r="E26" t="s">
        <v>139</v>
      </c>
      <c r="F26" s="4">
        <v>2140900</v>
      </c>
      <c r="G26" s="4">
        <v>214090</v>
      </c>
      <c r="H26" s="4">
        <v>385520</v>
      </c>
      <c r="I26" s="4">
        <f t="shared" si="0"/>
        <v>2740510</v>
      </c>
      <c r="J26" t="s">
        <v>102</v>
      </c>
    </row>
    <row r="27" spans="1:10">
      <c r="A27" t="s">
        <v>177</v>
      </c>
      <c r="B27" t="s">
        <v>178</v>
      </c>
      <c r="C27" t="s">
        <v>168</v>
      </c>
      <c r="D27" t="s">
        <v>21</v>
      </c>
      <c r="E27" t="s">
        <v>139</v>
      </c>
      <c r="F27" s="4">
        <v>4084300</v>
      </c>
      <c r="G27" s="4">
        <v>408430</v>
      </c>
      <c r="H27" s="4">
        <v>735490</v>
      </c>
      <c r="I27" s="4">
        <f t="shared" si="0"/>
        <v>5228220</v>
      </c>
      <c r="J27" t="s">
        <v>102</v>
      </c>
    </row>
    <row r="28" spans="1:10">
      <c r="A28" t="s">
        <v>179</v>
      </c>
      <c r="B28" t="s">
        <v>180</v>
      </c>
      <c r="C28" t="s">
        <v>168</v>
      </c>
      <c r="D28" t="s">
        <v>21</v>
      </c>
      <c r="E28" t="s">
        <v>139</v>
      </c>
      <c r="F28" s="4">
        <v>2678100</v>
      </c>
      <c r="G28" s="4">
        <v>321530</v>
      </c>
      <c r="H28" s="4">
        <v>481900</v>
      </c>
      <c r="I28" s="4">
        <f t="shared" si="0"/>
        <v>3481530</v>
      </c>
      <c r="J28" t="s">
        <v>102</v>
      </c>
    </row>
    <row r="29" spans="1:10">
      <c r="A29" t="s">
        <v>181</v>
      </c>
      <c r="B29" t="s">
        <v>182</v>
      </c>
      <c r="C29" t="s">
        <v>17</v>
      </c>
      <c r="D29" t="s">
        <v>21</v>
      </c>
      <c r="E29" t="s">
        <v>139</v>
      </c>
      <c r="F29" s="4">
        <v>1911800</v>
      </c>
      <c r="G29" s="4">
        <v>191180</v>
      </c>
      <c r="H29" s="4">
        <v>344440</v>
      </c>
      <c r="I29" s="4">
        <f t="shared" si="0"/>
        <v>2447420</v>
      </c>
      <c r="J29" t="s">
        <v>102</v>
      </c>
    </row>
    <row r="30" spans="1:10">
      <c r="A30" t="s">
        <v>183</v>
      </c>
      <c r="B30" t="s">
        <v>184</v>
      </c>
      <c r="C30" t="s">
        <v>17</v>
      </c>
      <c r="D30" t="s">
        <v>21</v>
      </c>
      <c r="E30" t="s">
        <v>139</v>
      </c>
      <c r="F30" s="4">
        <v>1358800</v>
      </c>
      <c r="G30" s="4">
        <v>135880</v>
      </c>
      <c r="H30" s="4">
        <v>244900</v>
      </c>
      <c r="I30" s="4">
        <f t="shared" si="0"/>
        <v>1739580</v>
      </c>
      <c r="J30" t="s">
        <v>102</v>
      </c>
    </row>
    <row r="31" spans="1:10">
      <c r="A31" t="s">
        <v>185</v>
      </c>
      <c r="B31" t="s">
        <v>186</v>
      </c>
      <c r="C31" t="s">
        <v>17</v>
      </c>
      <c r="D31" t="s">
        <v>21</v>
      </c>
      <c r="E31" t="s">
        <v>139</v>
      </c>
      <c r="F31" s="4">
        <v>1027000</v>
      </c>
      <c r="G31" s="4">
        <v>82160</v>
      </c>
      <c r="H31" s="4">
        <v>184860</v>
      </c>
      <c r="I31" s="4">
        <f t="shared" si="0"/>
        <v>1294020</v>
      </c>
      <c r="J31" t="s">
        <v>102</v>
      </c>
    </row>
    <row r="32" spans="1:10">
      <c r="A32" t="s">
        <v>187</v>
      </c>
      <c r="B32" t="s">
        <v>188</v>
      </c>
      <c r="C32" t="s">
        <v>17</v>
      </c>
      <c r="D32" t="s">
        <v>21</v>
      </c>
      <c r="E32" t="s">
        <v>139</v>
      </c>
      <c r="F32" s="4">
        <v>2994100</v>
      </c>
      <c r="G32" s="4">
        <v>239370</v>
      </c>
      <c r="H32" s="4">
        <v>538780</v>
      </c>
      <c r="I32" s="4">
        <f t="shared" si="0"/>
        <v>3772250</v>
      </c>
      <c r="J32" t="s">
        <v>102</v>
      </c>
    </row>
    <row r="33" spans="1:10">
      <c r="A33" t="s">
        <v>189</v>
      </c>
      <c r="B33" t="s">
        <v>190</v>
      </c>
      <c r="C33" t="s">
        <v>17</v>
      </c>
      <c r="D33" t="s">
        <v>21</v>
      </c>
      <c r="E33" t="s">
        <v>139</v>
      </c>
      <c r="F33" s="4">
        <v>1358800</v>
      </c>
      <c r="G33" s="4">
        <v>67940</v>
      </c>
      <c r="H33" s="4">
        <v>244900</v>
      </c>
      <c r="I33" s="4">
        <f t="shared" si="0"/>
        <v>1671640</v>
      </c>
      <c r="J33" t="s">
        <v>102</v>
      </c>
    </row>
    <row r="34" spans="1:10">
      <c r="A34" t="s">
        <v>191</v>
      </c>
      <c r="B34" t="s">
        <v>192</v>
      </c>
      <c r="C34" t="s">
        <v>17</v>
      </c>
      <c r="D34" t="s">
        <v>21</v>
      </c>
      <c r="E34" t="s">
        <v>139</v>
      </c>
      <c r="F34" s="4">
        <v>1943400</v>
      </c>
      <c r="G34" s="4">
        <v>233050</v>
      </c>
      <c r="H34" s="4">
        <v>349970</v>
      </c>
      <c r="I34" s="4">
        <f t="shared" ref="I34:I65" si="1">SUM(F34:H34)</f>
        <v>2526420</v>
      </c>
      <c r="J34" t="s">
        <v>102</v>
      </c>
    </row>
    <row r="35" spans="1:10">
      <c r="A35" t="s">
        <v>193</v>
      </c>
      <c r="B35" t="s">
        <v>194</v>
      </c>
      <c r="C35" t="s">
        <v>17</v>
      </c>
      <c r="D35" t="s">
        <v>21</v>
      </c>
      <c r="E35" t="s">
        <v>139</v>
      </c>
      <c r="F35" s="4">
        <v>979600</v>
      </c>
      <c r="G35" s="4">
        <v>48980</v>
      </c>
      <c r="H35" s="4">
        <v>176170</v>
      </c>
      <c r="I35" s="4">
        <f t="shared" si="1"/>
        <v>1204750</v>
      </c>
      <c r="J35" t="s">
        <v>102</v>
      </c>
    </row>
    <row r="36" spans="1:10">
      <c r="A36" t="s">
        <v>195</v>
      </c>
      <c r="B36" t="s">
        <v>196</v>
      </c>
      <c r="C36" t="s">
        <v>20</v>
      </c>
      <c r="D36" t="s">
        <v>21</v>
      </c>
      <c r="E36" t="s">
        <v>139</v>
      </c>
      <c r="F36" s="4">
        <v>1390400</v>
      </c>
      <c r="G36" s="4">
        <v>111390</v>
      </c>
      <c r="H36" s="4">
        <v>250430</v>
      </c>
      <c r="I36" s="4">
        <f t="shared" si="1"/>
        <v>1752220</v>
      </c>
      <c r="J36" t="s">
        <v>102</v>
      </c>
    </row>
    <row r="37" spans="1:10">
      <c r="A37" t="s">
        <v>197</v>
      </c>
      <c r="B37" t="s">
        <v>198</v>
      </c>
      <c r="C37" t="s">
        <v>20</v>
      </c>
      <c r="D37" t="s">
        <v>21</v>
      </c>
      <c r="E37" t="s">
        <v>139</v>
      </c>
      <c r="F37" s="4">
        <v>9416800</v>
      </c>
      <c r="G37" s="4">
        <v>470840</v>
      </c>
      <c r="H37" s="4">
        <v>1695340</v>
      </c>
      <c r="I37" s="4">
        <f t="shared" si="1"/>
        <v>11582980</v>
      </c>
      <c r="J37" t="s">
        <v>102</v>
      </c>
    </row>
    <row r="38" spans="1:10">
      <c r="A38" t="s">
        <v>199</v>
      </c>
      <c r="B38" t="s">
        <v>200</v>
      </c>
      <c r="C38" t="s">
        <v>20</v>
      </c>
      <c r="D38" t="s">
        <v>21</v>
      </c>
      <c r="E38" t="s">
        <v>139</v>
      </c>
      <c r="F38" s="4">
        <v>6738700</v>
      </c>
      <c r="G38" s="4">
        <v>808960</v>
      </c>
      <c r="H38" s="4">
        <v>1212650</v>
      </c>
      <c r="I38" s="4">
        <f t="shared" si="1"/>
        <v>8760310</v>
      </c>
      <c r="J38" t="s">
        <v>102</v>
      </c>
    </row>
    <row r="39" spans="1:10">
      <c r="A39" t="s">
        <v>201</v>
      </c>
      <c r="B39" t="s">
        <v>202</v>
      </c>
      <c r="C39" t="s">
        <v>20</v>
      </c>
      <c r="D39" t="s">
        <v>21</v>
      </c>
      <c r="E39" t="s">
        <v>139</v>
      </c>
      <c r="F39" s="4">
        <v>4258100</v>
      </c>
      <c r="G39" s="4">
        <v>340490</v>
      </c>
      <c r="H39" s="4">
        <v>766300</v>
      </c>
      <c r="I39" s="4">
        <f t="shared" si="1"/>
        <v>5364890</v>
      </c>
      <c r="J39" t="s">
        <v>102</v>
      </c>
    </row>
    <row r="40" spans="1:10">
      <c r="A40" t="s">
        <v>203</v>
      </c>
      <c r="B40" t="s">
        <v>204</v>
      </c>
      <c r="C40" t="s">
        <v>20</v>
      </c>
      <c r="D40" t="s">
        <v>21</v>
      </c>
      <c r="E40" t="s">
        <v>139</v>
      </c>
      <c r="F40" s="4">
        <v>2733400</v>
      </c>
      <c r="G40" s="4">
        <v>136670</v>
      </c>
      <c r="H40" s="4">
        <v>492170</v>
      </c>
      <c r="I40" s="4">
        <f t="shared" si="1"/>
        <v>3362240</v>
      </c>
      <c r="J40" t="s">
        <v>102</v>
      </c>
    </row>
    <row r="41" spans="1:10">
      <c r="A41" t="s">
        <v>205</v>
      </c>
      <c r="B41" t="s">
        <v>206</v>
      </c>
      <c r="C41" t="s">
        <v>20</v>
      </c>
      <c r="D41" t="s">
        <v>21</v>
      </c>
      <c r="E41" t="s">
        <v>139</v>
      </c>
      <c r="F41" s="4">
        <v>1753800</v>
      </c>
      <c r="G41" s="4">
        <v>175380</v>
      </c>
      <c r="H41" s="4">
        <v>316000</v>
      </c>
      <c r="I41" s="4">
        <f t="shared" si="1"/>
        <v>2245180</v>
      </c>
      <c r="J41" t="s">
        <v>102</v>
      </c>
    </row>
    <row r="42" spans="1:10">
      <c r="A42" t="s">
        <v>207</v>
      </c>
      <c r="B42" t="s">
        <v>208</v>
      </c>
      <c r="C42" t="s">
        <v>20</v>
      </c>
      <c r="D42" t="s">
        <v>21</v>
      </c>
      <c r="E42" t="s">
        <v>139</v>
      </c>
      <c r="F42" s="4">
        <v>3357500</v>
      </c>
      <c r="G42" s="4">
        <v>268600</v>
      </c>
      <c r="H42" s="4">
        <v>604350</v>
      </c>
      <c r="I42" s="4">
        <f t="shared" si="1"/>
        <v>4230450</v>
      </c>
      <c r="J42" t="s">
        <v>102</v>
      </c>
    </row>
    <row r="43" spans="1:10">
      <c r="A43" t="s">
        <v>209</v>
      </c>
      <c r="B43" t="s">
        <v>210</v>
      </c>
      <c r="C43" t="s">
        <v>135</v>
      </c>
      <c r="D43" t="s">
        <v>21</v>
      </c>
      <c r="E43" t="s">
        <v>139</v>
      </c>
      <c r="F43" s="4">
        <v>4194900</v>
      </c>
      <c r="G43" s="4">
        <v>335750</v>
      </c>
      <c r="H43" s="4">
        <v>755240</v>
      </c>
      <c r="I43" s="4">
        <f t="shared" si="1"/>
        <v>5285890</v>
      </c>
      <c r="J43" t="s">
        <v>102</v>
      </c>
    </row>
    <row r="44" spans="1:10">
      <c r="A44" t="s">
        <v>211</v>
      </c>
      <c r="B44" t="s">
        <v>212</v>
      </c>
      <c r="C44" t="s">
        <v>135</v>
      </c>
      <c r="D44" t="s">
        <v>21</v>
      </c>
      <c r="E44" t="s">
        <v>139</v>
      </c>
      <c r="F44" s="4">
        <v>2346300</v>
      </c>
      <c r="G44" s="4">
        <v>281240</v>
      </c>
      <c r="H44" s="4">
        <v>422650</v>
      </c>
      <c r="I44" s="4">
        <f t="shared" si="1"/>
        <v>3050190</v>
      </c>
      <c r="J44" t="s">
        <v>102</v>
      </c>
    </row>
    <row r="45" spans="1:10">
      <c r="A45" t="s">
        <v>213</v>
      </c>
      <c r="B45" t="s">
        <v>214</v>
      </c>
      <c r="C45" t="s">
        <v>135</v>
      </c>
      <c r="D45" t="s">
        <v>21</v>
      </c>
      <c r="E45" t="s">
        <v>139</v>
      </c>
      <c r="F45" s="4">
        <v>3981600</v>
      </c>
      <c r="G45" s="4">
        <v>477950</v>
      </c>
      <c r="H45" s="4">
        <v>716530</v>
      </c>
      <c r="I45" s="4">
        <f t="shared" si="1"/>
        <v>5176080</v>
      </c>
      <c r="J45" t="s">
        <v>102</v>
      </c>
    </row>
    <row r="46" spans="1:10">
      <c r="A46" t="s">
        <v>215</v>
      </c>
      <c r="B46" t="s">
        <v>216</v>
      </c>
      <c r="C46" t="s">
        <v>135</v>
      </c>
      <c r="D46" t="s">
        <v>21</v>
      </c>
      <c r="E46" t="s">
        <v>139</v>
      </c>
      <c r="F46" s="4">
        <v>2662300</v>
      </c>
      <c r="G46" s="4">
        <v>213300</v>
      </c>
      <c r="H46" s="4">
        <v>479530</v>
      </c>
      <c r="I46" s="4">
        <f t="shared" si="1"/>
        <v>3355130</v>
      </c>
      <c r="J46" t="s">
        <v>102</v>
      </c>
    </row>
    <row r="47" spans="1:10">
      <c r="A47" t="s">
        <v>217</v>
      </c>
      <c r="B47" t="s">
        <v>218</v>
      </c>
      <c r="C47" t="s">
        <v>135</v>
      </c>
      <c r="D47" t="s">
        <v>21</v>
      </c>
      <c r="E47" t="s">
        <v>139</v>
      </c>
      <c r="F47" s="4">
        <v>2172500</v>
      </c>
      <c r="G47" s="4">
        <v>260700</v>
      </c>
      <c r="H47" s="4">
        <v>391050</v>
      </c>
      <c r="I47" s="4">
        <f t="shared" si="1"/>
        <v>2824250</v>
      </c>
      <c r="J47" t="s">
        <v>102</v>
      </c>
    </row>
    <row r="48" spans="1:10">
      <c r="A48" t="s">
        <v>219</v>
      </c>
      <c r="B48" t="s">
        <v>220</v>
      </c>
      <c r="C48" t="s">
        <v>135</v>
      </c>
      <c r="D48" t="s">
        <v>21</v>
      </c>
      <c r="E48" t="s">
        <v>139</v>
      </c>
      <c r="F48" s="4">
        <v>1264000</v>
      </c>
      <c r="G48" s="4">
        <v>101120</v>
      </c>
      <c r="H48" s="4">
        <v>227520</v>
      </c>
      <c r="I48" s="4">
        <f t="shared" si="1"/>
        <v>1592640</v>
      </c>
      <c r="J48" t="s">
        <v>102</v>
      </c>
    </row>
    <row r="49" spans="1:10">
      <c r="A49" t="s">
        <v>221</v>
      </c>
      <c r="B49" t="s">
        <v>222</v>
      </c>
      <c r="C49" t="s">
        <v>135</v>
      </c>
      <c r="D49" t="s">
        <v>21</v>
      </c>
      <c r="E49" t="s">
        <v>139</v>
      </c>
      <c r="F49" s="4">
        <v>1011200</v>
      </c>
      <c r="G49" s="4">
        <v>80580</v>
      </c>
      <c r="H49" s="4">
        <v>181700</v>
      </c>
      <c r="I49" s="4">
        <f t="shared" si="1"/>
        <v>1273480</v>
      </c>
      <c r="J49" t="s">
        <v>102</v>
      </c>
    </row>
    <row r="50" spans="1:10">
      <c r="A50" t="s">
        <v>223</v>
      </c>
      <c r="B50" t="s">
        <v>224</v>
      </c>
      <c r="C50" t="s">
        <v>168</v>
      </c>
      <c r="D50" t="s">
        <v>21</v>
      </c>
      <c r="E50" t="s">
        <v>139</v>
      </c>
      <c r="F50" s="4">
        <v>3254800</v>
      </c>
      <c r="G50" s="4">
        <v>162740</v>
      </c>
      <c r="H50" s="4">
        <v>586180</v>
      </c>
      <c r="I50" s="4">
        <f t="shared" si="1"/>
        <v>4003720</v>
      </c>
      <c r="J50" t="s">
        <v>102</v>
      </c>
    </row>
    <row r="51" spans="1:10">
      <c r="A51" t="s">
        <v>225</v>
      </c>
      <c r="B51" t="s">
        <v>226</v>
      </c>
      <c r="C51" t="s">
        <v>168</v>
      </c>
      <c r="D51" t="s">
        <v>21</v>
      </c>
      <c r="E51" t="s">
        <v>132</v>
      </c>
      <c r="F51" s="4">
        <v>1200800</v>
      </c>
      <c r="G51" s="4">
        <v>96380</v>
      </c>
      <c r="H51" s="4">
        <v>216460</v>
      </c>
      <c r="I51" s="4">
        <f t="shared" si="1"/>
        <v>1513640</v>
      </c>
      <c r="J51" t="s">
        <v>102</v>
      </c>
    </row>
    <row r="52" spans="1:10">
      <c r="A52" t="s">
        <v>227</v>
      </c>
      <c r="B52" t="s">
        <v>228</v>
      </c>
      <c r="C52" t="s">
        <v>168</v>
      </c>
      <c r="D52" t="s">
        <v>21</v>
      </c>
      <c r="E52" t="s">
        <v>132</v>
      </c>
      <c r="F52" s="4">
        <v>1793300</v>
      </c>
      <c r="G52" s="4">
        <v>90060</v>
      </c>
      <c r="H52" s="4">
        <v>323110</v>
      </c>
      <c r="I52" s="4">
        <f t="shared" si="1"/>
        <v>2206470</v>
      </c>
      <c r="J52" t="s">
        <v>102</v>
      </c>
    </row>
    <row r="53" spans="1:10">
      <c r="A53" t="s">
        <v>229</v>
      </c>
      <c r="B53" t="s">
        <v>230</v>
      </c>
      <c r="C53" t="s">
        <v>168</v>
      </c>
      <c r="D53" t="s">
        <v>21</v>
      </c>
      <c r="E53" t="s">
        <v>132</v>
      </c>
      <c r="F53" s="4">
        <v>940100</v>
      </c>
      <c r="G53" s="4">
        <v>112970</v>
      </c>
      <c r="H53" s="4">
        <v>169060</v>
      </c>
      <c r="I53" s="4">
        <f t="shared" si="1"/>
        <v>1222130</v>
      </c>
      <c r="J53" t="s">
        <v>102</v>
      </c>
    </row>
    <row r="54" spans="1:10">
      <c r="A54" t="s">
        <v>231</v>
      </c>
      <c r="B54" t="s">
        <v>232</v>
      </c>
      <c r="C54" t="s">
        <v>168</v>
      </c>
      <c r="D54" t="s">
        <v>21</v>
      </c>
      <c r="E54" t="s">
        <v>132</v>
      </c>
      <c r="F54" s="4">
        <v>1390400</v>
      </c>
      <c r="G54" s="4">
        <v>139040</v>
      </c>
      <c r="H54" s="4">
        <v>250430</v>
      </c>
      <c r="I54" s="4">
        <f t="shared" si="1"/>
        <v>1779870</v>
      </c>
      <c r="J54" t="s">
        <v>102</v>
      </c>
    </row>
    <row r="55" spans="1:10">
      <c r="A55" t="s">
        <v>233</v>
      </c>
      <c r="B55" t="s">
        <v>234</v>
      </c>
      <c r="C55" t="s">
        <v>168</v>
      </c>
      <c r="D55" t="s">
        <v>21</v>
      </c>
      <c r="E55" t="s">
        <v>132</v>
      </c>
      <c r="F55" s="4">
        <v>9622200</v>
      </c>
      <c r="G55" s="4">
        <v>962220</v>
      </c>
      <c r="H55" s="4">
        <v>1731680</v>
      </c>
      <c r="I55" s="4">
        <f t="shared" si="1"/>
        <v>12316100</v>
      </c>
      <c r="J55" t="s">
        <v>102</v>
      </c>
    </row>
    <row r="56" spans="1:10">
      <c r="A56" t="s">
        <v>235</v>
      </c>
      <c r="B56" t="s">
        <v>236</v>
      </c>
      <c r="C56" t="s">
        <v>168</v>
      </c>
      <c r="D56" t="s">
        <v>21</v>
      </c>
      <c r="E56" t="s">
        <v>132</v>
      </c>
      <c r="F56" s="4">
        <v>6722900</v>
      </c>
      <c r="G56" s="4">
        <v>336540</v>
      </c>
      <c r="H56" s="4">
        <v>1210280</v>
      </c>
      <c r="I56" s="4">
        <f t="shared" si="1"/>
        <v>8269720</v>
      </c>
      <c r="J56" t="s">
        <v>102</v>
      </c>
    </row>
    <row r="57" spans="1:10">
      <c r="A57" t="s">
        <v>237</v>
      </c>
      <c r="B57" t="s">
        <v>238</v>
      </c>
      <c r="C57" t="s">
        <v>17</v>
      </c>
      <c r="D57" t="s">
        <v>21</v>
      </c>
      <c r="E57" t="s">
        <v>132</v>
      </c>
      <c r="F57" s="4">
        <v>2528000</v>
      </c>
      <c r="G57" s="4">
        <v>126400</v>
      </c>
      <c r="H57" s="4">
        <v>455040</v>
      </c>
      <c r="I57" s="4">
        <f t="shared" si="1"/>
        <v>3109440</v>
      </c>
      <c r="J57" t="s">
        <v>102</v>
      </c>
    </row>
    <row r="58" spans="1:10">
      <c r="A58" t="s">
        <v>239</v>
      </c>
      <c r="B58" t="s">
        <v>240</v>
      </c>
      <c r="C58" t="s">
        <v>17</v>
      </c>
      <c r="D58" t="s">
        <v>21</v>
      </c>
      <c r="E58" t="s">
        <v>132</v>
      </c>
      <c r="F58" s="4">
        <v>1682700</v>
      </c>
      <c r="G58" s="4">
        <v>168270</v>
      </c>
      <c r="H58" s="4">
        <v>302570</v>
      </c>
      <c r="I58" s="4">
        <f t="shared" si="1"/>
        <v>2153540</v>
      </c>
      <c r="J58" t="s">
        <v>102</v>
      </c>
    </row>
    <row r="59" spans="1:10">
      <c r="A59" t="s">
        <v>241</v>
      </c>
      <c r="B59" t="s">
        <v>242</v>
      </c>
      <c r="C59" t="s">
        <v>17</v>
      </c>
      <c r="D59" t="s">
        <v>21</v>
      </c>
      <c r="E59" t="s">
        <v>243</v>
      </c>
      <c r="F59" s="4">
        <v>3397000</v>
      </c>
      <c r="G59" s="4">
        <v>407640</v>
      </c>
      <c r="H59" s="4">
        <v>611460</v>
      </c>
      <c r="I59" s="4">
        <f t="shared" si="1"/>
        <v>4416100</v>
      </c>
      <c r="J59" t="s">
        <v>102</v>
      </c>
    </row>
    <row r="60" spans="1:10">
      <c r="A60" t="s">
        <v>244</v>
      </c>
      <c r="B60" t="s">
        <v>245</v>
      </c>
      <c r="C60" t="s">
        <v>17</v>
      </c>
      <c r="D60" t="s">
        <v>21</v>
      </c>
      <c r="E60" t="s">
        <v>243</v>
      </c>
      <c r="F60" s="4">
        <v>439000</v>
      </c>
      <c r="G60" s="4">
        <v>35000</v>
      </c>
      <c r="H60" s="4">
        <v>61000</v>
      </c>
      <c r="I60" s="4">
        <f t="shared" si="1"/>
        <v>535000</v>
      </c>
      <c r="J60" t="s">
        <v>102</v>
      </c>
    </row>
    <row r="61" spans="1:10">
      <c r="A61" t="s">
        <v>246</v>
      </c>
      <c r="B61" t="s">
        <v>247</v>
      </c>
      <c r="C61" t="s">
        <v>17</v>
      </c>
      <c r="D61" t="s">
        <v>21</v>
      </c>
      <c r="E61" t="s">
        <v>243</v>
      </c>
      <c r="F61" s="4">
        <v>439000</v>
      </c>
      <c r="G61" s="4">
        <v>35000</v>
      </c>
      <c r="H61" s="4">
        <v>61000</v>
      </c>
      <c r="I61" s="4">
        <f t="shared" si="1"/>
        <v>535000</v>
      </c>
      <c r="J61" t="s">
        <v>102</v>
      </c>
    </row>
    <row r="62" spans="1:10">
      <c r="A62" t="s">
        <v>248</v>
      </c>
      <c r="B62" t="s">
        <v>249</v>
      </c>
      <c r="C62" t="s">
        <v>17</v>
      </c>
      <c r="D62" t="s">
        <v>21</v>
      </c>
      <c r="E62" t="s">
        <v>243</v>
      </c>
      <c r="F62">
        <v>439000</v>
      </c>
      <c r="G62">
        <v>35000</v>
      </c>
      <c r="H62">
        <v>61000</v>
      </c>
      <c r="I62">
        <f t="shared" si="1"/>
        <v>535000</v>
      </c>
      <c r="J62" t="s">
        <v>102</v>
      </c>
    </row>
    <row r="63" spans="1:10">
      <c r="A63" t="s">
        <v>250</v>
      </c>
      <c r="B63" t="s">
        <v>251</v>
      </c>
      <c r="C63" t="s">
        <v>20</v>
      </c>
      <c r="D63" t="s">
        <v>21</v>
      </c>
      <c r="E63" t="s">
        <v>243</v>
      </c>
      <c r="F63">
        <v>439000</v>
      </c>
      <c r="G63">
        <v>35000</v>
      </c>
      <c r="H63">
        <v>61000</v>
      </c>
      <c r="I63">
        <f t="shared" si="1"/>
        <v>535000</v>
      </c>
      <c r="J63" t="s">
        <v>102</v>
      </c>
    </row>
    <row r="64" spans="1:10">
      <c r="A64" t="s">
        <v>252</v>
      </c>
      <c r="B64" t="s">
        <v>253</v>
      </c>
      <c r="C64" t="s">
        <v>20</v>
      </c>
      <c r="D64" t="s">
        <v>21</v>
      </c>
      <c r="E64" t="s">
        <v>243</v>
      </c>
      <c r="F64">
        <v>439000</v>
      </c>
      <c r="G64">
        <v>35000</v>
      </c>
      <c r="H64">
        <v>61000</v>
      </c>
      <c r="I64">
        <f t="shared" si="1"/>
        <v>535000</v>
      </c>
      <c r="J64" t="s">
        <v>102</v>
      </c>
    </row>
    <row r="65" spans="1:10">
      <c r="A65" t="s">
        <v>254</v>
      </c>
      <c r="B65" t="s">
        <v>255</v>
      </c>
      <c r="C65" t="s">
        <v>20</v>
      </c>
      <c r="D65" t="s">
        <v>21</v>
      </c>
      <c r="E65" t="s">
        <v>243</v>
      </c>
      <c r="F65">
        <v>439000</v>
      </c>
      <c r="G65">
        <v>35000</v>
      </c>
      <c r="H65">
        <v>61000</v>
      </c>
      <c r="I65">
        <f t="shared" si="1"/>
        <v>535000</v>
      </c>
      <c r="J65" t="s">
        <v>102</v>
      </c>
    </row>
    <row r="66" spans="1:10">
      <c r="A66" t="s">
        <v>256</v>
      </c>
      <c r="B66" t="s">
        <v>257</v>
      </c>
      <c r="C66" t="s">
        <v>20</v>
      </c>
      <c r="D66" t="s">
        <v>21</v>
      </c>
      <c r="E66" t="s">
        <v>243</v>
      </c>
      <c r="F66">
        <v>439000</v>
      </c>
      <c r="G66">
        <v>35000</v>
      </c>
      <c r="H66">
        <v>61000</v>
      </c>
      <c r="I66">
        <f t="shared" ref="I66:I97" si="2">SUM(F66:H66)</f>
        <v>535000</v>
      </c>
      <c r="J66" t="s">
        <v>102</v>
      </c>
    </row>
    <row r="67" spans="1:10">
      <c r="A67" t="s">
        <v>258</v>
      </c>
      <c r="B67" t="s">
        <v>259</v>
      </c>
      <c r="C67" t="s">
        <v>20</v>
      </c>
      <c r="D67" t="s">
        <v>21</v>
      </c>
      <c r="E67" t="s">
        <v>260</v>
      </c>
      <c r="F67">
        <v>439000</v>
      </c>
      <c r="G67">
        <v>35000</v>
      </c>
      <c r="H67">
        <v>61000</v>
      </c>
      <c r="I67">
        <f t="shared" si="2"/>
        <v>535000</v>
      </c>
      <c r="J67" t="s">
        <v>102</v>
      </c>
    </row>
    <row r="68" spans="1:10">
      <c r="A68" t="s">
        <v>261</v>
      </c>
      <c r="B68" t="s">
        <v>262</v>
      </c>
      <c r="C68" t="s">
        <v>20</v>
      </c>
      <c r="D68" t="s">
        <v>21</v>
      </c>
      <c r="E68" t="s">
        <v>260</v>
      </c>
      <c r="F68">
        <v>439000</v>
      </c>
      <c r="G68">
        <v>35000</v>
      </c>
      <c r="H68">
        <v>61000</v>
      </c>
      <c r="I68">
        <f t="shared" si="2"/>
        <v>535000</v>
      </c>
      <c r="J68" t="s">
        <v>102</v>
      </c>
    </row>
    <row r="69" spans="1:10">
      <c r="A69" t="s">
        <v>263</v>
      </c>
      <c r="B69" t="s">
        <v>264</v>
      </c>
      <c r="C69" t="s">
        <v>20</v>
      </c>
      <c r="D69" t="s">
        <v>21</v>
      </c>
      <c r="E69" t="s">
        <v>260</v>
      </c>
      <c r="F69">
        <v>439000</v>
      </c>
      <c r="G69">
        <v>35000</v>
      </c>
      <c r="H69">
        <v>61000</v>
      </c>
      <c r="I69">
        <f t="shared" si="2"/>
        <v>535000</v>
      </c>
      <c r="J69" t="s">
        <v>102</v>
      </c>
    </row>
    <row r="70" spans="1:10">
      <c r="A70" t="s">
        <v>265</v>
      </c>
      <c r="B70" t="s">
        <v>266</v>
      </c>
      <c r="C70" t="s">
        <v>135</v>
      </c>
      <c r="D70" t="s">
        <v>21</v>
      </c>
      <c r="E70" t="s">
        <v>260</v>
      </c>
      <c r="F70">
        <v>439000</v>
      </c>
      <c r="G70">
        <v>35000</v>
      </c>
      <c r="H70">
        <v>61000</v>
      </c>
      <c r="I70">
        <f t="shared" si="2"/>
        <v>535000</v>
      </c>
      <c r="J70" t="s">
        <v>102</v>
      </c>
    </row>
    <row r="71" spans="1:10">
      <c r="A71" t="s">
        <v>267</v>
      </c>
      <c r="B71" t="s">
        <v>268</v>
      </c>
      <c r="C71" t="s">
        <v>135</v>
      </c>
      <c r="D71" t="s">
        <v>21</v>
      </c>
      <c r="E71" t="s">
        <v>260</v>
      </c>
      <c r="F71">
        <v>439000</v>
      </c>
      <c r="G71">
        <v>35000</v>
      </c>
      <c r="H71">
        <v>61000</v>
      </c>
      <c r="I71">
        <f t="shared" si="2"/>
        <v>535000</v>
      </c>
      <c r="J71" t="s">
        <v>102</v>
      </c>
    </row>
    <row r="72" spans="1:10">
      <c r="A72" t="s">
        <v>269</v>
      </c>
      <c r="B72" t="s">
        <v>270</v>
      </c>
      <c r="C72" t="s">
        <v>135</v>
      </c>
      <c r="D72" t="s">
        <v>21</v>
      </c>
      <c r="E72" t="s">
        <v>260</v>
      </c>
      <c r="F72">
        <v>439000</v>
      </c>
      <c r="G72">
        <v>35000</v>
      </c>
      <c r="H72">
        <v>61000</v>
      </c>
      <c r="I72">
        <f t="shared" si="2"/>
        <v>535000</v>
      </c>
      <c r="J72" t="s">
        <v>102</v>
      </c>
    </row>
    <row r="73" spans="1:10">
      <c r="A73" t="s">
        <v>271</v>
      </c>
      <c r="B73" t="s">
        <v>272</v>
      </c>
      <c r="C73" t="s">
        <v>135</v>
      </c>
      <c r="D73" t="s">
        <v>21</v>
      </c>
      <c r="E73" t="s">
        <v>260</v>
      </c>
      <c r="F73">
        <v>439000</v>
      </c>
      <c r="G73">
        <v>35000</v>
      </c>
      <c r="H73">
        <v>61000</v>
      </c>
      <c r="I73">
        <f t="shared" si="2"/>
        <v>535000</v>
      </c>
      <c r="J73" t="s">
        <v>102</v>
      </c>
    </row>
    <row r="74" spans="1:10">
      <c r="A74" t="s">
        <v>273</v>
      </c>
      <c r="B74" t="s">
        <v>274</v>
      </c>
      <c r="C74" t="s">
        <v>135</v>
      </c>
      <c r="D74" t="s">
        <v>21</v>
      </c>
      <c r="E74" t="s">
        <v>260</v>
      </c>
      <c r="F74">
        <v>439000</v>
      </c>
      <c r="G74">
        <v>35000</v>
      </c>
      <c r="H74">
        <v>61000</v>
      </c>
      <c r="I74">
        <f t="shared" si="2"/>
        <v>535000</v>
      </c>
      <c r="J74" t="s">
        <v>102</v>
      </c>
    </row>
    <row r="75" spans="1:10">
      <c r="A75" t="s">
        <v>275</v>
      </c>
      <c r="B75" t="s">
        <v>276</v>
      </c>
      <c r="C75" t="s">
        <v>135</v>
      </c>
      <c r="D75" t="s">
        <v>21</v>
      </c>
      <c r="E75" t="s">
        <v>277</v>
      </c>
      <c r="F75">
        <v>439000</v>
      </c>
      <c r="G75">
        <v>35000</v>
      </c>
      <c r="H75">
        <v>61000</v>
      </c>
      <c r="I75">
        <f t="shared" si="2"/>
        <v>535000</v>
      </c>
      <c r="J75" t="s">
        <v>102</v>
      </c>
    </row>
    <row r="76" spans="1:10">
      <c r="A76" t="s">
        <v>278</v>
      </c>
      <c r="B76" t="s">
        <v>279</v>
      </c>
      <c r="C76" t="s">
        <v>135</v>
      </c>
      <c r="D76" t="s">
        <v>21</v>
      </c>
      <c r="E76" t="s">
        <v>277</v>
      </c>
      <c r="F76">
        <v>439000</v>
      </c>
      <c r="G76">
        <v>35000</v>
      </c>
      <c r="H76">
        <v>61000</v>
      </c>
      <c r="I76">
        <f t="shared" si="2"/>
        <v>535000</v>
      </c>
      <c r="J76" t="s">
        <v>102</v>
      </c>
    </row>
    <row r="77" spans="1:10">
      <c r="A77" t="s">
        <v>280</v>
      </c>
      <c r="B77" t="s">
        <v>281</v>
      </c>
      <c r="C77" t="s">
        <v>168</v>
      </c>
      <c r="D77" t="s">
        <v>21</v>
      </c>
      <c r="E77" t="s">
        <v>277</v>
      </c>
      <c r="F77">
        <v>439000</v>
      </c>
      <c r="G77">
        <v>35000</v>
      </c>
      <c r="H77">
        <v>61000</v>
      </c>
      <c r="I77">
        <f t="shared" si="2"/>
        <v>535000</v>
      </c>
      <c r="J77" t="s">
        <v>102</v>
      </c>
    </row>
    <row r="78" spans="1:10">
      <c r="A78" t="s">
        <v>282</v>
      </c>
      <c r="B78" t="s">
        <v>283</v>
      </c>
      <c r="C78" t="s">
        <v>168</v>
      </c>
      <c r="D78" t="s">
        <v>21</v>
      </c>
      <c r="E78" t="s">
        <v>277</v>
      </c>
      <c r="F78">
        <v>439000</v>
      </c>
      <c r="G78">
        <v>35000</v>
      </c>
      <c r="H78">
        <v>61000</v>
      </c>
      <c r="I78">
        <f t="shared" si="2"/>
        <v>535000</v>
      </c>
      <c r="J78" t="s">
        <v>102</v>
      </c>
    </row>
    <row r="79" spans="1:10">
      <c r="A79" t="s">
        <v>284</v>
      </c>
      <c r="B79" t="s">
        <v>285</v>
      </c>
      <c r="C79" t="s">
        <v>168</v>
      </c>
      <c r="D79" t="s">
        <v>21</v>
      </c>
      <c r="E79" t="s">
        <v>277</v>
      </c>
      <c r="F79">
        <v>439000</v>
      </c>
      <c r="G79">
        <v>35000</v>
      </c>
      <c r="H79">
        <v>61000</v>
      </c>
      <c r="I79">
        <f t="shared" si="2"/>
        <v>535000</v>
      </c>
      <c r="J79" t="s">
        <v>102</v>
      </c>
    </row>
    <row r="80" spans="1:10">
      <c r="A80" t="s">
        <v>286</v>
      </c>
      <c r="B80" t="s">
        <v>287</v>
      </c>
      <c r="C80" t="s">
        <v>168</v>
      </c>
      <c r="D80" t="s">
        <v>21</v>
      </c>
      <c r="E80" t="s">
        <v>277</v>
      </c>
      <c r="F80">
        <v>439000</v>
      </c>
      <c r="G80">
        <v>35000</v>
      </c>
      <c r="H80">
        <v>61000</v>
      </c>
      <c r="I80">
        <f t="shared" si="2"/>
        <v>535000</v>
      </c>
      <c r="J80" t="s">
        <v>102</v>
      </c>
    </row>
    <row r="81" spans="1:10">
      <c r="A81" t="s">
        <v>288</v>
      </c>
      <c r="B81" t="s">
        <v>289</v>
      </c>
      <c r="C81" t="s">
        <v>168</v>
      </c>
      <c r="D81" t="s">
        <v>21</v>
      </c>
      <c r="E81" t="s">
        <v>277</v>
      </c>
      <c r="F81">
        <v>439000</v>
      </c>
      <c r="G81">
        <v>35000</v>
      </c>
      <c r="H81">
        <v>61000</v>
      </c>
      <c r="I81">
        <f t="shared" si="2"/>
        <v>535000</v>
      </c>
      <c r="J81" t="s">
        <v>102</v>
      </c>
    </row>
    <row r="82" spans="1:10">
      <c r="A82" t="s">
        <v>290</v>
      </c>
      <c r="B82" t="s">
        <v>291</v>
      </c>
      <c r="C82" t="s">
        <v>168</v>
      </c>
      <c r="D82" t="s">
        <v>292</v>
      </c>
      <c r="E82" t="s">
        <v>155</v>
      </c>
      <c r="F82">
        <v>439000</v>
      </c>
      <c r="G82">
        <v>35000</v>
      </c>
      <c r="H82">
        <v>61000</v>
      </c>
      <c r="I82">
        <f t="shared" si="2"/>
        <v>535000</v>
      </c>
      <c r="J82" t="s">
        <v>102</v>
      </c>
    </row>
    <row r="83" spans="1:10">
      <c r="A83" t="s">
        <v>293</v>
      </c>
      <c r="B83" t="s">
        <v>294</v>
      </c>
      <c r="C83" t="s">
        <v>168</v>
      </c>
      <c r="D83" t="s">
        <v>292</v>
      </c>
      <c r="E83" t="s">
        <v>155</v>
      </c>
      <c r="F83">
        <v>439000</v>
      </c>
      <c r="G83">
        <v>35000</v>
      </c>
      <c r="H83">
        <v>61000</v>
      </c>
      <c r="I83">
        <f t="shared" si="2"/>
        <v>535000</v>
      </c>
      <c r="J83" t="s">
        <v>102</v>
      </c>
    </row>
    <row r="84" spans="1:10">
      <c r="A84" t="s">
        <v>295</v>
      </c>
      <c r="B84" t="s">
        <v>296</v>
      </c>
      <c r="C84" t="s">
        <v>17</v>
      </c>
      <c r="D84" t="s">
        <v>292</v>
      </c>
      <c r="E84" t="s">
        <v>155</v>
      </c>
      <c r="F84">
        <v>439000</v>
      </c>
      <c r="G84">
        <v>35000</v>
      </c>
      <c r="H84">
        <v>61000</v>
      </c>
      <c r="I84">
        <f t="shared" si="2"/>
        <v>535000</v>
      </c>
      <c r="J84" t="s">
        <v>102</v>
      </c>
    </row>
    <row r="85" spans="1:10">
      <c r="A85" t="s">
        <v>297</v>
      </c>
      <c r="B85" t="s">
        <v>298</v>
      </c>
      <c r="C85" t="s">
        <v>17</v>
      </c>
      <c r="D85" t="s">
        <v>292</v>
      </c>
      <c r="E85" t="s">
        <v>155</v>
      </c>
      <c r="F85">
        <v>439000</v>
      </c>
      <c r="G85">
        <v>35000</v>
      </c>
      <c r="H85">
        <v>61000</v>
      </c>
      <c r="I85">
        <f t="shared" si="2"/>
        <v>535000</v>
      </c>
      <c r="J85" t="s">
        <v>102</v>
      </c>
    </row>
    <row r="86" spans="1:10">
      <c r="A86" t="s">
        <v>299</v>
      </c>
      <c r="B86" t="s">
        <v>300</v>
      </c>
      <c r="C86" t="s">
        <v>17</v>
      </c>
      <c r="D86" t="s">
        <v>292</v>
      </c>
      <c r="E86" t="s">
        <v>155</v>
      </c>
      <c r="F86">
        <v>439000</v>
      </c>
      <c r="G86">
        <v>35000</v>
      </c>
      <c r="H86">
        <v>61000</v>
      </c>
      <c r="I86">
        <f t="shared" si="2"/>
        <v>535000</v>
      </c>
      <c r="J86" t="s">
        <v>102</v>
      </c>
    </row>
    <row r="87" spans="1:10">
      <c r="A87" t="s">
        <v>301</v>
      </c>
      <c r="B87" t="s">
        <v>302</v>
      </c>
      <c r="C87" t="s">
        <v>17</v>
      </c>
      <c r="D87" t="s">
        <v>292</v>
      </c>
      <c r="E87" t="s">
        <v>303</v>
      </c>
      <c r="F87">
        <v>439000</v>
      </c>
      <c r="G87">
        <v>35000</v>
      </c>
      <c r="H87">
        <v>61000</v>
      </c>
      <c r="I87">
        <f t="shared" si="2"/>
        <v>535000</v>
      </c>
      <c r="J87" t="s">
        <v>102</v>
      </c>
    </row>
    <row r="88" spans="1:10">
      <c r="A88" t="s">
        <v>304</v>
      </c>
      <c r="B88" t="s">
        <v>305</v>
      </c>
      <c r="C88" t="s">
        <v>17</v>
      </c>
      <c r="D88" t="s">
        <v>292</v>
      </c>
      <c r="E88" t="s">
        <v>303</v>
      </c>
      <c r="F88">
        <v>439000</v>
      </c>
      <c r="G88">
        <v>35000</v>
      </c>
      <c r="H88">
        <v>61000</v>
      </c>
      <c r="I88">
        <f t="shared" si="2"/>
        <v>535000</v>
      </c>
      <c r="J88" t="s">
        <v>102</v>
      </c>
    </row>
    <row r="89" spans="1:10">
      <c r="A89" t="s">
        <v>306</v>
      </c>
      <c r="B89" t="s">
        <v>307</v>
      </c>
      <c r="C89" t="s">
        <v>17</v>
      </c>
      <c r="D89" t="s">
        <v>292</v>
      </c>
      <c r="E89" t="s">
        <v>303</v>
      </c>
      <c r="F89">
        <v>439000</v>
      </c>
      <c r="G89">
        <v>35000</v>
      </c>
      <c r="H89">
        <v>61000</v>
      </c>
      <c r="I89">
        <f t="shared" si="2"/>
        <v>535000</v>
      </c>
      <c r="J89" t="s">
        <v>102</v>
      </c>
    </row>
    <row r="90" spans="1:10">
      <c r="A90" t="s">
        <v>308</v>
      </c>
      <c r="B90" t="s">
        <v>309</v>
      </c>
      <c r="C90" t="s">
        <v>17</v>
      </c>
      <c r="D90" t="s">
        <v>292</v>
      </c>
      <c r="E90" t="s">
        <v>303</v>
      </c>
      <c r="F90">
        <v>634000</v>
      </c>
      <c r="G90">
        <v>51000</v>
      </c>
      <c r="H90">
        <v>89000</v>
      </c>
      <c r="I90">
        <f t="shared" si="2"/>
        <v>774000</v>
      </c>
      <c r="J90" t="s">
        <v>102</v>
      </c>
    </row>
    <row r="91" spans="1:10">
      <c r="A91" t="s">
        <v>310</v>
      </c>
      <c r="B91" t="s">
        <v>311</v>
      </c>
      <c r="C91" t="s">
        <v>20</v>
      </c>
      <c r="D91" t="s">
        <v>292</v>
      </c>
      <c r="E91" t="s">
        <v>147</v>
      </c>
      <c r="F91">
        <v>634000</v>
      </c>
      <c r="G91">
        <v>51000</v>
      </c>
      <c r="H91">
        <v>89000</v>
      </c>
      <c r="I91">
        <f t="shared" si="2"/>
        <v>774000</v>
      </c>
      <c r="J91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1"/>
  <sheetViews>
    <sheetView workbookViewId="0"/>
  </sheetViews>
  <sheetFormatPr baseColWidth="10" defaultColWidth="8.83203125" defaultRowHeight="15"/>
  <cols>
    <col min="1" max="1" width="14.6640625" customWidth="1"/>
    <col min="2" max="2" width="18" customWidth="1"/>
    <col min="3" max="3" width="5.6640625" customWidth="1"/>
    <col min="4" max="5" width="5.83203125" customWidth="1"/>
    <col min="6" max="9" width="4.6640625" customWidth="1"/>
    <col min="10" max="10" width="5" customWidth="1"/>
    <col min="11" max="11" width="4.6640625" customWidth="1"/>
    <col min="12" max="12" width="8.83203125" customWidth="1"/>
    <col min="13" max="13" width="6.6640625" customWidth="1"/>
    <col min="14" max="14" width="8.5" customWidth="1"/>
    <col min="15" max="15" width="8.33203125" customWidth="1"/>
    <col min="16" max="16" width="9.83203125" customWidth="1"/>
  </cols>
  <sheetData>
    <row r="1" spans="1:16" ht="32">
      <c r="A1" s="1" t="s">
        <v>35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</row>
    <row r="2" spans="1:16">
      <c r="A2" t="s">
        <v>20</v>
      </c>
      <c r="B2" t="s">
        <v>58</v>
      </c>
      <c r="C2" t="s">
        <v>59</v>
      </c>
      <c r="D2" s="5">
        <v>79.03</v>
      </c>
      <c r="E2" s="5">
        <v>72.16</v>
      </c>
      <c r="F2" s="5">
        <v>62.76</v>
      </c>
      <c r="G2" s="5">
        <v>75.42</v>
      </c>
      <c r="H2" s="5">
        <v>61.92</v>
      </c>
      <c r="I2" s="5">
        <v>68.28</v>
      </c>
      <c r="J2" s="5">
        <v>79.25</v>
      </c>
      <c r="K2" s="5">
        <v>69.92</v>
      </c>
      <c r="L2" s="5">
        <v>61.42</v>
      </c>
      <c r="M2" s="5">
        <v>73.12</v>
      </c>
      <c r="N2" s="5">
        <v>77.97</v>
      </c>
      <c r="O2" s="5">
        <v>76.239999999999995</v>
      </c>
      <c r="P2" s="5">
        <f t="shared" ref="P2:P11" si="0">SUM(D2:O2)</f>
        <v>857.49</v>
      </c>
    </row>
    <row r="3" spans="1:16">
      <c r="A3" t="s">
        <v>20</v>
      </c>
      <c r="B3" t="s">
        <v>60</v>
      </c>
      <c r="C3" t="s">
        <v>59</v>
      </c>
      <c r="D3" s="5">
        <v>59.5</v>
      </c>
      <c r="E3" s="5">
        <v>49.74</v>
      </c>
      <c r="F3" s="5">
        <v>47.27</v>
      </c>
      <c r="G3" s="5">
        <v>54.02</v>
      </c>
      <c r="H3" s="5">
        <v>54.39</v>
      </c>
      <c r="I3" s="5">
        <v>48.77</v>
      </c>
      <c r="J3" s="5">
        <v>54.65</v>
      </c>
      <c r="K3" s="5">
        <v>52.24</v>
      </c>
      <c r="L3" s="5">
        <v>60.35</v>
      </c>
      <c r="M3" s="5">
        <v>56.59</v>
      </c>
      <c r="N3" s="5">
        <v>49.62</v>
      </c>
      <c r="O3" s="5">
        <v>54.26</v>
      </c>
      <c r="P3" s="5">
        <f t="shared" si="0"/>
        <v>641.4</v>
      </c>
    </row>
    <row r="4" spans="1:16">
      <c r="A4" t="s">
        <v>20</v>
      </c>
      <c r="B4" t="s">
        <v>61</v>
      </c>
      <c r="C4" t="s">
        <v>59</v>
      </c>
      <c r="D4" s="5">
        <v>50.19</v>
      </c>
      <c r="E4" s="5">
        <v>52.62</v>
      </c>
      <c r="F4" s="5">
        <v>46.74</v>
      </c>
      <c r="G4" s="5">
        <v>42.37</v>
      </c>
      <c r="H4" s="5">
        <v>47.03</v>
      </c>
      <c r="I4" s="5">
        <v>45.25</v>
      </c>
      <c r="J4" s="5">
        <v>47.55</v>
      </c>
      <c r="K4" s="5">
        <v>42.02</v>
      </c>
      <c r="L4" s="5">
        <v>48.54</v>
      </c>
      <c r="M4" s="5">
        <v>43.05</v>
      </c>
      <c r="N4" s="5">
        <v>52.33</v>
      </c>
      <c r="O4" s="5">
        <v>43.66</v>
      </c>
      <c r="P4" s="5">
        <f t="shared" si="0"/>
        <v>561.35</v>
      </c>
    </row>
    <row r="5" spans="1:16">
      <c r="A5" t="s">
        <v>20</v>
      </c>
      <c r="B5" t="s">
        <v>62</v>
      </c>
      <c r="C5" t="s">
        <v>59</v>
      </c>
      <c r="D5" s="5">
        <v>67.86</v>
      </c>
      <c r="E5" s="5">
        <v>63.74</v>
      </c>
      <c r="F5" s="5">
        <v>61.13</v>
      </c>
      <c r="G5" s="5">
        <v>54.89</v>
      </c>
      <c r="H5" s="5">
        <v>60.17</v>
      </c>
      <c r="I5" s="5">
        <v>58.03</v>
      </c>
      <c r="J5" s="5">
        <v>62.08</v>
      </c>
      <c r="K5" s="5">
        <v>57.04</v>
      </c>
      <c r="L5" s="5">
        <v>68.010000000000005</v>
      </c>
      <c r="M5" s="5">
        <v>67.680000000000007</v>
      </c>
      <c r="N5" s="5">
        <v>57.02</v>
      </c>
      <c r="O5" s="5">
        <v>67.38</v>
      </c>
      <c r="P5" s="5">
        <f t="shared" si="0"/>
        <v>745.03000000000009</v>
      </c>
    </row>
    <row r="6" spans="1:16">
      <c r="A6" t="s">
        <v>20</v>
      </c>
      <c r="B6" t="s">
        <v>63</v>
      </c>
      <c r="C6" t="s">
        <v>59</v>
      </c>
      <c r="D6" s="5">
        <v>41.61</v>
      </c>
      <c r="E6" s="5">
        <v>38.14</v>
      </c>
      <c r="F6" s="5">
        <v>42.84</v>
      </c>
      <c r="G6" s="5">
        <v>45.85</v>
      </c>
      <c r="H6" s="5">
        <v>40.340000000000003</v>
      </c>
      <c r="I6" s="5">
        <v>41.22</v>
      </c>
      <c r="J6" s="5">
        <v>37.729999999999997</v>
      </c>
      <c r="K6" s="5">
        <v>44.68</v>
      </c>
      <c r="L6" s="5">
        <v>37.21</v>
      </c>
      <c r="M6" s="5">
        <v>39.68</v>
      </c>
      <c r="N6" s="5">
        <v>36.31</v>
      </c>
      <c r="O6" s="5">
        <v>38.51</v>
      </c>
      <c r="P6" s="5">
        <f t="shared" si="0"/>
        <v>484.12</v>
      </c>
    </row>
    <row r="7" spans="1:16">
      <c r="A7" t="s">
        <v>17</v>
      </c>
      <c r="B7" t="s">
        <v>58</v>
      </c>
      <c r="C7" t="s">
        <v>59</v>
      </c>
      <c r="D7" s="5">
        <v>73.709999999999994</v>
      </c>
      <c r="E7" s="5">
        <v>76.150000000000006</v>
      </c>
      <c r="F7" s="5">
        <v>62.23</v>
      </c>
      <c r="G7" s="5">
        <v>61.37</v>
      </c>
      <c r="H7" s="5">
        <v>64.010000000000005</v>
      </c>
      <c r="I7" s="5">
        <v>72.040000000000006</v>
      </c>
      <c r="J7" s="5">
        <v>65.599999999999994</v>
      </c>
      <c r="K7" s="5">
        <v>72.87</v>
      </c>
      <c r="L7" s="5">
        <v>67.52</v>
      </c>
      <c r="M7" s="5">
        <v>65.290000000000006</v>
      </c>
      <c r="N7" s="5">
        <v>63.25</v>
      </c>
      <c r="O7" s="5">
        <v>77.92</v>
      </c>
      <c r="P7" s="5">
        <f t="shared" si="0"/>
        <v>821.95999999999992</v>
      </c>
    </row>
    <row r="8" spans="1:16">
      <c r="A8" t="s">
        <v>17</v>
      </c>
      <c r="B8" t="s">
        <v>60</v>
      </c>
      <c r="C8" t="s">
        <v>59</v>
      </c>
      <c r="D8" s="5">
        <v>60.73</v>
      </c>
      <c r="E8" s="5">
        <v>58.2</v>
      </c>
      <c r="F8" s="5">
        <v>60.74</v>
      </c>
      <c r="G8" s="5">
        <v>54.87</v>
      </c>
      <c r="H8" s="5">
        <v>51.35</v>
      </c>
      <c r="I8" s="5">
        <v>46.43</v>
      </c>
      <c r="J8" s="5">
        <v>56.85</v>
      </c>
      <c r="K8" s="5">
        <v>47.53</v>
      </c>
      <c r="L8" s="5">
        <v>52.12</v>
      </c>
      <c r="M8" s="5">
        <v>50.53</v>
      </c>
      <c r="N8" s="5">
        <v>61.2</v>
      </c>
      <c r="O8" s="5">
        <v>60.55</v>
      </c>
      <c r="P8" s="5">
        <f t="shared" si="0"/>
        <v>661.1</v>
      </c>
    </row>
    <row r="9" spans="1:16">
      <c r="A9" t="s">
        <v>17</v>
      </c>
      <c r="B9" t="s">
        <v>61</v>
      </c>
      <c r="C9" t="s">
        <v>59</v>
      </c>
      <c r="D9" s="5">
        <v>40.68</v>
      </c>
      <c r="E9" s="5">
        <v>47.63</v>
      </c>
      <c r="F9" s="5">
        <v>40.08</v>
      </c>
      <c r="G9" s="5">
        <v>48.48</v>
      </c>
      <c r="H9" s="5">
        <v>43.25</v>
      </c>
      <c r="I9" s="5">
        <v>51.36</v>
      </c>
      <c r="J9" s="5">
        <v>42.25</v>
      </c>
      <c r="K9" s="5">
        <v>51.43</v>
      </c>
      <c r="L9" s="5">
        <v>45.63</v>
      </c>
      <c r="M9" s="5">
        <v>42.29</v>
      </c>
      <c r="N9" s="5">
        <v>46.16</v>
      </c>
      <c r="O9" s="5">
        <v>43.31</v>
      </c>
      <c r="P9" s="5">
        <f t="shared" si="0"/>
        <v>542.54999999999995</v>
      </c>
    </row>
    <row r="10" spans="1:16">
      <c r="A10" t="s">
        <v>17</v>
      </c>
      <c r="B10" t="s">
        <v>62</v>
      </c>
      <c r="C10" t="s">
        <v>59</v>
      </c>
      <c r="D10" s="5">
        <v>61.35</v>
      </c>
      <c r="E10" s="5">
        <v>54.68</v>
      </c>
      <c r="F10" s="5">
        <v>57.77</v>
      </c>
      <c r="G10" s="5">
        <v>66.650000000000006</v>
      </c>
      <c r="H10" s="5">
        <v>67.28</v>
      </c>
      <c r="I10" s="5">
        <v>63.7</v>
      </c>
      <c r="J10" s="5">
        <v>64.72</v>
      </c>
      <c r="K10" s="5">
        <v>56.95</v>
      </c>
      <c r="L10" s="5">
        <v>63.6</v>
      </c>
      <c r="M10" s="5">
        <v>55.87</v>
      </c>
      <c r="N10" s="5">
        <v>64.819999999999993</v>
      </c>
      <c r="O10" s="5">
        <v>55.37</v>
      </c>
      <c r="P10" s="5">
        <f t="shared" si="0"/>
        <v>732.75999999999988</v>
      </c>
    </row>
    <row r="11" spans="1:16">
      <c r="A11" t="s">
        <v>17</v>
      </c>
      <c r="B11" t="s">
        <v>63</v>
      </c>
      <c r="C11" t="s">
        <v>59</v>
      </c>
      <c r="D11" s="5">
        <v>43.08</v>
      </c>
      <c r="E11" s="5">
        <v>44.45</v>
      </c>
      <c r="F11" s="5">
        <v>42.98</v>
      </c>
      <c r="G11" s="5">
        <v>46.48</v>
      </c>
      <c r="H11" s="5">
        <v>38.770000000000003</v>
      </c>
      <c r="I11" s="5">
        <v>38.65</v>
      </c>
      <c r="J11" s="5">
        <v>43.15</v>
      </c>
      <c r="K11" s="5">
        <v>41.29</v>
      </c>
      <c r="L11" s="5">
        <v>43.77</v>
      </c>
      <c r="M11" s="5">
        <v>34.92</v>
      </c>
      <c r="N11" s="5">
        <v>38.04</v>
      </c>
      <c r="O11" s="5">
        <v>36.36</v>
      </c>
      <c r="P11" s="5">
        <f t="shared" si="0"/>
        <v>491.94000000000005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6"/>
  <sheetViews>
    <sheetView tabSelected="1" workbookViewId="0">
      <selection activeCell="A7" sqref="A7:XFD7"/>
    </sheetView>
  </sheetViews>
  <sheetFormatPr baseColWidth="10" defaultColWidth="8.83203125" defaultRowHeight="15"/>
  <cols>
    <col min="1" max="1" width="13.6640625" customWidth="1"/>
    <col min="2" max="2" width="28" customWidth="1"/>
    <col min="3" max="3" width="14.6640625" customWidth="1"/>
    <col min="4" max="4" width="4.6640625" customWidth="1"/>
    <col min="5" max="16" width="9.83203125" customWidth="1"/>
    <col min="17" max="17" width="11.1640625" customWidth="1"/>
  </cols>
  <sheetData>
    <row r="1" spans="1:17" ht="32">
      <c r="A1" s="1" t="s">
        <v>312</v>
      </c>
      <c r="B1" s="1" t="s">
        <v>313</v>
      </c>
      <c r="C1" s="1" t="s">
        <v>35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</row>
    <row r="2" spans="1:17">
      <c r="A2" t="s">
        <v>314</v>
      </c>
      <c r="B2" t="s">
        <v>315</v>
      </c>
      <c r="C2" t="s">
        <v>20</v>
      </c>
      <c r="D2" t="s">
        <v>77</v>
      </c>
      <c r="E2" s="4">
        <v>105714070</v>
      </c>
      <c r="F2" s="4">
        <v>112374570</v>
      </c>
      <c r="G2" s="4">
        <v>123371710</v>
      </c>
      <c r="H2" s="4">
        <v>104337310</v>
      </c>
      <c r="I2" s="4">
        <v>123330900</v>
      </c>
      <c r="J2" s="4">
        <v>101935680</v>
      </c>
      <c r="K2" s="4">
        <v>110213180</v>
      </c>
      <c r="L2" s="4">
        <v>113386350</v>
      </c>
      <c r="M2" s="4">
        <v>101757040</v>
      </c>
      <c r="N2" s="4">
        <v>101895640</v>
      </c>
      <c r="O2" s="4">
        <v>117566680</v>
      </c>
      <c r="P2" s="4">
        <v>105308280</v>
      </c>
      <c r="Q2" s="4">
        <v>1321191410</v>
      </c>
    </row>
    <row r="3" spans="1:17">
      <c r="A3" t="s">
        <v>314</v>
      </c>
      <c r="B3" t="s">
        <v>316</v>
      </c>
      <c r="C3" t="s">
        <v>20</v>
      </c>
      <c r="D3" t="s">
        <v>77</v>
      </c>
      <c r="E3" s="4">
        <v>38419920</v>
      </c>
      <c r="F3" s="4">
        <v>38788750</v>
      </c>
      <c r="G3" s="4">
        <v>41616190</v>
      </c>
      <c r="H3" s="4">
        <v>37432780</v>
      </c>
      <c r="I3" s="4">
        <v>32835880</v>
      </c>
      <c r="J3" s="4">
        <v>33964700</v>
      </c>
      <c r="K3" s="4">
        <v>39112150</v>
      </c>
      <c r="L3" s="4">
        <v>36784440</v>
      </c>
      <c r="M3" s="4">
        <v>35215180</v>
      </c>
      <c r="N3" s="4">
        <v>40718370</v>
      </c>
      <c r="O3" s="4">
        <v>37898630</v>
      </c>
      <c r="P3" s="4">
        <v>40904710</v>
      </c>
      <c r="Q3" s="4">
        <v>453691700</v>
      </c>
    </row>
    <row r="4" spans="1:17">
      <c r="A4" t="s">
        <v>314</v>
      </c>
      <c r="B4" t="s">
        <v>317</v>
      </c>
      <c r="C4" t="s">
        <v>20</v>
      </c>
      <c r="D4" t="s">
        <v>77</v>
      </c>
      <c r="E4" s="4">
        <v>65768010</v>
      </c>
      <c r="F4" s="4">
        <v>66314710</v>
      </c>
      <c r="G4" s="4">
        <v>60040750</v>
      </c>
      <c r="H4" s="4">
        <v>61606930</v>
      </c>
      <c r="I4" s="4">
        <v>69728890</v>
      </c>
      <c r="J4" s="4">
        <v>65630950</v>
      </c>
      <c r="K4" s="4">
        <v>63505750</v>
      </c>
      <c r="L4" s="4">
        <v>61305090</v>
      </c>
      <c r="M4" s="4">
        <v>58058770</v>
      </c>
      <c r="N4" s="4">
        <v>63575050</v>
      </c>
      <c r="O4" s="4">
        <v>70915460</v>
      </c>
      <c r="P4" s="4">
        <v>64268050</v>
      </c>
      <c r="Q4" s="4">
        <v>770718410</v>
      </c>
    </row>
    <row r="5" spans="1:17">
      <c r="A5" t="s">
        <v>314</v>
      </c>
      <c r="B5" t="s">
        <v>318</v>
      </c>
      <c r="C5" t="s">
        <v>20</v>
      </c>
      <c r="D5" t="s">
        <v>77</v>
      </c>
      <c r="E5" s="4">
        <v>22896720</v>
      </c>
      <c r="F5" s="4">
        <v>24391290</v>
      </c>
      <c r="G5" s="4">
        <v>23693670</v>
      </c>
      <c r="H5" s="4">
        <v>21724780</v>
      </c>
      <c r="I5" s="4">
        <v>26211570</v>
      </c>
      <c r="J5" s="4">
        <v>24289650</v>
      </c>
      <c r="K5" s="4">
        <v>23418780</v>
      </c>
      <c r="L5" s="4">
        <v>25734940</v>
      </c>
      <c r="M5" s="4">
        <v>22186010</v>
      </c>
      <c r="N5" s="4">
        <v>27087830</v>
      </c>
      <c r="O5" s="4">
        <v>25816560</v>
      </c>
      <c r="P5" s="4">
        <v>24532200</v>
      </c>
      <c r="Q5" s="4">
        <v>291984000</v>
      </c>
    </row>
    <row r="6" spans="1:17">
      <c r="A6" t="s">
        <v>314</v>
      </c>
      <c r="B6" t="s">
        <v>319</v>
      </c>
      <c r="C6" t="s">
        <v>17</v>
      </c>
      <c r="D6" t="s">
        <v>77</v>
      </c>
      <c r="E6" s="4">
        <v>17234140</v>
      </c>
      <c r="F6" s="4">
        <v>18583180</v>
      </c>
      <c r="G6" s="4">
        <v>19724320</v>
      </c>
      <c r="H6" s="4">
        <v>17336550</v>
      </c>
      <c r="I6" s="4">
        <v>19207650</v>
      </c>
      <c r="J6" s="4">
        <v>17710000</v>
      </c>
      <c r="K6" s="4">
        <v>18631690</v>
      </c>
      <c r="L6" s="4">
        <v>17660720</v>
      </c>
      <c r="M6" s="4">
        <v>17617600</v>
      </c>
      <c r="N6" s="4">
        <v>16520350</v>
      </c>
      <c r="O6" s="4">
        <v>17237220</v>
      </c>
      <c r="P6" s="4">
        <v>19622680</v>
      </c>
      <c r="Q6" s="4">
        <v>217086100</v>
      </c>
    </row>
    <row r="7" spans="1:17">
      <c r="A7" t="s">
        <v>320</v>
      </c>
      <c r="B7" t="s">
        <v>321</v>
      </c>
      <c r="C7" t="s">
        <v>17</v>
      </c>
      <c r="D7" t="s">
        <v>77</v>
      </c>
      <c r="E7" s="4">
        <v>6165390</v>
      </c>
      <c r="F7" s="4">
        <v>5364590</v>
      </c>
      <c r="G7" s="4">
        <v>6431810</v>
      </c>
      <c r="H7" s="4">
        <v>6247010</v>
      </c>
      <c r="I7" s="4">
        <v>5848150</v>
      </c>
      <c r="J7" s="4">
        <v>6502650</v>
      </c>
      <c r="K7" s="4">
        <v>5225990</v>
      </c>
      <c r="L7" s="4">
        <v>5779620</v>
      </c>
      <c r="M7" s="4">
        <v>5462380</v>
      </c>
      <c r="N7" s="4">
        <v>5159770</v>
      </c>
      <c r="O7" s="4">
        <v>5370750</v>
      </c>
      <c r="P7" s="4">
        <v>5274500</v>
      </c>
      <c r="Q7" s="4">
        <v>68832610</v>
      </c>
    </row>
    <row r="8" spans="1:17">
      <c r="A8" t="s">
        <v>320</v>
      </c>
      <c r="B8" t="s">
        <v>322</v>
      </c>
      <c r="C8" t="s">
        <v>17</v>
      </c>
      <c r="D8" t="s">
        <v>77</v>
      </c>
      <c r="E8" s="4">
        <v>9718170</v>
      </c>
      <c r="F8" s="4">
        <v>9940700</v>
      </c>
      <c r="G8" s="4">
        <v>10686060</v>
      </c>
      <c r="H8" s="4">
        <v>11075680</v>
      </c>
      <c r="I8" s="4">
        <v>9121420</v>
      </c>
      <c r="J8" s="4">
        <v>10946320</v>
      </c>
      <c r="K8" s="4">
        <v>9935310</v>
      </c>
      <c r="L8" s="4">
        <v>8826510</v>
      </c>
      <c r="M8" s="4">
        <v>10494330</v>
      </c>
      <c r="N8" s="4">
        <v>10883950</v>
      </c>
      <c r="O8" s="4">
        <v>10112410</v>
      </c>
      <c r="P8" s="4">
        <v>10597510</v>
      </c>
      <c r="Q8" s="4">
        <v>122338370</v>
      </c>
    </row>
    <row r="9" spans="1:17">
      <c r="A9" t="s">
        <v>320</v>
      </c>
      <c r="B9" t="s">
        <v>323</v>
      </c>
      <c r="C9" t="s">
        <v>17</v>
      </c>
      <c r="D9" t="s">
        <v>77</v>
      </c>
      <c r="E9" s="4">
        <v>13228600</v>
      </c>
      <c r="F9" s="4">
        <v>11465300</v>
      </c>
      <c r="G9" s="4">
        <v>13415710</v>
      </c>
      <c r="H9" s="4">
        <v>12407780</v>
      </c>
      <c r="I9" s="4">
        <v>12934460</v>
      </c>
      <c r="J9" s="4">
        <v>13793010</v>
      </c>
      <c r="K9" s="4">
        <v>12366970</v>
      </c>
      <c r="L9" s="4">
        <v>12062050</v>
      </c>
      <c r="M9" s="4">
        <v>12236070</v>
      </c>
      <c r="N9" s="4">
        <v>11522280</v>
      </c>
      <c r="O9" s="4">
        <v>10977890</v>
      </c>
      <c r="P9" s="4">
        <v>12994520</v>
      </c>
      <c r="Q9" s="4">
        <v>149404640</v>
      </c>
    </row>
    <row r="10" spans="1:17">
      <c r="A10" t="s">
        <v>324</v>
      </c>
      <c r="B10" t="s">
        <v>325</v>
      </c>
      <c r="C10" t="s">
        <v>17</v>
      </c>
      <c r="D10" t="s">
        <v>77</v>
      </c>
      <c r="E10" s="4">
        <v>29032080</v>
      </c>
      <c r="F10" s="4">
        <v>30576700</v>
      </c>
      <c r="G10" s="4">
        <v>29592640</v>
      </c>
      <c r="H10" s="4">
        <v>26303200</v>
      </c>
      <c r="I10" s="4">
        <v>27709220</v>
      </c>
      <c r="J10" s="4">
        <v>31649310</v>
      </c>
      <c r="K10" s="4">
        <v>26604270</v>
      </c>
      <c r="L10" s="4">
        <v>30344160</v>
      </c>
      <c r="M10" s="4">
        <v>29665790</v>
      </c>
      <c r="N10" s="4">
        <v>28391440</v>
      </c>
      <c r="O10" s="4">
        <v>28142730</v>
      </c>
      <c r="P10" s="4">
        <v>31546900</v>
      </c>
      <c r="Q10" s="4">
        <v>349558440</v>
      </c>
    </row>
    <row r="11" spans="1:17">
      <c r="A11" t="s">
        <v>324</v>
      </c>
      <c r="B11" t="s">
        <v>326</v>
      </c>
      <c r="C11" t="s">
        <v>17</v>
      </c>
      <c r="D11" t="s">
        <v>77</v>
      </c>
      <c r="E11" s="4">
        <v>17486700</v>
      </c>
      <c r="F11" s="4">
        <v>16920750</v>
      </c>
      <c r="G11" s="4">
        <v>18073440</v>
      </c>
      <c r="H11" s="4">
        <v>18255160</v>
      </c>
      <c r="I11" s="4">
        <v>18312140</v>
      </c>
      <c r="J11" s="4">
        <v>16068360</v>
      </c>
      <c r="K11" s="4">
        <v>16631230</v>
      </c>
      <c r="L11" s="4">
        <v>18399920</v>
      </c>
      <c r="M11" s="4">
        <v>17027010</v>
      </c>
      <c r="N11" s="4">
        <v>15996750</v>
      </c>
      <c r="O11" s="4">
        <v>15380750</v>
      </c>
      <c r="P11" s="4">
        <v>15965180</v>
      </c>
      <c r="Q11" s="4">
        <v>204517390</v>
      </c>
    </row>
    <row r="12" spans="1:17">
      <c r="A12" t="s">
        <v>327</v>
      </c>
      <c r="B12" t="s">
        <v>328</v>
      </c>
      <c r="C12" t="s">
        <v>17</v>
      </c>
      <c r="D12" t="s">
        <v>77</v>
      </c>
      <c r="E12" s="4">
        <v>21021770</v>
      </c>
      <c r="F12" s="4">
        <v>23114630</v>
      </c>
      <c r="G12" s="4">
        <v>21988890</v>
      </c>
      <c r="H12" s="4">
        <v>20524350</v>
      </c>
      <c r="I12" s="4">
        <v>22211420</v>
      </c>
      <c r="J12" s="4">
        <v>19276950</v>
      </c>
      <c r="K12" s="4">
        <v>22463980</v>
      </c>
      <c r="L12" s="4">
        <v>19698140</v>
      </c>
      <c r="M12" s="4">
        <v>18851910</v>
      </c>
      <c r="N12" s="4">
        <v>19140660</v>
      </c>
      <c r="O12" s="4">
        <v>19487160</v>
      </c>
      <c r="P12" s="4">
        <v>22945230</v>
      </c>
      <c r="Q12" s="4">
        <v>250725090</v>
      </c>
    </row>
    <row r="13" spans="1:17">
      <c r="A13" t="s">
        <v>329</v>
      </c>
      <c r="B13" t="s">
        <v>330</v>
      </c>
      <c r="C13" t="s">
        <v>17</v>
      </c>
      <c r="D13" t="s">
        <v>77</v>
      </c>
      <c r="E13" s="4">
        <v>8032640</v>
      </c>
      <c r="F13" s="4">
        <v>7614530</v>
      </c>
      <c r="G13" s="4">
        <v>9497950</v>
      </c>
      <c r="H13" s="4">
        <v>9240000</v>
      </c>
      <c r="I13" s="4">
        <v>7983360</v>
      </c>
      <c r="J13" s="4">
        <v>9360120</v>
      </c>
      <c r="K13" s="4">
        <v>9524900</v>
      </c>
      <c r="L13" s="4">
        <v>7629160</v>
      </c>
      <c r="M13" s="4">
        <v>8237460</v>
      </c>
      <c r="N13" s="4">
        <v>7813960</v>
      </c>
      <c r="O13" s="4">
        <v>8216670</v>
      </c>
      <c r="P13" s="4">
        <v>9113720</v>
      </c>
      <c r="Q13" s="4">
        <v>102264470</v>
      </c>
    </row>
    <row r="14" spans="1:17">
      <c r="A14" t="s">
        <v>331</v>
      </c>
      <c r="B14" t="s">
        <v>332</v>
      </c>
      <c r="C14" t="s">
        <v>20</v>
      </c>
      <c r="D14" t="s">
        <v>77</v>
      </c>
      <c r="E14" s="4">
        <v>12497870</v>
      </c>
      <c r="F14" s="4">
        <v>11829510</v>
      </c>
      <c r="G14" s="4">
        <v>12356190</v>
      </c>
      <c r="H14" s="4">
        <v>11414480</v>
      </c>
      <c r="I14" s="4">
        <v>11957330</v>
      </c>
      <c r="J14" s="4">
        <v>10864700</v>
      </c>
      <c r="K14" s="4">
        <v>10267950</v>
      </c>
      <c r="L14" s="4">
        <v>12391610</v>
      </c>
      <c r="M14" s="4">
        <v>12367740</v>
      </c>
      <c r="N14" s="4">
        <v>11181170</v>
      </c>
      <c r="O14" s="4">
        <v>11742500</v>
      </c>
      <c r="P14" s="4">
        <v>11493790</v>
      </c>
      <c r="Q14" s="4">
        <v>140364840</v>
      </c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54"/>
  <sheetViews>
    <sheetView workbookViewId="0"/>
  </sheetViews>
  <sheetFormatPr baseColWidth="10" defaultColWidth="8.83203125" defaultRowHeight="15"/>
  <cols>
    <col min="1" max="1" width="12" customWidth="1"/>
    <col min="2" max="2" width="26" customWidth="1"/>
    <col min="3" max="3" width="15" customWidth="1"/>
    <col min="4" max="4" width="10" customWidth="1"/>
    <col min="5" max="5" width="24" customWidth="1"/>
    <col min="6" max="6" width="10" customWidth="1"/>
    <col min="7" max="18" width="13" customWidth="1"/>
    <col min="19" max="19" width="16" customWidth="1"/>
  </cols>
  <sheetData>
    <row r="1" spans="1:19" ht="53.25" customHeight="1">
      <c r="A1" s="45" t="s">
        <v>333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</row>
    <row r="2" spans="1:19" ht="39" customHeight="1">
      <c r="A2" s="46" t="s">
        <v>64</v>
      </c>
      <c r="B2" s="46"/>
      <c r="C2" s="46"/>
      <c r="D2" s="46"/>
      <c r="E2" s="46"/>
      <c r="F2" s="46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</row>
    <row r="3" spans="1:19"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46.25" customHeight="1">
      <c r="A4" s="48" t="s">
        <v>65</v>
      </c>
      <c r="B4" s="48"/>
      <c r="C4" s="48"/>
      <c r="D4" s="48" t="s">
        <v>66</v>
      </c>
      <c r="E4" s="48"/>
      <c r="F4" s="48"/>
      <c r="G4" s="49" t="s">
        <v>67</v>
      </c>
      <c r="H4" s="49"/>
      <c r="I4" s="49"/>
      <c r="J4" s="49" t="s">
        <v>68</v>
      </c>
      <c r="K4" s="49"/>
      <c r="L4" s="49"/>
      <c r="M4" s="49" t="s">
        <v>69</v>
      </c>
      <c r="N4" s="49"/>
      <c r="O4" s="49"/>
      <c r="P4" s="49" t="s">
        <v>70</v>
      </c>
      <c r="Q4" s="49"/>
      <c r="R4" s="49"/>
      <c r="S4" s="49"/>
    </row>
    <row r="5" spans="1:19" ht="49.75" customHeight="1">
      <c r="A5" s="53">
        <f>SUMIF($E$10:$E$54,"Quantité exportée",$S$10:$S$54)</f>
        <v>3094.92</v>
      </c>
      <c r="B5" s="54"/>
      <c r="C5" s="54"/>
      <c r="D5" s="55">
        <f>SUMIF($E$10:$E$54,"Chiffre d'affaires MGA",$S$10:$S$54)</f>
        <v>16055910530</v>
      </c>
      <c r="E5" s="54"/>
      <c r="F5" s="54"/>
      <c r="G5" s="55">
        <f>SUMIFS($S$10:$S$54,$A$10:$A$54,"Japon",$E$10:$E$54,"Chiffre d'affaires MGA")</f>
        <v>5951042845</v>
      </c>
      <c r="H5" s="50"/>
      <c r="I5" s="50"/>
      <c r="J5" s="55">
        <f>SUMIFS($S$10:$S$54,$A$10:$A$54,"Russie",$E$10:$E$54,"Chiffre d'affaires MGA")</f>
        <v>5086859365</v>
      </c>
      <c r="K5" s="50"/>
      <c r="L5" s="50"/>
      <c r="M5" s="55">
        <f>SUMIFS($S$10:$S$54,$A$10:$A$54,"Chine",$E$10:$E$54,"Chiffre d'affaires MGA")</f>
        <v>5018008320</v>
      </c>
      <c r="N5" s="50"/>
      <c r="O5" s="50"/>
      <c r="P5" s="50" t="s">
        <v>71</v>
      </c>
      <c r="Q5" s="50"/>
      <c r="R5" s="50"/>
      <c r="S5" s="50"/>
    </row>
    <row r="6" spans="1:19"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spans="1:19" ht="39" customHeight="1">
      <c r="A7" s="51" t="s">
        <v>72</v>
      </c>
      <c r="B7" s="51"/>
      <c r="C7" s="51"/>
      <c r="D7" s="51"/>
      <c r="E7" s="51"/>
      <c r="F7" s="51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</row>
    <row r="8" spans="1:19"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 ht="60.25" customHeight="1">
      <c r="A9" s="7" t="s">
        <v>23</v>
      </c>
      <c r="B9" s="7" t="s">
        <v>24</v>
      </c>
      <c r="C9" s="7" t="s">
        <v>43</v>
      </c>
      <c r="D9" s="7" t="s">
        <v>25</v>
      </c>
      <c r="E9" s="7" t="s">
        <v>73</v>
      </c>
      <c r="F9" s="7" t="s">
        <v>44</v>
      </c>
      <c r="G9" s="23" t="s">
        <v>45</v>
      </c>
      <c r="H9" s="23" t="s">
        <v>46</v>
      </c>
      <c r="I9" s="23" t="s">
        <v>47</v>
      </c>
      <c r="J9" s="23" t="s">
        <v>48</v>
      </c>
      <c r="K9" s="23" t="s">
        <v>49</v>
      </c>
      <c r="L9" s="23" t="s">
        <v>50</v>
      </c>
      <c r="M9" s="23" t="s">
        <v>51</v>
      </c>
      <c r="N9" s="23" t="s">
        <v>52</v>
      </c>
      <c r="O9" s="23" t="s">
        <v>53</v>
      </c>
      <c r="P9" s="23" t="s">
        <v>54</v>
      </c>
      <c r="Q9" s="23" t="s">
        <v>55</v>
      </c>
      <c r="R9" s="23" t="s">
        <v>56</v>
      </c>
      <c r="S9" s="23" t="s">
        <v>57</v>
      </c>
    </row>
    <row r="10" spans="1:19">
      <c r="A10" s="8" t="s">
        <v>27</v>
      </c>
      <c r="B10" s="8" t="s">
        <v>28</v>
      </c>
      <c r="C10" s="9" t="s">
        <v>58</v>
      </c>
      <c r="D10" s="9" t="s">
        <v>29</v>
      </c>
      <c r="E10" s="9" t="s">
        <v>74</v>
      </c>
      <c r="F10" s="9" t="s">
        <v>59</v>
      </c>
      <c r="G10" s="24">
        <v>26.98</v>
      </c>
      <c r="H10" s="24">
        <v>20.36</v>
      </c>
      <c r="I10" s="24">
        <v>16.55</v>
      </c>
      <c r="J10" s="24">
        <v>18.41</v>
      </c>
      <c r="K10" s="24">
        <v>16.68</v>
      </c>
      <c r="L10" s="24">
        <v>25.44</v>
      </c>
      <c r="M10" s="24">
        <v>21.5</v>
      </c>
      <c r="N10" s="24">
        <v>25.5</v>
      </c>
      <c r="O10" s="24">
        <v>16.899999999999999</v>
      </c>
      <c r="P10" s="24">
        <v>15.88</v>
      </c>
      <c r="Q10" s="24">
        <v>16.829999999999998</v>
      </c>
      <c r="R10" s="24">
        <v>25.95</v>
      </c>
      <c r="S10" s="24">
        <v>246.98</v>
      </c>
    </row>
    <row r="11" spans="1:19">
      <c r="A11" s="10" t="s">
        <v>27</v>
      </c>
      <c r="B11" s="10" t="s">
        <v>28</v>
      </c>
      <c r="C11" s="11" t="s">
        <v>58</v>
      </c>
      <c r="D11" s="11" t="s">
        <v>29</v>
      </c>
      <c r="E11" s="11" t="s">
        <v>75</v>
      </c>
      <c r="F11" s="11" t="s">
        <v>29</v>
      </c>
      <c r="G11" s="25">
        <v>4991300</v>
      </c>
      <c r="H11" s="25">
        <v>3766600</v>
      </c>
      <c r="I11" s="25">
        <v>3061750</v>
      </c>
      <c r="J11" s="25">
        <v>3405850</v>
      </c>
      <c r="K11" s="25">
        <v>3085800</v>
      </c>
      <c r="L11" s="25">
        <v>4706400</v>
      </c>
      <c r="M11" s="25">
        <v>3977500</v>
      </c>
      <c r="N11" s="25">
        <v>4717500</v>
      </c>
      <c r="O11" s="25">
        <v>3126500</v>
      </c>
      <c r="P11" s="25">
        <v>2937800</v>
      </c>
      <c r="Q11" s="25">
        <v>3113550</v>
      </c>
      <c r="R11" s="25">
        <v>4800750</v>
      </c>
      <c r="S11" s="25">
        <v>45691300</v>
      </c>
    </row>
    <row r="12" spans="1:19">
      <c r="A12" s="12" t="s">
        <v>27</v>
      </c>
      <c r="B12" s="12" t="s">
        <v>28</v>
      </c>
      <c r="C12" s="12" t="s">
        <v>58</v>
      </c>
      <c r="D12" s="12" t="s">
        <v>29</v>
      </c>
      <c r="E12" s="12" t="s">
        <v>76</v>
      </c>
      <c r="F12" s="12" t="s">
        <v>77</v>
      </c>
      <c r="G12" s="26">
        <f>IF($D12="USD",G11*'Donnees SOMIDA'!$B$5,IF($D12="JPY",G11*'Donnees SOMIDA'!$B$6,0))</f>
        <v>167208550</v>
      </c>
      <c r="H12" s="26">
        <f>IF($D12="USD",H11*'Donnees SOMIDA'!$B$5,IF($D12="JPY",H11*'Donnees SOMIDA'!$B$6,0))</f>
        <v>126181100</v>
      </c>
      <c r="I12" s="26">
        <f>IF($D12="USD",I11*'Donnees SOMIDA'!$B$5,IF($D12="JPY",I11*'Donnees SOMIDA'!$B$6,0))</f>
        <v>102568625</v>
      </c>
      <c r="J12" s="26">
        <f>IF($D12="USD",J11*'Donnees SOMIDA'!$B$5,IF($D12="JPY",J11*'Donnees SOMIDA'!$B$6,0))</f>
        <v>114095975</v>
      </c>
      <c r="K12" s="26">
        <f>IF($D12="USD",K11*'Donnees SOMIDA'!$B$5,IF($D12="JPY",K11*'Donnees SOMIDA'!$B$6,0))</f>
        <v>103374300</v>
      </c>
      <c r="L12" s="26">
        <f>IF($D12="USD",L11*'Donnees SOMIDA'!$B$5,IF($D12="JPY",L11*'Donnees SOMIDA'!$B$6,0))</f>
        <v>157664400</v>
      </c>
      <c r="M12" s="26">
        <f>IF($D12="USD",M11*'Donnees SOMIDA'!$B$5,IF($D12="JPY",M11*'Donnees SOMIDA'!$B$6,0))</f>
        <v>133246250</v>
      </c>
      <c r="N12" s="26">
        <f>IF($D12="USD",N11*'Donnees SOMIDA'!$B$5,IF($D12="JPY",N11*'Donnees SOMIDA'!$B$6,0))</f>
        <v>158036250</v>
      </c>
      <c r="O12" s="26">
        <f>IF($D12="USD",O11*'Donnees SOMIDA'!$B$5,IF($D12="JPY",O11*'Donnees SOMIDA'!$B$6,0))</f>
        <v>104737750</v>
      </c>
      <c r="P12" s="26">
        <f>IF($D12="USD",P11*'Donnees SOMIDA'!$B$5,IF($D12="JPY",P11*'Donnees SOMIDA'!$B$6,0))</f>
        <v>98416300</v>
      </c>
      <c r="Q12" s="26">
        <f>IF($D12="USD",Q11*'Donnees SOMIDA'!$B$5,IF($D12="JPY",Q11*'Donnees SOMIDA'!$B$6,0))</f>
        <v>104303925</v>
      </c>
      <c r="R12" s="26">
        <f>IF($D12="USD",R11*'Donnees SOMIDA'!$B$5,IF($D12="JPY",R11*'Donnees SOMIDA'!$B$6,0))</f>
        <v>160825125</v>
      </c>
      <c r="S12" s="26">
        <f>SUM(G12:R12)</f>
        <v>1530658550</v>
      </c>
    </row>
    <row r="13" spans="1:19">
      <c r="A13" s="10" t="s">
        <v>27</v>
      </c>
      <c r="B13" s="10" t="s">
        <v>28</v>
      </c>
      <c r="C13" s="11" t="s">
        <v>60</v>
      </c>
      <c r="D13" s="11" t="s">
        <v>29</v>
      </c>
      <c r="E13" s="11" t="s">
        <v>74</v>
      </c>
      <c r="F13" s="11" t="s">
        <v>59</v>
      </c>
      <c r="G13" s="25">
        <v>18.23</v>
      </c>
      <c r="H13" s="25">
        <v>14.24</v>
      </c>
      <c r="I13" s="25">
        <v>18.920000000000002</v>
      </c>
      <c r="J13" s="25">
        <v>14.44</v>
      </c>
      <c r="K13" s="25">
        <v>20.13</v>
      </c>
      <c r="L13" s="25">
        <v>21.29</v>
      </c>
      <c r="M13" s="25">
        <v>17.77</v>
      </c>
      <c r="N13" s="25">
        <v>19.57</v>
      </c>
      <c r="O13" s="25">
        <v>16.22</v>
      </c>
      <c r="P13" s="25">
        <v>17.27</v>
      </c>
      <c r="Q13" s="25">
        <v>15.9</v>
      </c>
      <c r="R13" s="25">
        <v>14.77</v>
      </c>
      <c r="S13" s="25">
        <v>208.75</v>
      </c>
    </row>
    <row r="14" spans="1:19">
      <c r="A14" s="10" t="s">
        <v>27</v>
      </c>
      <c r="B14" s="10" t="s">
        <v>28</v>
      </c>
      <c r="C14" s="11" t="s">
        <v>60</v>
      </c>
      <c r="D14" s="11" t="s">
        <v>29</v>
      </c>
      <c r="E14" s="11" t="s">
        <v>75</v>
      </c>
      <c r="F14" s="11" t="s">
        <v>29</v>
      </c>
      <c r="G14" s="25">
        <v>3117330</v>
      </c>
      <c r="H14" s="25">
        <v>2435040</v>
      </c>
      <c r="I14" s="25">
        <v>3235320</v>
      </c>
      <c r="J14" s="25">
        <v>2469240</v>
      </c>
      <c r="K14" s="25">
        <v>3442230</v>
      </c>
      <c r="L14" s="25">
        <v>3640590</v>
      </c>
      <c r="M14" s="25">
        <v>3038670</v>
      </c>
      <c r="N14" s="25">
        <v>3346470</v>
      </c>
      <c r="O14" s="25">
        <v>2773620</v>
      </c>
      <c r="P14" s="25">
        <v>2953170</v>
      </c>
      <c r="Q14" s="25">
        <v>2718900</v>
      </c>
      <c r="R14" s="25">
        <v>2525670</v>
      </c>
      <c r="S14" s="25">
        <v>35696250</v>
      </c>
    </row>
    <row r="15" spans="1:19">
      <c r="A15" s="12" t="s">
        <v>27</v>
      </c>
      <c r="B15" s="12" t="s">
        <v>28</v>
      </c>
      <c r="C15" s="12" t="s">
        <v>60</v>
      </c>
      <c r="D15" s="12" t="s">
        <v>29</v>
      </c>
      <c r="E15" s="12" t="s">
        <v>76</v>
      </c>
      <c r="F15" s="12" t="s">
        <v>77</v>
      </c>
      <c r="G15" s="26">
        <f>IF($D15="USD",G14*'Donnees SOMIDA'!$B$5,IF($D15="JPY",G14*'Donnees SOMIDA'!$B$6,0))</f>
        <v>104430555</v>
      </c>
      <c r="H15" s="26">
        <f>IF($D15="USD",H14*'Donnees SOMIDA'!$B$5,IF($D15="JPY",H14*'Donnees SOMIDA'!$B$6,0))</f>
        <v>81573840</v>
      </c>
      <c r="I15" s="26">
        <f>IF($D15="USD",I14*'Donnees SOMIDA'!$B$5,IF($D15="JPY",I14*'Donnees SOMIDA'!$B$6,0))</f>
        <v>108383220</v>
      </c>
      <c r="J15" s="26">
        <f>IF($D15="USD",J14*'Donnees SOMIDA'!$B$5,IF($D15="JPY",J14*'Donnees SOMIDA'!$B$6,0))</f>
        <v>82719540</v>
      </c>
      <c r="K15" s="26">
        <f>IF($D15="USD",K14*'Donnees SOMIDA'!$B$5,IF($D15="JPY",K14*'Donnees SOMIDA'!$B$6,0))</f>
        <v>115314705</v>
      </c>
      <c r="L15" s="26">
        <f>IF($D15="USD",L14*'Donnees SOMIDA'!$B$5,IF($D15="JPY",L14*'Donnees SOMIDA'!$B$6,0))</f>
        <v>121959765</v>
      </c>
      <c r="M15" s="26">
        <f>IF($D15="USD",M14*'Donnees SOMIDA'!$B$5,IF($D15="JPY",M14*'Donnees SOMIDA'!$B$6,0))</f>
        <v>101795445</v>
      </c>
      <c r="N15" s="26">
        <f>IF($D15="USD",N14*'Donnees SOMIDA'!$B$5,IF($D15="JPY",N14*'Donnees SOMIDA'!$B$6,0))</f>
        <v>112106745</v>
      </c>
      <c r="O15" s="26">
        <f>IF($D15="USD",O14*'Donnees SOMIDA'!$B$5,IF($D15="JPY",O14*'Donnees SOMIDA'!$B$6,0))</f>
        <v>92916270</v>
      </c>
      <c r="P15" s="26">
        <f>IF($D15="USD",P14*'Donnees SOMIDA'!$B$5,IF($D15="JPY",P14*'Donnees SOMIDA'!$B$6,0))</f>
        <v>98931195</v>
      </c>
      <c r="Q15" s="26">
        <f>IF($D15="USD",Q14*'Donnees SOMIDA'!$B$5,IF($D15="JPY",Q14*'Donnees SOMIDA'!$B$6,0))</f>
        <v>91083150</v>
      </c>
      <c r="R15" s="26">
        <f>IF($D15="USD",R14*'Donnees SOMIDA'!$B$5,IF($D15="JPY",R14*'Donnees SOMIDA'!$B$6,0))</f>
        <v>84609945</v>
      </c>
      <c r="S15" s="26">
        <f>SUM(G15:R15)</f>
        <v>1195824375</v>
      </c>
    </row>
    <row r="16" spans="1:19">
      <c r="A16" s="10" t="s">
        <v>27</v>
      </c>
      <c r="B16" s="10" t="s">
        <v>28</v>
      </c>
      <c r="C16" s="11" t="s">
        <v>61</v>
      </c>
      <c r="D16" s="11" t="s">
        <v>29</v>
      </c>
      <c r="E16" s="11" t="s">
        <v>74</v>
      </c>
      <c r="F16" s="11" t="s">
        <v>59</v>
      </c>
      <c r="G16" s="25">
        <v>17.690000000000001</v>
      </c>
      <c r="H16" s="25">
        <v>18.260000000000002</v>
      </c>
      <c r="I16" s="25">
        <v>16.809999999999999</v>
      </c>
      <c r="J16" s="25">
        <v>12.01</v>
      </c>
      <c r="K16" s="25">
        <v>13.83</v>
      </c>
      <c r="L16" s="25">
        <v>12.45</v>
      </c>
      <c r="M16" s="25">
        <v>14.83</v>
      </c>
      <c r="N16" s="25">
        <v>16.64</v>
      </c>
      <c r="O16" s="25">
        <v>19.18</v>
      </c>
      <c r="P16" s="25">
        <v>11.88</v>
      </c>
      <c r="Q16" s="25">
        <v>14.27</v>
      </c>
      <c r="R16" s="25">
        <v>18.46</v>
      </c>
      <c r="S16" s="25">
        <v>186.31</v>
      </c>
    </row>
    <row r="17" spans="1:19">
      <c r="A17" s="10" t="s">
        <v>27</v>
      </c>
      <c r="B17" s="10" t="s">
        <v>28</v>
      </c>
      <c r="C17" s="11" t="s">
        <v>61</v>
      </c>
      <c r="D17" s="11" t="s">
        <v>29</v>
      </c>
      <c r="E17" s="11" t="s">
        <v>75</v>
      </c>
      <c r="F17" s="11" t="s">
        <v>29</v>
      </c>
      <c r="G17" s="25">
        <v>2918850</v>
      </c>
      <c r="H17" s="25">
        <v>3012900</v>
      </c>
      <c r="I17" s="25">
        <v>2773650</v>
      </c>
      <c r="J17" s="25">
        <v>1981650</v>
      </c>
      <c r="K17" s="25">
        <v>2281950</v>
      </c>
      <c r="L17" s="25">
        <v>2054250</v>
      </c>
      <c r="M17" s="25">
        <v>2446950</v>
      </c>
      <c r="N17" s="25">
        <v>2745600</v>
      </c>
      <c r="O17" s="25">
        <v>3164700</v>
      </c>
      <c r="P17" s="25">
        <v>1960200</v>
      </c>
      <c r="Q17" s="25">
        <v>2354550</v>
      </c>
      <c r="R17" s="25">
        <v>3045900</v>
      </c>
      <c r="S17" s="25">
        <v>30741150</v>
      </c>
    </row>
    <row r="18" spans="1:19">
      <c r="A18" s="12" t="s">
        <v>27</v>
      </c>
      <c r="B18" s="12" t="s">
        <v>28</v>
      </c>
      <c r="C18" s="12" t="s">
        <v>61</v>
      </c>
      <c r="D18" s="12" t="s">
        <v>29</v>
      </c>
      <c r="E18" s="12" t="s">
        <v>76</v>
      </c>
      <c r="F18" s="12" t="s">
        <v>77</v>
      </c>
      <c r="G18" s="26">
        <f>IF($D18="USD",G17*'Donnees SOMIDA'!$B$5,IF($D18="JPY",G17*'Donnees SOMIDA'!$B$6,0))</f>
        <v>97781475</v>
      </c>
      <c r="H18" s="26">
        <f>IF($D18="USD",H17*'Donnees SOMIDA'!$B$5,IF($D18="JPY",H17*'Donnees SOMIDA'!$B$6,0))</f>
        <v>100932150</v>
      </c>
      <c r="I18" s="26">
        <f>IF($D18="USD",I17*'Donnees SOMIDA'!$B$5,IF($D18="JPY",I17*'Donnees SOMIDA'!$B$6,0))</f>
        <v>92917275</v>
      </c>
      <c r="J18" s="26">
        <f>IF($D18="USD",J17*'Donnees SOMIDA'!$B$5,IF($D18="JPY",J17*'Donnees SOMIDA'!$B$6,0))</f>
        <v>66385275</v>
      </c>
      <c r="K18" s="26">
        <f>IF($D18="USD",K17*'Donnees SOMIDA'!$B$5,IF($D18="JPY",K17*'Donnees SOMIDA'!$B$6,0))</f>
        <v>76445325</v>
      </c>
      <c r="L18" s="26">
        <f>IF($D18="USD",L17*'Donnees SOMIDA'!$B$5,IF($D18="JPY",L17*'Donnees SOMIDA'!$B$6,0))</f>
        <v>68817375</v>
      </c>
      <c r="M18" s="26">
        <f>IF($D18="USD",M17*'Donnees SOMIDA'!$B$5,IF($D18="JPY",M17*'Donnees SOMIDA'!$B$6,0))</f>
        <v>81972825</v>
      </c>
      <c r="N18" s="26">
        <f>IF($D18="USD",N17*'Donnees SOMIDA'!$B$5,IF($D18="JPY",N17*'Donnees SOMIDA'!$B$6,0))</f>
        <v>91977600</v>
      </c>
      <c r="O18" s="26">
        <f>IF($D18="USD",O17*'Donnees SOMIDA'!$B$5,IF($D18="JPY",O17*'Donnees SOMIDA'!$B$6,0))</f>
        <v>106017450</v>
      </c>
      <c r="P18" s="26">
        <f>IF($D18="USD",P17*'Donnees SOMIDA'!$B$5,IF($D18="JPY",P17*'Donnees SOMIDA'!$B$6,0))</f>
        <v>65666700</v>
      </c>
      <c r="Q18" s="26">
        <f>IF($D18="USD",Q17*'Donnees SOMIDA'!$B$5,IF($D18="JPY",Q17*'Donnees SOMIDA'!$B$6,0))</f>
        <v>78877425</v>
      </c>
      <c r="R18" s="26">
        <f>IF($D18="USD",R17*'Donnees SOMIDA'!$B$5,IF($D18="JPY",R17*'Donnees SOMIDA'!$B$6,0))</f>
        <v>102037650</v>
      </c>
      <c r="S18" s="26">
        <f>SUM(G18:R18)</f>
        <v>1029828525</v>
      </c>
    </row>
    <row r="19" spans="1:19">
      <c r="A19" s="10" t="s">
        <v>27</v>
      </c>
      <c r="B19" s="10" t="s">
        <v>28</v>
      </c>
      <c r="C19" s="11" t="s">
        <v>62</v>
      </c>
      <c r="D19" s="11" t="s">
        <v>29</v>
      </c>
      <c r="E19" s="11" t="s">
        <v>74</v>
      </c>
      <c r="F19" s="11" t="s">
        <v>59</v>
      </c>
      <c r="G19" s="25">
        <v>17.079999999999998</v>
      </c>
      <c r="H19" s="25">
        <v>19.28</v>
      </c>
      <c r="I19" s="25">
        <v>23.69</v>
      </c>
      <c r="J19" s="25">
        <v>16.170000000000002</v>
      </c>
      <c r="K19" s="25">
        <v>18.62</v>
      </c>
      <c r="L19" s="25">
        <v>24.79</v>
      </c>
      <c r="M19" s="25">
        <v>21.53</v>
      </c>
      <c r="N19" s="25">
        <v>22.55</v>
      </c>
      <c r="O19" s="25">
        <v>20.48</v>
      </c>
      <c r="P19" s="25">
        <v>21.28</v>
      </c>
      <c r="Q19" s="25">
        <v>18.05</v>
      </c>
      <c r="R19" s="25">
        <v>21.47</v>
      </c>
      <c r="S19" s="25">
        <v>244.99</v>
      </c>
    </row>
    <row r="20" spans="1:19">
      <c r="A20" s="10" t="s">
        <v>27</v>
      </c>
      <c r="B20" s="10" t="s">
        <v>28</v>
      </c>
      <c r="C20" s="11" t="s">
        <v>62</v>
      </c>
      <c r="D20" s="11" t="s">
        <v>29</v>
      </c>
      <c r="E20" s="11" t="s">
        <v>75</v>
      </c>
      <c r="F20" s="11" t="s">
        <v>29</v>
      </c>
      <c r="G20" s="25">
        <v>3040240</v>
      </c>
      <c r="H20" s="25">
        <v>3431840</v>
      </c>
      <c r="I20" s="25">
        <v>4216820</v>
      </c>
      <c r="J20" s="25">
        <v>2878260</v>
      </c>
      <c r="K20" s="25">
        <v>3314360</v>
      </c>
      <c r="L20" s="25">
        <v>4412620</v>
      </c>
      <c r="M20" s="25">
        <v>3832340</v>
      </c>
      <c r="N20" s="25">
        <v>4013900</v>
      </c>
      <c r="O20" s="25">
        <v>3645440</v>
      </c>
      <c r="P20" s="25">
        <v>3787840</v>
      </c>
      <c r="Q20" s="25">
        <v>3212900</v>
      </c>
      <c r="R20" s="25">
        <v>3821660</v>
      </c>
      <c r="S20" s="25">
        <v>43608220</v>
      </c>
    </row>
    <row r="21" spans="1:19">
      <c r="A21" s="12" t="s">
        <v>27</v>
      </c>
      <c r="B21" s="12" t="s">
        <v>28</v>
      </c>
      <c r="C21" s="12" t="s">
        <v>62</v>
      </c>
      <c r="D21" s="12" t="s">
        <v>29</v>
      </c>
      <c r="E21" s="12" t="s">
        <v>76</v>
      </c>
      <c r="F21" s="12" t="s">
        <v>77</v>
      </c>
      <c r="G21" s="26">
        <f>IF($D21="USD",G20*'Donnees SOMIDA'!$B$5,IF($D21="JPY",G20*'Donnees SOMIDA'!$B$6,0))</f>
        <v>101848040</v>
      </c>
      <c r="H21" s="26">
        <f>IF($D21="USD",H20*'Donnees SOMIDA'!$B$5,IF($D21="JPY",H20*'Donnees SOMIDA'!$B$6,0))</f>
        <v>114966640</v>
      </c>
      <c r="I21" s="26">
        <f>IF($D21="USD",I20*'Donnees SOMIDA'!$B$5,IF($D21="JPY",I20*'Donnees SOMIDA'!$B$6,0))</f>
        <v>141263470</v>
      </c>
      <c r="J21" s="26">
        <f>IF($D21="USD",J20*'Donnees SOMIDA'!$B$5,IF($D21="JPY",J20*'Donnees SOMIDA'!$B$6,0))</f>
        <v>96421710</v>
      </c>
      <c r="K21" s="26">
        <f>IF($D21="USD",K20*'Donnees SOMIDA'!$B$5,IF($D21="JPY",K20*'Donnees SOMIDA'!$B$6,0))</f>
        <v>111031060</v>
      </c>
      <c r="L21" s="26">
        <f>IF($D21="USD",L20*'Donnees SOMIDA'!$B$5,IF($D21="JPY",L20*'Donnees SOMIDA'!$B$6,0))</f>
        <v>147822770</v>
      </c>
      <c r="M21" s="26">
        <f>IF($D21="USD",M20*'Donnees SOMIDA'!$B$5,IF($D21="JPY",M20*'Donnees SOMIDA'!$B$6,0))</f>
        <v>128383390</v>
      </c>
      <c r="N21" s="26">
        <f>IF($D21="USD",N20*'Donnees SOMIDA'!$B$5,IF($D21="JPY",N20*'Donnees SOMIDA'!$B$6,0))</f>
        <v>134465650</v>
      </c>
      <c r="O21" s="26">
        <f>IF($D21="USD",O20*'Donnees SOMIDA'!$B$5,IF($D21="JPY",O20*'Donnees SOMIDA'!$B$6,0))</f>
        <v>122122240</v>
      </c>
      <c r="P21" s="26">
        <f>IF($D21="USD",P20*'Donnees SOMIDA'!$B$5,IF($D21="JPY",P20*'Donnees SOMIDA'!$B$6,0))</f>
        <v>126892640</v>
      </c>
      <c r="Q21" s="26">
        <f>IF($D21="USD",Q20*'Donnees SOMIDA'!$B$5,IF($D21="JPY",Q20*'Donnees SOMIDA'!$B$6,0))</f>
        <v>107632150</v>
      </c>
      <c r="R21" s="26">
        <f>IF($D21="USD",R20*'Donnees SOMIDA'!$B$5,IF($D21="JPY",R20*'Donnees SOMIDA'!$B$6,0))</f>
        <v>128025610</v>
      </c>
      <c r="S21" s="26">
        <f>SUM(G21:R21)</f>
        <v>1460875370</v>
      </c>
    </row>
    <row r="22" spans="1:19">
      <c r="A22" s="10" t="s">
        <v>27</v>
      </c>
      <c r="B22" s="10" t="s">
        <v>28</v>
      </c>
      <c r="C22" s="11" t="s">
        <v>63</v>
      </c>
      <c r="D22" s="11" t="s">
        <v>29</v>
      </c>
      <c r="E22" s="11" t="s">
        <v>74</v>
      </c>
      <c r="F22" s="11" t="s">
        <v>59</v>
      </c>
      <c r="G22" s="25">
        <v>11.07</v>
      </c>
      <c r="H22" s="25">
        <v>10.97</v>
      </c>
      <c r="I22" s="25">
        <v>9.4600000000000009</v>
      </c>
      <c r="J22" s="25">
        <v>9.93</v>
      </c>
      <c r="K22" s="25">
        <v>12.15</v>
      </c>
      <c r="L22" s="25">
        <v>14.06</v>
      </c>
      <c r="M22" s="25">
        <v>9.35</v>
      </c>
      <c r="N22" s="25">
        <v>12.71</v>
      </c>
      <c r="O22" s="25">
        <v>11.77</v>
      </c>
      <c r="P22" s="25">
        <v>13.79</v>
      </c>
      <c r="Q22" s="25">
        <v>12.49</v>
      </c>
      <c r="R22" s="25">
        <v>13.58</v>
      </c>
      <c r="S22" s="25">
        <v>141.33000000000001</v>
      </c>
    </row>
    <row r="23" spans="1:19">
      <c r="A23" s="10" t="s">
        <v>27</v>
      </c>
      <c r="B23" s="10" t="s">
        <v>28</v>
      </c>
      <c r="C23" s="11" t="s">
        <v>63</v>
      </c>
      <c r="D23" s="11" t="s">
        <v>29</v>
      </c>
      <c r="E23" s="11" t="s">
        <v>75</v>
      </c>
      <c r="F23" s="11" t="s">
        <v>29</v>
      </c>
      <c r="G23" s="25">
        <v>1715850</v>
      </c>
      <c r="H23" s="25">
        <v>1700350</v>
      </c>
      <c r="I23" s="25">
        <v>1466300</v>
      </c>
      <c r="J23" s="25">
        <v>1539150</v>
      </c>
      <c r="K23" s="25">
        <v>1883250</v>
      </c>
      <c r="L23" s="25">
        <v>2179300</v>
      </c>
      <c r="M23" s="25">
        <v>1449250</v>
      </c>
      <c r="N23" s="25">
        <v>1970050</v>
      </c>
      <c r="O23" s="25">
        <v>1824350</v>
      </c>
      <c r="P23" s="25">
        <v>2137450</v>
      </c>
      <c r="Q23" s="25">
        <v>1935950</v>
      </c>
      <c r="R23" s="25">
        <v>2104900</v>
      </c>
      <c r="S23" s="25">
        <v>21906150</v>
      </c>
    </row>
    <row r="24" spans="1:19">
      <c r="A24" s="12" t="s">
        <v>27</v>
      </c>
      <c r="B24" s="12" t="s">
        <v>28</v>
      </c>
      <c r="C24" s="12" t="s">
        <v>63</v>
      </c>
      <c r="D24" s="12" t="s">
        <v>29</v>
      </c>
      <c r="E24" s="12" t="s">
        <v>76</v>
      </c>
      <c r="F24" s="12" t="s">
        <v>77</v>
      </c>
      <c r="G24" s="26">
        <f>IF($D24="USD",G23*'Donnees SOMIDA'!$B$5,IF($D24="JPY",G23*'Donnees SOMIDA'!$B$6,0))</f>
        <v>57480975</v>
      </c>
      <c r="H24" s="26">
        <f>IF($D24="USD",H23*'Donnees SOMIDA'!$B$5,IF($D24="JPY",H23*'Donnees SOMIDA'!$B$6,0))</f>
        <v>56961725</v>
      </c>
      <c r="I24" s="26">
        <f>IF($D24="USD",I23*'Donnees SOMIDA'!$B$5,IF($D24="JPY",I23*'Donnees SOMIDA'!$B$6,0))</f>
        <v>49121050</v>
      </c>
      <c r="J24" s="26">
        <f>IF($D24="USD",J23*'Donnees SOMIDA'!$B$5,IF($D24="JPY",J23*'Donnees SOMIDA'!$B$6,0))</f>
        <v>51561525</v>
      </c>
      <c r="K24" s="26">
        <f>IF($D24="USD",K23*'Donnees SOMIDA'!$B$5,IF($D24="JPY",K23*'Donnees SOMIDA'!$B$6,0))</f>
        <v>63088875</v>
      </c>
      <c r="L24" s="26">
        <f>IF($D24="USD",L23*'Donnees SOMIDA'!$B$5,IF($D24="JPY",L23*'Donnees SOMIDA'!$B$6,0))</f>
        <v>73006550</v>
      </c>
      <c r="M24" s="26">
        <f>IF($D24="USD",M23*'Donnees SOMIDA'!$B$5,IF($D24="JPY",M23*'Donnees SOMIDA'!$B$6,0))</f>
        <v>48549875</v>
      </c>
      <c r="N24" s="26">
        <f>IF($D24="USD",N23*'Donnees SOMIDA'!$B$5,IF($D24="JPY",N23*'Donnees SOMIDA'!$B$6,0))</f>
        <v>65996675</v>
      </c>
      <c r="O24" s="26">
        <f>IF($D24="USD",O23*'Donnees SOMIDA'!$B$5,IF($D24="JPY",O23*'Donnees SOMIDA'!$B$6,0))</f>
        <v>61115725</v>
      </c>
      <c r="P24" s="26">
        <f>IF($D24="USD",P23*'Donnees SOMIDA'!$B$5,IF($D24="JPY",P23*'Donnees SOMIDA'!$B$6,0))</f>
        <v>71604575</v>
      </c>
      <c r="Q24" s="26">
        <f>IF($D24="USD",Q23*'Donnees SOMIDA'!$B$5,IF($D24="JPY",Q23*'Donnees SOMIDA'!$B$6,0))</f>
        <v>64854325</v>
      </c>
      <c r="R24" s="26">
        <f>IF($D24="USD",R23*'Donnees SOMIDA'!$B$5,IF($D24="JPY",R23*'Donnees SOMIDA'!$B$6,0))</f>
        <v>70514150</v>
      </c>
      <c r="S24" s="26">
        <f>SUM(G24:R24)</f>
        <v>733856025</v>
      </c>
    </row>
    <row r="25" spans="1:19">
      <c r="A25" s="13" t="s">
        <v>30</v>
      </c>
      <c r="B25" s="13" t="s">
        <v>31</v>
      </c>
      <c r="C25" s="14" t="s">
        <v>58</v>
      </c>
      <c r="D25" s="14" t="s">
        <v>32</v>
      </c>
      <c r="E25" s="14" t="s">
        <v>74</v>
      </c>
      <c r="F25" s="14" t="s">
        <v>59</v>
      </c>
      <c r="G25" s="27">
        <v>27.77</v>
      </c>
      <c r="H25" s="27">
        <v>21.84</v>
      </c>
      <c r="I25" s="27">
        <v>27.29</v>
      </c>
      <c r="J25" s="27">
        <v>19.78</v>
      </c>
      <c r="K25" s="27">
        <v>23.42</v>
      </c>
      <c r="L25" s="27">
        <v>18.77</v>
      </c>
      <c r="M25" s="27">
        <v>17.97</v>
      </c>
      <c r="N25" s="27">
        <v>18.579999999999998</v>
      </c>
      <c r="O25" s="27">
        <v>25.58</v>
      </c>
      <c r="P25" s="27">
        <v>27.23</v>
      </c>
      <c r="Q25" s="27">
        <v>16.170000000000002</v>
      </c>
      <c r="R25" s="27">
        <v>21.51</v>
      </c>
      <c r="S25" s="27">
        <v>265.91000000000003</v>
      </c>
    </row>
    <row r="26" spans="1:19">
      <c r="A26" s="15" t="s">
        <v>30</v>
      </c>
      <c r="B26" s="15" t="s">
        <v>31</v>
      </c>
      <c r="C26" s="16" t="s">
        <v>58</v>
      </c>
      <c r="D26" s="16" t="s">
        <v>32</v>
      </c>
      <c r="E26" s="16" t="s">
        <v>75</v>
      </c>
      <c r="F26" s="16" t="s">
        <v>32</v>
      </c>
      <c r="G26" s="28">
        <v>40266.5</v>
      </c>
      <c r="H26" s="28">
        <v>31668</v>
      </c>
      <c r="I26" s="28">
        <v>39570.5</v>
      </c>
      <c r="J26" s="28">
        <v>28681</v>
      </c>
      <c r="K26" s="28">
        <v>33959</v>
      </c>
      <c r="L26" s="28">
        <v>27216.5</v>
      </c>
      <c r="M26" s="28">
        <v>26056.5</v>
      </c>
      <c r="N26" s="28">
        <v>26941</v>
      </c>
      <c r="O26" s="28">
        <v>37091</v>
      </c>
      <c r="P26" s="28">
        <v>39483.5</v>
      </c>
      <c r="Q26" s="28">
        <v>23446.5</v>
      </c>
      <c r="R26" s="28">
        <v>31189.5</v>
      </c>
      <c r="S26" s="28">
        <v>385569.5</v>
      </c>
    </row>
    <row r="27" spans="1:19">
      <c r="A27" s="17" t="s">
        <v>30</v>
      </c>
      <c r="B27" s="17" t="s">
        <v>31</v>
      </c>
      <c r="C27" s="17" t="s">
        <v>58</v>
      </c>
      <c r="D27" s="17" t="s">
        <v>32</v>
      </c>
      <c r="E27" s="17" t="s">
        <v>76</v>
      </c>
      <c r="F27" s="17" t="s">
        <v>77</v>
      </c>
      <c r="G27" s="29">
        <f>IF($D27="USD",G26*'Donnees SOMIDA'!$B$5,IF($D27="JPY",G26*'Donnees SOMIDA'!$B$6,0))</f>
        <v>146972725</v>
      </c>
      <c r="H27" s="29">
        <f>IF($D27="USD",H26*'Donnees SOMIDA'!$B$5,IF($D27="JPY",H26*'Donnees SOMIDA'!$B$6,0))</f>
        <v>115588200</v>
      </c>
      <c r="I27" s="29">
        <f>IF($D27="USD",I26*'Donnees SOMIDA'!$B$5,IF($D27="JPY",I26*'Donnees SOMIDA'!$B$6,0))</f>
        <v>144432325</v>
      </c>
      <c r="J27" s="29">
        <f>IF($D27="USD",J26*'Donnees SOMIDA'!$B$5,IF($D27="JPY",J26*'Donnees SOMIDA'!$B$6,0))</f>
        <v>104685650</v>
      </c>
      <c r="K27" s="29">
        <f>IF($D27="USD",K26*'Donnees SOMIDA'!$B$5,IF($D27="JPY",K26*'Donnees SOMIDA'!$B$6,0))</f>
        <v>123950350</v>
      </c>
      <c r="L27" s="29">
        <f>IF($D27="USD",L26*'Donnees SOMIDA'!$B$5,IF($D27="JPY",L26*'Donnees SOMIDA'!$B$6,0))</f>
        <v>99340225</v>
      </c>
      <c r="M27" s="29">
        <f>IF($D27="USD",M26*'Donnees SOMIDA'!$B$5,IF($D27="JPY",M26*'Donnees SOMIDA'!$B$6,0))</f>
        <v>95106225</v>
      </c>
      <c r="N27" s="29">
        <f>IF($D27="USD",N26*'Donnees SOMIDA'!$B$5,IF($D27="JPY",N26*'Donnees SOMIDA'!$B$6,0))</f>
        <v>98334650</v>
      </c>
      <c r="O27" s="29">
        <f>IF($D27="USD",O26*'Donnees SOMIDA'!$B$5,IF($D27="JPY",O26*'Donnees SOMIDA'!$B$6,0))</f>
        <v>135382150</v>
      </c>
      <c r="P27" s="29">
        <f>IF($D27="USD",P26*'Donnees SOMIDA'!$B$5,IF($D27="JPY",P26*'Donnees SOMIDA'!$B$6,0))</f>
        <v>144114775</v>
      </c>
      <c r="Q27" s="29">
        <f>IF($D27="USD",Q26*'Donnees SOMIDA'!$B$5,IF($D27="JPY",Q26*'Donnees SOMIDA'!$B$6,0))</f>
        <v>85579725</v>
      </c>
      <c r="R27" s="29">
        <f>IF($D27="USD",R26*'Donnees SOMIDA'!$B$5,IF($D27="JPY",R26*'Donnees SOMIDA'!$B$6,0))</f>
        <v>113841675</v>
      </c>
      <c r="S27" s="29">
        <f>SUM(G27:R27)</f>
        <v>1407328675</v>
      </c>
    </row>
    <row r="28" spans="1:19">
      <c r="A28" s="15" t="s">
        <v>30</v>
      </c>
      <c r="B28" s="15" t="s">
        <v>31</v>
      </c>
      <c r="C28" s="16" t="s">
        <v>60</v>
      </c>
      <c r="D28" s="16" t="s">
        <v>32</v>
      </c>
      <c r="E28" s="16" t="s">
        <v>74</v>
      </c>
      <c r="F28" s="16" t="s">
        <v>59</v>
      </c>
      <c r="G28" s="28">
        <v>17.13</v>
      </c>
      <c r="H28" s="28">
        <v>12.66</v>
      </c>
      <c r="I28" s="28">
        <v>19.32</v>
      </c>
      <c r="J28" s="28">
        <v>13.79</v>
      </c>
      <c r="K28" s="28">
        <v>20.93</v>
      </c>
      <c r="L28" s="28">
        <v>17.73</v>
      </c>
      <c r="M28" s="28">
        <v>14.43</v>
      </c>
      <c r="N28" s="28">
        <v>17.649999999999999</v>
      </c>
      <c r="O28" s="28">
        <v>18.739999999999998</v>
      </c>
      <c r="P28" s="28">
        <v>16.399999999999999</v>
      </c>
      <c r="Q28" s="28">
        <v>18.21</v>
      </c>
      <c r="R28" s="28">
        <v>19.73</v>
      </c>
      <c r="S28" s="28">
        <v>206.72</v>
      </c>
    </row>
    <row r="29" spans="1:19">
      <c r="A29" s="15" t="s">
        <v>30</v>
      </c>
      <c r="B29" s="15" t="s">
        <v>31</v>
      </c>
      <c r="C29" s="16" t="s">
        <v>60</v>
      </c>
      <c r="D29" s="16" t="s">
        <v>32</v>
      </c>
      <c r="E29" s="16" t="s">
        <v>75</v>
      </c>
      <c r="F29" s="16" t="s">
        <v>32</v>
      </c>
      <c r="G29" s="28">
        <v>22611.599999999999</v>
      </c>
      <c r="H29" s="28">
        <v>16711.2</v>
      </c>
      <c r="I29" s="28">
        <v>25502.400000000001</v>
      </c>
      <c r="J29" s="28">
        <v>18202.8</v>
      </c>
      <c r="K29" s="28">
        <v>27627.599999999999</v>
      </c>
      <c r="L29" s="28">
        <v>23403.599999999999</v>
      </c>
      <c r="M29" s="28">
        <v>19047.599999999999</v>
      </c>
      <c r="N29" s="28">
        <v>23298</v>
      </c>
      <c r="O29" s="28">
        <v>24736.799999999999</v>
      </c>
      <c r="P29" s="28">
        <v>21648</v>
      </c>
      <c r="Q29" s="28">
        <v>24037.200000000001</v>
      </c>
      <c r="R29" s="28">
        <v>26043.599999999999</v>
      </c>
      <c r="S29" s="28">
        <v>272870.40000000002</v>
      </c>
    </row>
    <row r="30" spans="1:19">
      <c r="A30" s="17" t="s">
        <v>30</v>
      </c>
      <c r="B30" s="17" t="s">
        <v>31</v>
      </c>
      <c r="C30" s="17" t="s">
        <v>60</v>
      </c>
      <c r="D30" s="17" t="s">
        <v>32</v>
      </c>
      <c r="E30" s="17" t="s">
        <v>76</v>
      </c>
      <c r="F30" s="17" t="s">
        <v>77</v>
      </c>
      <c r="G30" s="29">
        <f>IF($D30="USD",G29*'Donnees SOMIDA'!$B$5,IF($D30="JPY",G29*'Donnees SOMIDA'!$B$6,0))</f>
        <v>82532340</v>
      </c>
      <c r="H30" s="29">
        <f>IF($D30="USD",H29*'Donnees SOMIDA'!$B$5,IF($D30="JPY",H29*'Donnees SOMIDA'!$B$6,0))</f>
        <v>60995880</v>
      </c>
      <c r="I30" s="29">
        <f>IF($D30="USD",I29*'Donnees SOMIDA'!$B$5,IF($D30="JPY",I29*'Donnees SOMIDA'!$B$6,0))</f>
        <v>93083760</v>
      </c>
      <c r="J30" s="29">
        <f>IF($D30="USD",J29*'Donnees SOMIDA'!$B$5,IF($D30="JPY",J29*'Donnees SOMIDA'!$B$6,0))</f>
        <v>66440220</v>
      </c>
      <c r="K30" s="29">
        <f>IF($D30="USD",K29*'Donnees SOMIDA'!$B$5,IF($D30="JPY",K29*'Donnees SOMIDA'!$B$6,0))</f>
        <v>100840740</v>
      </c>
      <c r="L30" s="29">
        <f>IF($D30="USD",L29*'Donnees SOMIDA'!$B$5,IF($D30="JPY",L29*'Donnees SOMIDA'!$B$6,0))</f>
        <v>85423140</v>
      </c>
      <c r="M30" s="29">
        <f>IF($D30="USD",M29*'Donnees SOMIDA'!$B$5,IF($D30="JPY",M29*'Donnees SOMIDA'!$B$6,0))</f>
        <v>69523740</v>
      </c>
      <c r="N30" s="29">
        <f>IF($D30="USD",N29*'Donnees SOMIDA'!$B$5,IF($D30="JPY",N29*'Donnees SOMIDA'!$B$6,0))</f>
        <v>85037700</v>
      </c>
      <c r="O30" s="29">
        <f>IF($D30="USD",O29*'Donnees SOMIDA'!$B$5,IF($D30="JPY",O29*'Donnees SOMIDA'!$B$6,0))</f>
        <v>90289320</v>
      </c>
      <c r="P30" s="29">
        <f>IF($D30="USD",P29*'Donnees SOMIDA'!$B$5,IF($D30="JPY",P29*'Donnees SOMIDA'!$B$6,0))</f>
        <v>79015200</v>
      </c>
      <c r="Q30" s="29">
        <f>IF($D30="USD",Q29*'Donnees SOMIDA'!$B$5,IF($D30="JPY",Q29*'Donnees SOMIDA'!$B$6,0))</f>
        <v>87735780</v>
      </c>
      <c r="R30" s="29">
        <f>IF($D30="USD",R29*'Donnees SOMIDA'!$B$5,IF($D30="JPY",R29*'Donnees SOMIDA'!$B$6,0))</f>
        <v>95059140</v>
      </c>
      <c r="S30" s="29">
        <f>SUM(G30:R30)</f>
        <v>995976960</v>
      </c>
    </row>
    <row r="31" spans="1:19">
      <c r="A31" s="15" t="s">
        <v>30</v>
      </c>
      <c r="B31" s="15" t="s">
        <v>31</v>
      </c>
      <c r="C31" s="16" t="s">
        <v>61</v>
      </c>
      <c r="D31" s="16" t="s">
        <v>32</v>
      </c>
      <c r="E31" s="16" t="s">
        <v>74</v>
      </c>
      <c r="F31" s="16" t="s">
        <v>59</v>
      </c>
      <c r="G31" s="28">
        <v>14.67</v>
      </c>
      <c r="H31" s="28">
        <v>15.16</v>
      </c>
      <c r="I31" s="28">
        <v>16.670000000000002</v>
      </c>
      <c r="J31" s="28">
        <v>14.66</v>
      </c>
      <c r="K31" s="28">
        <v>15.19</v>
      </c>
      <c r="L31" s="28">
        <v>13.32</v>
      </c>
      <c r="M31" s="28">
        <v>18.690000000000001</v>
      </c>
      <c r="N31" s="28">
        <v>18.89</v>
      </c>
      <c r="O31" s="28">
        <v>12.49</v>
      </c>
      <c r="P31" s="28">
        <v>14.8</v>
      </c>
      <c r="Q31" s="28">
        <v>12.51</v>
      </c>
      <c r="R31" s="28">
        <v>13.17</v>
      </c>
      <c r="S31" s="28">
        <v>180.22</v>
      </c>
    </row>
    <row r="32" spans="1:19">
      <c r="A32" s="15" t="s">
        <v>30</v>
      </c>
      <c r="B32" s="15" t="s">
        <v>31</v>
      </c>
      <c r="C32" s="16" t="s">
        <v>61</v>
      </c>
      <c r="D32" s="16" t="s">
        <v>32</v>
      </c>
      <c r="E32" s="16" t="s">
        <v>75</v>
      </c>
      <c r="F32" s="16" t="s">
        <v>32</v>
      </c>
      <c r="G32" s="28">
        <v>18630.900000000001</v>
      </c>
      <c r="H32" s="28">
        <v>19253.2</v>
      </c>
      <c r="I32" s="28">
        <v>21170.9</v>
      </c>
      <c r="J32" s="28">
        <v>18618.2</v>
      </c>
      <c r="K32" s="28">
        <v>19291.3</v>
      </c>
      <c r="L32" s="28">
        <v>16916.400000000001</v>
      </c>
      <c r="M32" s="28">
        <v>23736.3</v>
      </c>
      <c r="N32" s="28">
        <v>23990.3</v>
      </c>
      <c r="O32" s="28">
        <v>15862.3</v>
      </c>
      <c r="P32" s="28">
        <v>18796</v>
      </c>
      <c r="Q32" s="28">
        <v>15887.7</v>
      </c>
      <c r="R32" s="28">
        <v>16725.900000000001</v>
      </c>
      <c r="S32" s="28">
        <v>228879.4</v>
      </c>
    </row>
    <row r="33" spans="1:19">
      <c r="A33" s="17" t="s">
        <v>30</v>
      </c>
      <c r="B33" s="17" t="s">
        <v>31</v>
      </c>
      <c r="C33" s="17" t="s">
        <v>61</v>
      </c>
      <c r="D33" s="17" t="s">
        <v>32</v>
      </c>
      <c r="E33" s="17" t="s">
        <v>76</v>
      </c>
      <c r="F33" s="17" t="s">
        <v>77</v>
      </c>
      <c r="G33" s="29">
        <f>IF($D33="USD",G32*'Donnees SOMIDA'!$B$5,IF($D33="JPY",G32*'Donnees SOMIDA'!$B$6,0))</f>
        <v>68002785</v>
      </c>
      <c r="H33" s="29">
        <f>IF($D33="USD",H32*'Donnees SOMIDA'!$B$5,IF($D33="JPY",H32*'Donnees SOMIDA'!$B$6,0))</f>
        <v>70274180</v>
      </c>
      <c r="I33" s="29">
        <f>IF($D33="USD",I32*'Donnees SOMIDA'!$B$5,IF($D33="JPY",I32*'Donnees SOMIDA'!$B$6,0))</f>
        <v>77273785</v>
      </c>
      <c r="J33" s="29">
        <f>IF($D33="USD",J32*'Donnees SOMIDA'!$B$5,IF($D33="JPY",J32*'Donnees SOMIDA'!$B$6,0))</f>
        <v>67956430</v>
      </c>
      <c r="K33" s="29">
        <f>IF($D33="USD",K32*'Donnees SOMIDA'!$B$5,IF($D33="JPY",K32*'Donnees SOMIDA'!$B$6,0))</f>
        <v>70413245</v>
      </c>
      <c r="L33" s="29">
        <f>IF($D33="USD",L32*'Donnees SOMIDA'!$B$5,IF($D33="JPY",L32*'Donnees SOMIDA'!$B$6,0))</f>
        <v>61744860.000000007</v>
      </c>
      <c r="M33" s="29">
        <f>IF($D33="USD",M32*'Donnees SOMIDA'!$B$5,IF($D33="JPY",M32*'Donnees SOMIDA'!$B$6,0))</f>
        <v>86637495</v>
      </c>
      <c r="N33" s="29">
        <f>IF($D33="USD",N32*'Donnees SOMIDA'!$B$5,IF($D33="JPY",N32*'Donnees SOMIDA'!$B$6,0))</f>
        <v>87564595</v>
      </c>
      <c r="O33" s="29">
        <f>IF($D33="USD",O32*'Donnees SOMIDA'!$B$5,IF($D33="JPY",O32*'Donnees SOMIDA'!$B$6,0))</f>
        <v>57897395</v>
      </c>
      <c r="P33" s="29">
        <f>IF($D33="USD",P32*'Donnees SOMIDA'!$B$5,IF($D33="JPY",P32*'Donnees SOMIDA'!$B$6,0))</f>
        <v>68605400</v>
      </c>
      <c r="Q33" s="29">
        <f>IF($D33="USD",Q32*'Donnees SOMIDA'!$B$5,IF($D33="JPY",Q32*'Donnees SOMIDA'!$B$6,0))</f>
        <v>57990105</v>
      </c>
      <c r="R33" s="29">
        <f>IF($D33="USD",R32*'Donnees SOMIDA'!$B$5,IF($D33="JPY",R32*'Donnees SOMIDA'!$B$6,0))</f>
        <v>61049535.000000007</v>
      </c>
      <c r="S33" s="29">
        <f>SUM(G33:R33)</f>
        <v>835409810</v>
      </c>
    </row>
    <row r="34" spans="1:19">
      <c r="A34" s="15" t="s">
        <v>30</v>
      </c>
      <c r="B34" s="15" t="s">
        <v>31</v>
      </c>
      <c r="C34" s="16" t="s">
        <v>62</v>
      </c>
      <c r="D34" s="16" t="s">
        <v>32</v>
      </c>
      <c r="E34" s="16" t="s">
        <v>74</v>
      </c>
      <c r="F34" s="16" t="s">
        <v>59</v>
      </c>
      <c r="G34" s="28">
        <v>19.18</v>
      </c>
      <c r="H34" s="28">
        <v>25.19</v>
      </c>
      <c r="I34" s="28">
        <v>16.03</v>
      </c>
      <c r="J34" s="28">
        <v>21.7</v>
      </c>
      <c r="K34" s="28">
        <v>19.09</v>
      </c>
      <c r="L34" s="28">
        <v>17.420000000000002</v>
      </c>
      <c r="M34" s="28">
        <v>22.46</v>
      </c>
      <c r="N34" s="28">
        <v>23.18</v>
      </c>
      <c r="O34" s="28">
        <v>16.12</v>
      </c>
      <c r="P34" s="28">
        <v>15.33</v>
      </c>
      <c r="Q34" s="28">
        <v>25.26</v>
      </c>
      <c r="R34" s="28">
        <v>20.56</v>
      </c>
      <c r="S34" s="28">
        <v>241.52</v>
      </c>
    </row>
    <row r="35" spans="1:19">
      <c r="A35" s="15" t="s">
        <v>30</v>
      </c>
      <c r="B35" s="15" t="s">
        <v>31</v>
      </c>
      <c r="C35" s="16" t="s">
        <v>62</v>
      </c>
      <c r="D35" s="16" t="s">
        <v>32</v>
      </c>
      <c r="E35" s="16" t="s">
        <v>75</v>
      </c>
      <c r="F35" s="16" t="s">
        <v>32</v>
      </c>
      <c r="G35" s="28">
        <v>26660.2</v>
      </c>
      <c r="H35" s="28">
        <v>35014.1</v>
      </c>
      <c r="I35" s="28">
        <v>22281.7</v>
      </c>
      <c r="J35" s="28">
        <v>30163</v>
      </c>
      <c r="K35" s="28">
        <v>26535.1</v>
      </c>
      <c r="L35" s="28">
        <v>24213.8</v>
      </c>
      <c r="M35" s="28">
        <v>31219.4</v>
      </c>
      <c r="N35" s="28">
        <v>32220.2</v>
      </c>
      <c r="O35" s="28">
        <v>22406.799999999999</v>
      </c>
      <c r="P35" s="28">
        <v>21308.7</v>
      </c>
      <c r="Q35" s="28">
        <v>35111.4</v>
      </c>
      <c r="R35" s="28">
        <v>28578.400000000001</v>
      </c>
      <c r="S35" s="28">
        <v>335712.8</v>
      </c>
    </row>
    <row r="36" spans="1:19">
      <c r="A36" s="17" t="s">
        <v>30</v>
      </c>
      <c r="B36" s="17" t="s">
        <v>31</v>
      </c>
      <c r="C36" s="17" t="s">
        <v>62</v>
      </c>
      <c r="D36" s="17" t="s">
        <v>32</v>
      </c>
      <c r="E36" s="17" t="s">
        <v>76</v>
      </c>
      <c r="F36" s="17" t="s">
        <v>77</v>
      </c>
      <c r="G36" s="29">
        <f>IF($D36="USD",G35*'Donnees SOMIDA'!$B$5,IF($D36="JPY",G35*'Donnees SOMIDA'!$B$6,0))</f>
        <v>97309730</v>
      </c>
      <c r="H36" s="29">
        <f>IF($D36="USD",H35*'Donnees SOMIDA'!$B$5,IF($D36="JPY",H35*'Donnees SOMIDA'!$B$6,0))</f>
        <v>127801465</v>
      </c>
      <c r="I36" s="29">
        <f>IF($D36="USD",I35*'Donnees SOMIDA'!$B$5,IF($D36="JPY",I35*'Donnees SOMIDA'!$B$6,0))</f>
        <v>81328205</v>
      </c>
      <c r="J36" s="29">
        <f>IF($D36="USD",J35*'Donnees SOMIDA'!$B$5,IF($D36="JPY",J35*'Donnees SOMIDA'!$B$6,0))</f>
        <v>110094950</v>
      </c>
      <c r="K36" s="29">
        <f>IF($D36="USD",K35*'Donnees SOMIDA'!$B$5,IF($D36="JPY",K35*'Donnees SOMIDA'!$B$6,0))</f>
        <v>96853115</v>
      </c>
      <c r="L36" s="29">
        <f>IF($D36="USD",L35*'Donnees SOMIDA'!$B$5,IF($D36="JPY",L35*'Donnees SOMIDA'!$B$6,0))</f>
        <v>88380370</v>
      </c>
      <c r="M36" s="29">
        <f>IF($D36="USD",M35*'Donnees SOMIDA'!$B$5,IF($D36="JPY",M35*'Donnees SOMIDA'!$B$6,0))</f>
        <v>113950810</v>
      </c>
      <c r="N36" s="29">
        <f>IF($D36="USD",N35*'Donnees SOMIDA'!$B$5,IF($D36="JPY",N35*'Donnees SOMIDA'!$B$6,0))</f>
        <v>117603730</v>
      </c>
      <c r="O36" s="29">
        <f>IF($D36="USD",O35*'Donnees SOMIDA'!$B$5,IF($D36="JPY",O35*'Donnees SOMIDA'!$B$6,0))</f>
        <v>81784820</v>
      </c>
      <c r="P36" s="29">
        <f>IF($D36="USD",P35*'Donnees SOMIDA'!$B$5,IF($D36="JPY",P35*'Donnees SOMIDA'!$B$6,0))</f>
        <v>77776755</v>
      </c>
      <c r="Q36" s="29">
        <f>IF($D36="USD",Q35*'Donnees SOMIDA'!$B$5,IF($D36="JPY",Q35*'Donnees SOMIDA'!$B$6,0))</f>
        <v>128156610</v>
      </c>
      <c r="R36" s="29">
        <f>IF($D36="USD",R35*'Donnees SOMIDA'!$B$5,IF($D36="JPY",R35*'Donnees SOMIDA'!$B$6,0))</f>
        <v>104311160</v>
      </c>
      <c r="S36" s="29">
        <f>SUM(G36:R36)</f>
        <v>1225351720</v>
      </c>
    </row>
    <row r="37" spans="1:19">
      <c r="A37" s="15" t="s">
        <v>30</v>
      </c>
      <c r="B37" s="15" t="s">
        <v>31</v>
      </c>
      <c r="C37" s="16" t="s">
        <v>63</v>
      </c>
      <c r="D37" s="16" t="s">
        <v>32</v>
      </c>
      <c r="E37" s="16" t="s">
        <v>74</v>
      </c>
      <c r="F37" s="16" t="s">
        <v>59</v>
      </c>
      <c r="G37" s="28">
        <v>12.62</v>
      </c>
      <c r="H37" s="28">
        <v>11.98</v>
      </c>
      <c r="I37" s="28">
        <v>10.11</v>
      </c>
      <c r="J37" s="28">
        <v>14.04</v>
      </c>
      <c r="K37" s="28">
        <v>13.66</v>
      </c>
      <c r="L37" s="28">
        <v>9.69</v>
      </c>
      <c r="M37" s="28">
        <v>10.37</v>
      </c>
      <c r="N37" s="28">
        <v>9.66</v>
      </c>
      <c r="O37" s="28">
        <v>15.09</v>
      </c>
      <c r="P37" s="28">
        <v>12.24</v>
      </c>
      <c r="Q37" s="28">
        <v>10.73</v>
      </c>
      <c r="R37" s="28">
        <v>14.41</v>
      </c>
      <c r="S37" s="28">
        <v>144.6</v>
      </c>
    </row>
    <row r="38" spans="1:19">
      <c r="A38" s="15" t="s">
        <v>30</v>
      </c>
      <c r="B38" s="15" t="s">
        <v>31</v>
      </c>
      <c r="C38" s="16" t="s">
        <v>63</v>
      </c>
      <c r="D38" s="16" t="s">
        <v>32</v>
      </c>
      <c r="E38" s="16" t="s">
        <v>75</v>
      </c>
      <c r="F38" s="16" t="s">
        <v>32</v>
      </c>
      <c r="G38" s="28">
        <v>14891.6</v>
      </c>
      <c r="H38" s="28">
        <v>14136.4</v>
      </c>
      <c r="I38" s="28">
        <v>11929.8</v>
      </c>
      <c r="J38" s="28">
        <v>16567.2</v>
      </c>
      <c r="K38" s="28">
        <v>16118.8</v>
      </c>
      <c r="L38" s="28">
        <v>11434.2</v>
      </c>
      <c r="M38" s="28">
        <v>12236.6</v>
      </c>
      <c r="N38" s="28">
        <v>11398.8</v>
      </c>
      <c r="O38" s="28">
        <v>17806.2</v>
      </c>
      <c r="P38" s="28">
        <v>14443.2</v>
      </c>
      <c r="Q38" s="28">
        <v>12661.4</v>
      </c>
      <c r="R38" s="28">
        <v>17003.8</v>
      </c>
      <c r="S38" s="28">
        <v>170628</v>
      </c>
    </row>
    <row r="39" spans="1:19">
      <c r="A39" s="17" t="s">
        <v>30</v>
      </c>
      <c r="B39" s="17" t="s">
        <v>31</v>
      </c>
      <c r="C39" s="17" t="s">
        <v>63</v>
      </c>
      <c r="D39" s="17" t="s">
        <v>32</v>
      </c>
      <c r="E39" s="17" t="s">
        <v>76</v>
      </c>
      <c r="F39" s="17" t="s">
        <v>77</v>
      </c>
      <c r="G39" s="29">
        <f>IF($D39="USD",G38*'Donnees SOMIDA'!$B$5,IF($D39="JPY",G38*'Donnees SOMIDA'!$B$6,0))</f>
        <v>54354340</v>
      </c>
      <c r="H39" s="29">
        <f>IF($D39="USD",H38*'Donnees SOMIDA'!$B$5,IF($D39="JPY",H38*'Donnees SOMIDA'!$B$6,0))</f>
        <v>51597860</v>
      </c>
      <c r="I39" s="29">
        <f>IF($D39="USD",I38*'Donnees SOMIDA'!$B$5,IF($D39="JPY",I38*'Donnees SOMIDA'!$B$6,0))</f>
        <v>43543770</v>
      </c>
      <c r="J39" s="29">
        <f>IF($D39="USD",J38*'Donnees SOMIDA'!$B$5,IF($D39="JPY",J38*'Donnees SOMIDA'!$B$6,0))</f>
        <v>60470280</v>
      </c>
      <c r="K39" s="29">
        <f>IF($D39="USD",K38*'Donnees SOMIDA'!$B$5,IF($D39="JPY",K38*'Donnees SOMIDA'!$B$6,0))</f>
        <v>58833620</v>
      </c>
      <c r="L39" s="29">
        <f>IF($D39="USD",L38*'Donnees SOMIDA'!$B$5,IF($D39="JPY",L38*'Donnees SOMIDA'!$B$6,0))</f>
        <v>41734830</v>
      </c>
      <c r="M39" s="29">
        <f>IF($D39="USD",M38*'Donnees SOMIDA'!$B$5,IF($D39="JPY",M38*'Donnees SOMIDA'!$B$6,0))</f>
        <v>44663590</v>
      </c>
      <c r="N39" s="29">
        <f>IF($D39="USD",N38*'Donnees SOMIDA'!$B$5,IF($D39="JPY",N38*'Donnees SOMIDA'!$B$6,0))</f>
        <v>41605620</v>
      </c>
      <c r="O39" s="29">
        <f>IF($D39="USD",O38*'Donnees SOMIDA'!$B$5,IF($D39="JPY",O38*'Donnees SOMIDA'!$B$6,0))</f>
        <v>64992630</v>
      </c>
      <c r="P39" s="29">
        <f>IF($D39="USD",P38*'Donnees SOMIDA'!$B$5,IF($D39="JPY",P38*'Donnees SOMIDA'!$B$6,0))</f>
        <v>52717680</v>
      </c>
      <c r="Q39" s="29">
        <f>IF($D39="USD",Q38*'Donnees SOMIDA'!$B$5,IF($D39="JPY",Q38*'Donnees SOMIDA'!$B$6,0))</f>
        <v>46214110</v>
      </c>
      <c r="R39" s="29">
        <f>IF($D39="USD",R38*'Donnees SOMIDA'!$B$5,IF($D39="JPY",R38*'Donnees SOMIDA'!$B$6,0))</f>
        <v>62063870</v>
      </c>
      <c r="S39" s="29">
        <f>SUM(G39:R39)</f>
        <v>622792200</v>
      </c>
    </row>
    <row r="40" spans="1:19">
      <c r="A40" s="18" t="s">
        <v>33</v>
      </c>
      <c r="B40" s="18" t="s">
        <v>78</v>
      </c>
      <c r="C40" s="19" t="s">
        <v>58</v>
      </c>
      <c r="D40" s="19" t="s">
        <v>32</v>
      </c>
      <c r="E40" s="19" t="s">
        <v>74</v>
      </c>
      <c r="F40" s="19" t="s">
        <v>59</v>
      </c>
      <c r="G40" s="30">
        <v>19.87</v>
      </c>
      <c r="H40" s="30">
        <v>24.57</v>
      </c>
      <c r="I40" s="30">
        <v>21.9</v>
      </c>
      <c r="J40" s="30">
        <v>18.13</v>
      </c>
      <c r="K40" s="30">
        <v>18.809999999999999</v>
      </c>
      <c r="L40" s="30">
        <v>20.63</v>
      </c>
      <c r="M40" s="30">
        <v>16.809999999999999</v>
      </c>
      <c r="N40" s="30">
        <v>24.79</v>
      </c>
      <c r="O40" s="30">
        <v>16.37</v>
      </c>
      <c r="P40" s="30">
        <v>20.94</v>
      </c>
      <c r="Q40" s="30">
        <v>17.91</v>
      </c>
      <c r="R40" s="30">
        <v>18.350000000000001</v>
      </c>
      <c r="S40" s="30">
        <v>239.07999999999998</v>
      </c>
    </row>
    <row r="41" spans="1:19">
      <c r="A41" s="20" t="s">
        <v>33</v>
      </c>
      <c r="B41" s="20" t="s">
        <v>78</v>
      </c>
      <c r="C41" s="21" t="s">
        <v>58</v>
      </c>
      <c r="D41" s="21" t="s">
        <v>32</v>
      </c>
      <c r="E41" s="21" t="s">
        <v>75</v>
      </c>
      <c r="F41" s="21" t="s">
        <v>32</v>
      </c>
      <c r="G41" s="31">
        <v>28811.5</v>
      </c>
      <c r="H41" s="31">
        <v>35626.5</v>
      </c>
      <c r="I41" s="31">
        <v>31755</v>
      </c>
      <c r="J41" s="31">
        <v>26288.5</v>
      </c>
      <c r="K41" s="31">
        <v>27274.5</v>
      </c>
      <c r="L41" s="31">
        <v>29913.5</v>
      </c>
      <c r="M41" s="31">
        <v>24374.5</v>
      </c>
      <c r="N41" s="31">
        <v>35945.5</v>
      </c>
      <c r="O41" s="31">
        <v>23736.5</v>
      </c>
      <c r="P41" s="31">
        <v>30363</v>
      </c>
      <c r="Q41" s="31">
        <v>25969.5</v>
      </c>
      <c r="R41" s="31">
        <v>26607.5</v>
      </c>
      <c r="S41" s="31">
        <v>346666</v>
      </c>
    </row>
    <row r="42" spans="1:19">
      <c r="A42" s="22" t="s">
        <v>33</v>
      </c>
      <c r="B42" s="22" t="s">
        <v>78</v>
      </c>
      <c r="C42" s="22" t="s">
        <v>58</v>
      </c>
      <c r="D42" s="22" t="s">
        <v>32</v>
      </c>
      <c r="E42" s="22" t="s">
        <v>76</v>
      </c>
      <c r="F42" s="22" t="s">
        <v>77</v>
      </c>
      <c r="G42" s="32">
        <f>IF($D42="USD",G41*'Donnees SOMIDA'!$B$5,IF($D42="JPY",G41*'Donnees SOMIDA'!$B$6,0))</f>
        <v>105161975</v>
      </c>
      <c r="H42" s="32">
        <f>IF($D42="USD",H41*'Donnees SOMIDA'!$B$5,IF($D42="JPY",H41*'Donnees SOMIDA'!$B$6,0))</f>
        <v>130036725</v>
      </c>
      <c r="I42" s="32">
        <f>IF($D42="USD",I41*'Donnees SOMIDA'!$B$5,IF($D42="JPY",I41*'Donnees SOMIDA'!$B$6,0))</f>
        <v>115905750</v>
      </c>
      <c r="J42" s="32">
        <f>IF($D42="USD",J41*'Donnees SOMIDA'!$B$5,IF($D42="JPY",J41*'Donnees SOMIDA'!$B$6,0))</f>
        <v>95953025</v>
      </c>
      <c r="K42" s="32">
        <f>IF($D42="USD",K41*'Donnees SOMIDA'!$B$5,IF($D42="JPY",K41*'Donnees SOMIDA'!$B$6,0))</f>
        <v>99551925</v>
      </c>
      <c r="L42" s="32">
        <f>IF($D42="USD",L41*'Donnees SOMIDA'!$B$5,IF($D42="JPY",L41*'Donnees SOMIDA'!$B$6,0))</f>
        <v>109184275</v>
      </c>
      <c r="M42" s="32">
        <f>IF($D42="USD",M41*'Donnees SOMIDA'!$B$5,IF($D42="JPY",M41*'Donnees SOMIDA'!$B$6,0))</f>
        <v>88966925</v>
      </c>
      <c r="N42" s="32">
        <f>IF($D42="USD",N41*'Donnees SOMIDA'!$B$5,IF($D42="JPY",N41*'Donnees SOMIDA'!$B$6,0))</f>
        <v>131201075</v>
      </c>
      <c r="O42" s="32">
        <f>IF($D42="USD",O41*'Donnees SOMIDA'!$B$5,IF($D42="JPY",O41*'Donnees SOMIDA'!$B$6,0))</f>
        <v>86638225</v>
      </c>
      <c r="P42" s="32">
        <f>IF($D42="USD",P41*'Donnees SOMIDA'!$B$5,IF($D42="JPY",P41*'Donnees SOMIDA'!$B$6,0))</f>
        <v>110824950</v>
      </c>
      <c r="Q42" s="32">
        <f>IF($D42="USD",Q41*'Donnees SOMIDA'!$B$5,IF($D42="JPY",Q41*'Donnees SOMIDA'!$B$6,0))</f>
        <v>94788675</v>
      </c>
      <c r="R42" s="32">
        <f>IF($D42="USD",R41*'Donnees SOMIDA'!$B$5,IF($D42="JPY",R41*'Donnees SOMIDA'!$B$6,0))</f>
        <v>97117375</v>
      </c>
      <c r="S42" s="32">
        <f>SUM(G42:R42)</f>
        <v>1265330900</v>
      </c>
    </row>
    <row r="43" spans="1:19">
      <c r="A43" s="20" t="s">
        <v>33</v>
      </c>
      <c r="B43" s="20" t="s">
        <v>78</v>
      </c>
      <c r="C43" s="21" t="s">
        <v>60</v>
      </c>
      <c r="D43" s="21" t="s">
        <v>32</v>
      </c>
      <c r="E43" s="21" t="s">
        <v>74</v>
      </c>
      <c r="F43" s="21" t="s">
        <v>59</v>
      </c>
      <c r="G43" s="31">
        <v>12.67</v>
      </c>
      <c r="H43" s="31">
        <v>21.44</v>
      </c>
      <c r="I43" s="31">
        <v>17.88</v>
      </c>
      <c r="J43" s="31">
        <v>18.28</v>
      </c>
      <c r="K43" s="31">
        <v>21.06</v>
      </c>
      <c r="L43" s="31">
        <v>20</v>
      </c>
      <c r="M43" s="31">
        <v>14.02</v>
      </c>
      <c r="N43" s="31">
        <v>13.37</v>
      </c>
      <c r="O43" s="31">
        <v>15.46</v>
      </c>
      <c r="P43" s="31">
        <v>19.14</v>
      </c>
      <c r="Q43" s="31">
        <v>17.55</v>
      </c>
      <c r="R43" s="31">
        <v>21.56</v>
      </c>
      <c r="S43" s="31">
        <v>212.43</v>
      </c>
    </row>
    <row r="44" spans="1:19">
      <c r="A44" s="20" t="s">
        <v>33</v>
      </c>
      <c r="B44" s="20" t="s">
        <v>78</v>
      </c>
      <c r="C44" s="21" t="s">
        <v>60</v>
      </c>
      <c r="D44" s="21" t="s">
        <v>32</v>
      </c>
      <c r="E44" s="21" t="s">
        <v>75</v>
      </c>
      <c r="F44" s="21" t="s">
        <v>32</v>
      </c>
      <c r="G44" s="31">
        <v>16724.400000000001</v>
      </c>
      <c r="H44" s="31">
        <v>28300.799999999999</v>
      </c>
      <c r="I44" s="31">
        <v>23601.599999999999</v>
      </c>
      <c r="J44" s="31">
        <v>24129.599999999999</v>
      </c>
      <c r="K44" s="31">
        <v>27799.200000000001</v>
      </c>
      <c r="L44" s="31">
        <v>26400</v>
      </c>
      <c r="M44" s="31">
        <v>18506.400000000001</v>
      </c>
      <c r="N44" s="31">
        <v>17648.400000000001</v>
      </c>
      <c r="O44" s="31">
        <v>20407.2</v>
      </c>
      <c r="P44" s="31">
        <v>25264.799999999999</v>
      </c>
      <c r="Q44" s="31">
        <v>23166</v>
      </c>
      <c r="R44" s="31">
        <v>28459.200000000001</v>
      </c>
      <c r="S44" s="31">
        <v>280407.59999999998</v>
      </c>
    </row>
    <row r="45" spans="1:19">
      <c r="A45" s="22" t="s">
        <v>33</v>
      </c>
      <c r="B45" s="22" t="s">
        <v>78</v>
      </c>
      <c r="C45" s="22" t="s">
        <v>60</v>
      </c>
      <c r="D45" s="22" t="s">
        <v>32</v>
      </c>
      <c r="E45" s="22" t="s">
        <v>76</v>
      </c>
      <c r="F45" s="22" t="s">
        <v>77</v>
      </c>
      <c r="G45" s="32">
        <f>IF($D45="USD",G44*'Donnees SOMIDA'!$B$5,IF($D45="JPY",G44*'Donnees SOMIDA'!$B$6,0))</f>
        <v>61044060.000000007</v>
      </c>
      <c r="H45" s="32">
        <f>IF($D45="USD",H44*'Donnees SOMIDA'!$B$5,IF($D45="JPY",H44*'Donnees SOMIDA'!$B$6,0))</f>
        <v>103297920</v>
      </c>
      <c r="I45" s="32">
        <f>IF($D45="USD",I44*'Donnees SOMIDA'!$B$5,IF($D45="JPY",I44*'Donnees SOMIDA'!$B$6,0))</f>
        <v>86145840</v>
      </c>
      <c r="J45" s="32">
        <f>IF($D45="USD",J44*'Donnees SOMIDA'!$B$5,IF($D45="JPY",J44*'Donnees SOMIDA'!$B$6,0))</f>
        <v>88073040</v>
      </c>
      <c r="K45" s="32">
        <f>IF($D45="USD",K44*'Donnees SOMIDA'!$B$5,IF($D45="JPY",K44*'Donnees SOMIDA'!$B$6,0))</f>
        <v>101467080</v>
      </c>
      <c r="L45" s="32">
        <f>IF($D45="USD",L44*'Donnees SOMIDA'!$B$5,IF($D45="JPY",L44*'Donnees SOMIDA'!$B$6,0))</f>
        <v>96360000</v>
      </c>
      <c r="M45" s="32">
        <f>IF($D45="USD",M44*'Donnees SOMIDA'!$B$5,IF($D45="JPY",M44*'Donnees SOMIDA'!$B$6,0))</f>
        <v>67548360</v>
      </c>
      <c r="N45" s="32">
        <f>IF($D45="USD",N44*'Donnees SOMIDA'!$B$5,IF($D45="JPY",N44*'Donnees SOMIDA'!$B$6,0))</f>
        <v>64416660.000000007</v>
      </c>
      <c r="O45" s="32">
        <f>IF($D45="USD",O44*'Donnees SOMIDA'!$B$5,IF($D45="JPY",O44*'Donnees SOMIDA'!$B$6,0))</f>
        <v>74486280</v>
      </c>
      <c r="P45" s="32">
        <f>IF($D45="USD",P44*'Donnees SOMIDA'!$B$5,IF($D45="JPY",P44*'Donnees SOMIDA'!$B$6,0))</f>
        <v>92216520</v>
      </c>
      <c r="Q45" s="32">
        <f>IF($D45="USD",Q44*'Donnees SOMIDA'!$B$5,IF($D45="JPY",Q44*'Donnees SOMIDA'!$B$6,0))</f>
        <v>84555900</v>
      </c>
      <c r="R45" s="32">
        <f>IF($D45="USD",R44*'Donnees SOMIDA'!$B$5,IF($D45="JPY",R44*'Donnees SOMIDA'!$B$6,0))</f>
        <v>103876080</v>
      </c>
      <c r="S45" s="32">
        <f>SUM(G45:R45)</f>
        <v>1023487740</v>
      </c>
    </row>
    <row r="46" spans="1:19">
      <c r="A46" s="20" t="s">
        <v>33</v>
      </c>
      <c r="B46" s="20" t="s">
        <v>78</v>
      </c>
      <c r="C46" s="21" t="s">
        <v>61</v>
      </c>
      <c r="D46" s="21" t="s">
        <v>32</v>
      </c>
      <c r="E46" s="21" t="s">
        <v>74</v>
      </c>
      <c r="F46" s="21" t="s">
        <v>59</v>
      </c>
      <c r="G46" s="31">
        <v>17.989999999999998</v>
      </c>
      <c r="H46" s="31">
        <v>18.100000000000001</v>
      </c>
      <c r="I46" s="31">
        <v>15.91</v>
      </c>
      <c r="J46" s="31">
        <v>14.67</v>
      </c>
      <c r="K46" s="31">
        <v>14.81</v>
      </c>
      <c r="L46" s="31">
        <v>10.9</v>
      </c>
      <c r="M46" s="31">
        <v>16.96</v>
      </c>
      <c r="N46" s="31">
        <v>17.89</v>
      </c>
      <c r="O46" s="31">
        <v>14.05</v>
      </c>
      <c r="P46" s="31">
        <v>19.18</v>
      </c>
      <c r="Q46" s="31">
        <v>11.04</v>
      </c>
      <c r="R46" s="31">
        <v>17.98</v>
      </c>
      <c r="S46" s="31">
        <v>189.48</v>
      </c>
    </row>
    <row r="47" spans="1:19">
      <c r="A47" s="20" t="s">
        <v>33</v>
      </c>
      <c r="B47" s="20" t="s">
        <v>78</v>
      </c>
      <c r="C47" s="21" t="s">
        <v>61</v>
      </c>
      <c r="D47" s="21" t="s">
        <v>32</v>
      </c>
      <c r="E47" s="21" t="s">
        <v>75</v>
      </c>
      <c r="F47" s="21" t="s">
        <v>32</v>
      </c>
      <c r="G47" s="31">
        <v>22847.3</v>
      </c>
      <c r="H47" s="31">
        <v>22987</v>
      </c>
      <c r="I47" s="31">
        <v>20205.7</v>
      </c>
      <c r="J47" s="31">
        <v>18630.900000000001</v>
      </c>
      <c r="K47" s="31">
        <v>18808.7</v>
      </c>
      <c r="L47" s="31">
        <v>13843</v>
      </c>
      <c r="M47" s="31">
        <v>21539.200000000001</v>
      </c>
      <c r="N47" s="31">
        <v>22720.3</v>
      </c>
      <c r="O47" s="31">
        <v>17843.5</v>
      </c>
      <c r="P47" s="31">
        <v>24358.6</v>
      </c>
      <c r="Q47" s="31">
        <v>14020.8</v>
      </c>
      <c r="R47" s="31">
        <v>22834.6</v>
      </c>
      <c r="S47" s="31">
        <v>240639.6</v>
      </c>
    </row>
    <row r="48" spans="1:19">
      <c r="A48" s="22" t="s">
        <v>33</v>
      </c>
      <c r="B48" s="22" t="s">
        <v>78</v>
      </c>
      <c r="C48" s="22" t="s">
        <v>61</v>
      </c>
      <c r="D48" s="22" t="s">
        <v>32</v>
      </c>
      <c r="E48" s="22" t="s">
        <v>76</v>
      </c>
      <c r="F48" s="22" t="s">
        <v>77</v>
      </c>
      <c r="G48" s="32">
        <f>IF($D48="USD",G47*'Donnees SOMIDA'!$B$5,IF($D48="JPY",G47*'Donnees SOMIDA'!$B$6,0))</f>
        <v>83392645</v>
      </c>
      <c r="H48" s="32">
        <f>IF($D48="USD",H47*'Donnees SOMIDA'!$B$5,IF($D48="JPY",H47*'Donnees SOMIDA'!$B$6,0))</f>
        <v>83902550</v>
      </c>
      <c r="I48" s="32">
        <f>IF($D48="USD",I47*'Donnees SOMIDA'!$B$5,IF($D48="JPY",I47*'Donnees SOMIDA'!$B$6,0))</f>
        <v>73750805</v>
      </c>
      <c r="J48" s="32">
        <f>IF($D48="USD",J47*'Donnees SOMIDA'!$B$5,IF($D48="JPY",J47*'Donnees SOMIDA'!$B$6,0))</f>
        <v>68002785</v>
      </c>
      <c r="K48" s="32">
        <f>IF($D48="USD",K47*'Donnees SOMIDA'!$B$5,IF($D48="JPY",K47*'Donnees SOMIDA'!$B$6,0))</f>
        <v>68651755</v>
      </c>
      <c r="L48" s="32">
        <f>IF($D48="USD",L47*'Donnees SOMIDA'!$B$5,IF($D48="JPY",L47*'Donnees SOMIDA'!$B$6,0))</f>
        <v>50526950</v>
      </c>
      <c r="M48" s="32">
        <f>IF($D48="USD",M47*'Donnees SOMIDA'!$B$5,IF($D48="JPY",M47*'Donnees SOMIDA'!$B$6,0))</f>
        <v>78618080</v>
      </c>
      <c r="N48" s="32">
        <f>IF($D48="USD",N47*'Donnees SOMIDA'!$B$5,IF($D48="JPY",N47*'Donnees SOMIDA'!$B$6,0))</f>
        <v>82929095</v>
      </c>
      <c r="O48" s="32">
        <f>IF($D48="USD",O47*'Donnees SOMIDA'!$B$5,IF($D48="JPY",O47*'Donnees SOMIDA'!$B$6,0))</f>
        <v>65128775</v>
      </c>
      <c r="P48" s="32">
        <f>IF($D48="USD",P47*'Donnees SOMIDA'!$B$5,IF($D48="JPY",P47*'Donnees SOMIDA'!$B$6,0))</f>
        <v>88908890</v>
      </c>
      <c r="Q48" s="32">
        <f>IF($D48="USD",Q47*'Donnees SOMIDA'!$B$5,IF($D48="JPY",Q47*'Donnees SOMIDA'!$B$6,0))</f>
        <v>51175920</v>
      </c>
      <c r="R48" s="32">
        <f>IF($D48="USD",R47*'Donnees SOMIDA'!$B$5,IF($D48="JPY",R47*'Donnees SOMIDA'!$B$6,0))</f>
        <v>83346290</v>
      </c>
      <c r="S48" s="32">
        <f>SUM(G48:R48)</f>
        <v>878334540</v>
      </c>
    </row>
    <row r="49" spans="1:19">
      <c r="A49" s="20" t="s">
        <v>33</v>
      </c>
      <c r="B49" s="20" t="s">
        <v>78</v>
      </c>
      <c r="C49" s="21" t="s">
        <v>62</v>
      </c>
      <c r="D49" s="21" t="s">
        <v>32</v>
      </c>
      <c r="E49" s="21" t="s">
        <v>74</v>
      </c>
      <c r="F49" s="21" t="s">
        <v>59</v>
      </c>
      <c r="G49" s="31">
        <v>22.73</v>
      </c>
      <c r="H49" s="31">
        <v>23.74</v>
      </c>
      <c r="I49" s="31">
        <v>22.85</v>
      </c>
      <c r="J49" s="31">
        <v>18.55</v>
      </c>
      <c r="K49" s="31">
        <v>18.96</v>
      </c>
      <c r="L49" s="31">
        <v>20.47</v>
      </c>
      <c r="M49" s="31">
        <v>25.54</v>
      </c>
      <c r="N49" s="31">
        <v>16.07</v>
      </c>
      <c r="O49" s="31">
        <v>17.62</v>
      </c>
      <c r="P49" s="31">
        <v>23.8</v>
      </c>
      <c r="Q49" s="31">
        <v>15.8</v>
      </c>
      <c r="R49" s="31">
        <v>16.23</v>
      </c>
      <c r="S49" s="31">
        <v>242.36</v>
      </c>
    </row>
    <row r="50" spans="1:19">
      <c r="A50" s="20" t="s">
        <v>33</v>
      </c>
      <c r="B50" s="20" t="s">
        <v>78</v>
      </c>
      <c r="C50" s="21" t="s">
        <v>62</v>
      </c>
      <c r="D50" s="21" t="s">
        <v>32</v>
      </c>
      <c r="E50" s="21" t="s">
        <v>75</v>
      </c>
      <c r="F50" s="21" t="s">
        <v>32</v>
      </c>
      <c r="G50" s="31">
        <v>31594.7</v>
      </c>
      <c r="H50" s="31">
        <v>32998.6</v>
      </c>
      <c r="I50" s="31">
        <v>31761.5</v>
      </c>
      <c r="J50" s="31">
        <v>25784.5</v>
      </c>
      <c r="K50" s="31">
        <v>26354.400000000001</v>
      </c>
      <c r="L50" s="31">
        <v>28453.3</v>
      </c>
      <c r="M50" s="31">
        <v>35500.6</v>
      </c>
      <c r="N50" s="31">
        <v>22337.3</v>
      </c>
      <c r="O50" s="31">
        <v>24491.8</v>
      </c>
      <c r="P50" s="31">
        <v>33082</v>
      </c>
      <c r="Q50" s="31">
        <v>21962</v>
      </c>
      <c r="R50" s="31">
        <v>22559.7</v>
      </c>
      <c r="S50" s="31">
        <v>336880.4</v>
      </c>
    </row>
    <row r="51" spans="1:19">
      <c r="A51" s="22" t="s">
        <v>33</v>
      </c>
      <c r="B51" s="22" t="s">
        <v>78</v>
      </c>
      <c r="C51" s="22" t="s">
        <v>62</v>
      </c>
      <c r="D51" s="22" t="s">
        <v>32</v>
      </c>
      <c r="E51" s="22" t="s">
        <v>76</v>
      </c>
      <c r="F51" s="22" t="s">
        <v>77</v>
      </c>
      <c r="G51" s="32">
        <f>IF($D51="USD",G50*'Donnees SOMIDA'!$B$5,IF($D51="JPY",G50*'Donnees SOMIDA'!$B$6,0))</f>
        <v>115320655</v>
      </c>
      <c r="H51" s="32">
        <f>IF($D51="USD",H50*'Donnees SOMIDA'!$B$5,IF($D51="JPY",H50*'Donnees SOMIDA'!$B$6,0))</f>
        <v>120444890</v>
      </c>
      <c r="I51" s="32">
        <f>IF($D51="USD",I50*'Donnees SOMIDA'!$B$5,IF($D51="JPY",I50*'Donnees SOMIDA'!$B$6,0))</f>
        <v>115929475</v>
      </c>
      <c r="J51" s="32">
        <f>IF($D51="USD",J50*'Donnees SOMIDA'!$B$5,IF($D51="JPY",J50*'Donnees SOMIDA'!$B$6,0))</f>
        <v>94113425</v>
      </c>
      <c r="K51" s="32">
        <f>IF($D51="USD",K50*'Donnees SOMIDA'!$B$5,IF($D51="JPY",K50*'Donnees SOMIDA'!$B$6,0))</f>
        <v>96193560</v>
      </c>
      <c r="L51" s="32">
        <f>IF($D51="USD",L50*'Donnees SOMIDA'!$B$5,IF($D51="JPY",L50*'Donnees SOMIDA'!$B$6,0))</f>
        <v>103854545</v>
      </c>
      <c r="M51" s="32">
        <f>IF($D51="USD",M50*'Donnees SOMIDA'!$B$5,IF($D51="JPY",M50*'Donnees SOMIDA'!$B$6,0))</f>
        <v>129577190</v>
      </c>
      <c r="N51" s="32">
        <f>IF($D51="USD",N50*'Donnees SOMIDA'!$B$5,IF($D51="JPY",N50*'Donnees SOMIDA'!$B$6,0))</f>
        <v>81531145</v>
      </c>
      <c r="O51" s="32">
        <f>IF($D51="USD",O50*'Donnees SOMIDA'!$B$5,IF($D51="JPY",O50*'Donnees SOMIDA'!$B$6,0))</f>
        <v>89395070</v>
      </c>
      <c r="P51" s="32">
        <f>IF($D51="USD",P50*'Donnees SOMIDA'!$B$5,IF($D51="JPY",P50*'Donnees SOMIDA'!$B$6,0))</f>
        <v>120749300</v>
      </c>
      <c r="Q51" s="32">
        <f>IF($D51="USD",Q50*'Donnees SOMIDA'!$B$5,IF($D51="JPY",Q50*'Donnees SOMIDA'!$B$6,0))</f>
        <v>80161300</v>
      </c>
      <c r="R51" s="32">
        <f>IF($D51="USD",R50*'Donnees SOMIDA'!$B$5,IF($D51="JPY",R50*'Donnees SOMIDA'!$B$6,0))</f>
        <v>82342905</v>
      </c>
      <c r="S51" s="32">
        <f>SUM(G51:R51)</f>
        <v>1229613460</v>
      </c>
    </row>
    <row r="52" spans="1:19">
      <c r="A52" s="20" t="s">
        <v>33</v>
      </c>
      <c r="B52" s="20" t="s">
        <v>78</v>
      </c>
      <c r="C52" s="21" t="s">
        <v>63</v>
      </c>
      <c r="D52" s="21" t="s">
        <v>32</v>
      </c>
      <c r="E52" s="21" t="s">
        <v>74</v>
      </c>
      <c r="F52" s="21" t="s">
        <v>59</v>
      </c>
      <c r="G52" s="31">
        <v>13.16</v>
      </c>
      <c r="H52" s="31">
        <v>10.15</v>
      </c>
      <c r="I52" s="31">
        <v>11.08</v>
      </c>
      <c r="J52" s="31">
        <v>13.87</v>
      </c>
      <c r="K52" s="31">
        <v>14.4</v>
      </c>
      <c r="L52" s="31">
        <v>11.31</v>
      </c>
      <c r="M52" s="31">
        <v>14.48</v>
      </c>
      <c r="N52" s="31">
        <v>13.7</v>
      </c>
      <c r="O52" s="31">
        <v>9.52</v>
      </c>
      <c r="P52" s="31">
        <v>13.14</v>
      </c>
      <c r="Q52" s="31">
        <v>9.1300000000000008</v>
      </c>
      <c r="R52" s="31">
        <v>10.3</v>
      </c>
      <c r="S52" s="31">
        <v>144.24</v>
      </c>
    </row>
    <row r="53" spans="1:19">
      <c r="A53" s="20" t="s">
        <v>33</v>
      </c>
      <c r="B53" s="20" t="s">
        <v>78</v>
      </c>
      <c r="C53" s="21" t="s">
        <v>63</v>
      </c>
      <c r="D53" s="21" t="s">
        <v>32</v>
      </c>
      <c r="E53" s="21" t="s">
        <v>75</v>
      </c>
      <c r="F53" s="21" t="s">
        <v>32</v>
      </c>
      <c r="G53" s="31">
        <v>15528.8</v>
      </c>
      <c r="H53" s="31">
        <v>11977</v>
      </c>
      <c r="I53" s="31">
        <v>13074.4</v>
      </c>
      <c r="J53" s="31">
        <v>16366.6</v>
      </c>
      <c r="K53" s="31">
        <v>16992</v>
      </c>
      <c r="L53" s="31">
        <v>13345.8</v>
      </c>
      <c r="M53" s="31">
        <v>17086.400000000001</v>
      </c>
      <c r="N53" s="31">
        <v>16166</v>
      </c>
      <c r="O53" s="31">
        <v>11233.6</v>
      </c>
      <c r="P53" s="31">
        <v>15505.2</v>
      </c>
      <c r="Q53" s="31">
        <v>10773.4</v>
      </c>
      <c r="R53" s="31">
        <v>12154</v>
      </c>
      <c r="S53" s="31">
        <v>170203.2</v>
      </c>
    </row>
    <row r="54" spans="1:19">
      <c r="A54" s="22" t="s">
        <v>33</v>
      </c>
      <c r="B54" s="22" t="s">
        <v>78</v>
      </c>
      <c r="C54" s="22" t="s">
        <v>63</v>
      </c>
      <c r="D54" s="22" t="s">
        <v>32</v>
      </c>
      <c r="E54" s="22" t="s">
        <v>76</v>
      </c>
      <c r="F54" s="22" t="s">
        <v>77</v>
      </c>
      <c r="G54" s="32">
        <f>IF($D54="USD",G53*'Donnees SOMIDA'!$B$5,IF($D54="JPY",G53*'Donnees SOMIDA'!$B$6,0))</f>
        <v>56680120</v>
      </c>
      <c r="H54" s="32">
        <f>IF($D54="USD",H53*'Donnees SOMIDA'!$B$5,IF($D54="JPY",H53*'Donnees SOMIDA'!$B$6,0))</f>
        <v>43716050</v>
      </c>
      <c r="I54" s="32">
        <f>IF($D54="USD",I53*'Donnees SOMIDA'!$B$5,IF($D54="JPY",I53*'Donnees SOMIDA'!$B$6,0))</f>
        <v>47721560</v>
      </c>
      <c r="J54" s="32">
        <f>IF($D54="USD",J53*'Donnees SOMIDA'!$B$5,IF($D54="JPY",J53*'Donnees SOMIDA'!$B$6,0))</f>
        <v>59738090</v>
      </c>
      <c r="K54" s="32">
        <f>IF($D54="USD",K53*'Donnees SOMIDA'!$B$5,IF($D54="JPY",K53*'Donnees SOMIDA'!$B$6,0))</f>
        <v>62020800</v>
      </c>
      <c r="L54" s="32">
        <f>IF($D54="USD",L53*'Donnees SOMIDA'!$B$5,IF($D54="JPY",L53*'Donnees SOMIDA'!$B$6,0))</f>
        <v>48712170</v>
      </c>
      <c r="M54" s="32">
        <f>IF($D54="USD",M53*'Donnees SOMIDA'!$B$5,IF($D54="JPY",M53*'Donnees SOMIDA'!$B$6,0))</f>
        <v>62365360.000000007</v>
      </c>
      <c r="N54" s="32">
        <f>IF($D54="USD",N53*'Donnees SOMIDA'!$B$5,IF($D54="JPY",N53*'Donnees SOMIDA'!$B$6,0))</f>
        <v>59005900</v>
      </c>
      <c r="O54" s="32">
        <f>IF($D54="USD",O53*'Donnees SOMIDA'!$B$5,IF($D54="JPY",O53*'Donnees SOMIDA'!$B$6,0))</f>
        <v>41002640</v>
      </c>
      <c r="P54" s="32">
        <f>IF($D54="USD",P53*'Donnees SOMIDA'!$B$5,IF($D54="JPY",P53*'Donnees SOMIDA'!$B$6,0))</f>
        <v>56593980</v>
      </c>
      <c r="Q54" s="32">
        <f>IF($D54="USD",Q53*'Donnees SOMIDA'!$B$5,IF($D54="JPY",Q53*'Donnees SOMIDA'!$B$6,0))</f>
        <v>39322910</v>
      </c>
      <c r="R54" s="32">
        <f>IF($D54="USD",R53*'Donnees SOMIDA'!$B$5,IF($D54="JPY",R53*'Donnees SOMIDA'!$B$6,0))</f>
        <v>44362100</v>
      </c>
      <c r="S54" s="32">
        <f>SUM(G54:R54)</f>
        <v>621241680</v>
      </c>
    </row>
  </sheetData>
  <mergeCells count="15">
    <mergeCell ref="P5:S5"/>
    <mergeCell ref="A7:S7"/>
    <mergeCell ref="A5:C5"/>
    <mergeCell ref="D5:F5"/>
    <mergeCell ref="G5:I5"/>
    <mergeCell ref="J5:L5"/>
    <mergeCell ref="M5:O5"/>
    <mergeCell ref="A1:S1"/>
    <mergeCell ref="A2:S2"/>
    <mergeCell ref="A4:C4"/>
    <mergeCell ref="D4:F4"/>
    <mergeCell ref="G4:I4"/>
    <mergeCell ref="J4:L4"/>
    <mergeCell ref="M4:O4"/>
    <mergeCell ref="P4:S4"/>
  </mergeCells>
  <conditionalFormatting sqref="S10:S54">
    <cfRule type="dataBar" priority="1">
      <dataBar>
        <cfvo type="min"/>
        <cfvo type="max"/>
        <color rgb="FFA02B93"/>
      </dataBar>
    </cfRule>
    <cfRule type="dataBar" priority="2">
      <dataBar>
        <cfvo type="min"/>
        <cfvo type="max"/>
        <color rgb="FFA02B93"/>
      </dataBar>
    </cfRule>
    <cfRule type="dataBar" priority="3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{55A74A3F-6AFA-3C89-6848-3917534EA35A}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A74A3F-6AFA-3C89-6848-3917534EA35A}">
            <x14:dataBar>
              <x14:cfvo type="min"/>
              <x14:cfvo type="max"/>
              <x14:negativeFillColor auto="1"/>
              <x14:axisColor auto="1"/>
            </x14:dataBar>
          </x14:cfRule>
          <xm:sqref>S10:S54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9"/>
  <sheetViews>
    <sheetView workbookViewId="0"/>
  </sheetViews>
  <sheetFormatPr baseColWidth="10" defaultColWidth="8.83203125" defaultRowHeight="15"/>
  <cols>
    <col min="1" max="1" width="5.1640625" customWidth="1"/>
    <col min="2" max="2" width="30" customWidth="1"/>
    <col min="3" max="3" width="24" customWidth="1"/>
    <col min="4" max="4" width="4.6640625" customWidth="1"/>
    <col min="5" max="16" width="8.83203125" customWidth="1"/>
    <col min="17" max="17" width="9.83203125" customWidth="1"/>
  </cols>
  <sheetData>
    <row r="1" spans="1:17" ht="32">
      <c r="A1" s="1" t="s">
        <v>23</v>
      </c>
      <c r="B1" s="1" t="s">
        <v>24</v>
      </c>
      <c r="C1" s="1" t="s">
        <v>79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</row>
    <row r="2" spans="1:17">
      <c r="A2" t="s">
        <v>27</v>
      </c>
      <c r="B2" t="s">
        <v>28</v>
      </c>
      <c r="C2" t="s">
        <v>80</v>
      </c>
      <c r="D2" t="s">
        <v>77</v>
      </c>
      <c r="E2" s="4">
        <v>11427293</v>
      </c>
      <c r="F2" s="4">
        <v>9838752</v>
      </c>
      <c r="G2" s="4">
        <v>9243696</v>
      </c>
      <c r="H2" s="4">
        <v>10747968</v>
      </c>
      <c r="I2" s="4">
        <v>10789363</v>
      </c>
      <c r="J2" s="4">
        <v>10457462</v>
      </c>
      <c r="K2" s="4">
        <v>10987469</v>
      </c>
      <c r="L2" s="4">
        <v>10220179</v>
      </c>
      <c r="M2" s="4">
        <v>9574118</v>
      </c>
      <c r="N2" s="4">
        <v>12004608</v>
      </c>
      <c r="O2" s="4">
        <v>9084768</v>
      </c>
      <c r="P2" s="4">
        <v>9578554</v>
      </c>
      <c r="Q2" s="4">
        <f t="shared" ref="Q2:Q19" si="0">SUM(E2:P2)</f>
        <v>123954230</v>
      </c>
    </row>
    <row r="3" spans="1:17">
      <c r="A3" t="s">
        <v>27</v>
      </c>
      <c r="B3" t="s">
        <v>28</v>
      </c>
      <c r="C3" t="s">
        <v>81</v>
      </c>
      <c r="D3" t="s">
        <v>77</v>
      </c>
      <c r="E3" s="4">
        <v>4530557</v>
      </c>
      <c r="F3" s="4">
        <v>4968902</v>
      </c>
      <c r="G3" s="4">
        <v>5327414</v>
      </c>
      <c r="H3" s="4">
        <v>4980730</v>
      </c>
      <c r="I3" s="4">
        <v>4089994</v>
      </c>
      <c r="J3" s="4">
        <v>4411546</v>
      </c>
      <c r="K3" s="4">
        <v>4846934</v>
      </c>
      <c r="L3" s="4">
        <v>4787059</v>
      </c>
      <c r="M3" s="4">
        <v>5164051</v>
      </c>
      <c r="N3" s="4">
        <v>4821062</v>
      </c>
      <c r="O3" s="4">
        <v>5515910</v>
      </c>
      <c r="P3" s="4">
        <v>4988861</v>
      </c>
      <c r="Q3" s="4">
        <f t="shared" si="0"/>
        <v>58433020</v>
      </c>
    </row>
    <row r="4" spans="1:17">
      <c r="A4" t="s">
        <v>27</v>
      </c>
      <c r="B4" t="s">
        <v>28</v>
      </c>
      <c r="C4" t="s">
        <v>82</v>
      </c>
      <c r="D4" t="s">
        <v>77</v>
      </c>
      <c r="E4" s="4">
        <v>6281722</v>
      </c>
      <c r="F4" s="4">
        <v>6657235</v>
      </c>
      <c r="G4" s="4">
        <v>5634182</v>
      </c>
      <c r="H4" s="4">
        <v>6831686</v>
      </c>
      <c r="I4" s="4">
        <v>6187104</v>
      </c>
      <c r="J4" s="4">
        <v>6333466</v>
      </c>
      <c r="K4" s="4">
        <v>5719190</v>
      </c>
      <c r="L4" s="4">
        <v>6177494</v>
      </c>
      <c r="M4" s="4">
        <v>7168022</v>
      </c>
      <c r="N4" s="4">
        <v>6952915</v>
      </c>
      <c r="O4" s="4">
        <v>6078442</v>
      </c>
      <c r="P4" s="4">
        <v>7292208</v>
      </c>
      <c r="Q4" s="4">
        <f t="shared" si="0"/>
        <v>77313666</v>
      </c>
    </row>
    <row r="5" spans="1:17">
      <c r="A5" t="s">
        <v>27</v>
      </c>
      <c r="B5" t="s">
        <v>28</v>
      </c>
      <c r="C5" t="s">
        <v>83</v>
      </c>
      <c r="D5" t="s">
        <v>77</v>
      </c>
      <c r="E5" s="4">
        <v>32577283</v>
      </c>
      <c r="F5" s="4">
        <v>38488666</v>
      </c>
      <c r="G5" s="4">
        <v>37813776</v>
      </c>
      <c r="H5" s="4">
        <v>32224685</v>
      </c>
      <c r="I5" s="4">
        <v>37603843</v>
      </c>
      <c r="J5" s="4">
        <v>38474621</v>
      </c>
      <c r="K5" s="4">
        <v>35192573</v>
      </c>
      <c r="L5" s="4">
        <v>41499427</v>
      </c>
      <c r="M5" s="4">
        <v>31329514</v>
      </c>
      <c r="N5" s="4">
        <v>38119805</v>
      </c>
      <c r="O5" s="4">
        <v>38625418</v>
      </c>
      <c r="P5" s="4">
        <v>35256144</v>
      </c>
      <c r="Q5" s="4">
        <f t="shared" si="0"/>
        <v>437205755</v>
      </c>
    </row>
    <row r="6" spans="1:17">
      <c r="A6" t="s">
        <v>27</v>
      </c>
      <c r="B6" t="s">
        <v>28</v>
      </c>
      <c r="C6" t="s">
        <v>84</v>
      </c>
      <c r="D6" t="s">
        <v>77</v>
      </c>
      <c r="E6" s="4">
        <v>3029242</v>
      </c>
      <c r="F6" s="4">
        <v>3885974</v>
      </c>
      <c r="G6" s="4">
        <v>3900758</v>
      </c>
      <c r="H6" s="4">
        <v>3849014</v>
      </c>
      <c r="I6" s="4">
        <v>3908150</v>
      </c>
      <c r="J6" s="4">
        <v>3593990</v>
      </c>
      <c r="K6" s="4">
        <v>3866016</v>
      </c>
      <c r="L6" s="4">
        <v>3976896</v>
      </c>
      <c r="M6" s="4">
        <v>3200736</v>
      </c>
      <c r="N6" s="4">
        <v>3655344</v>
      </c>
      <c r="O6" s="4">
        <v>3931066</v>
      </c>
      <c r="P6" s="4">
        <v>3255437</v>
      </c>
      <c r="Q6" s="4">
        <f t="shared" si="0"/>
        <v>44052623</v>
      </c>
    </row>
    <row r="7" spans="1:17">
      <c r="A7" t="s">
        <v>27</v>
      </c>
      <c r="B7" t="s">
        <v>28</v>
      </c>
      <c r="C7" t="s">
        <v>85</v>
      </c>
      <c r="D7" t="s">
        <v>77</v>
      </c>
      <c r="E7" s="4">
        <v>2299651</v>
      </c>
      <c r="F7" s="4">
        <v>2080848</v>
      </c>
      <c r="G7" s="4">
        <v>2348438</v>
      </c>
      <c r="H7" s="4">
        <v>2384659</v>
      </c>
      <c r="I7" s="4">
        <v>2524368</v>
      </c>
      <c r="J7" s="4">
        <v>2086022</v>
      </c>
      <c r="K7" s="4">
        <v>2105981</v>
      </c>
      <c r="L7" s="4">
        <v>2740214</v>
      </c>
      <c r="M7" s="4">
        <v>2692906</v>
      </c>
      <c r="N7" s="4">
        <v>2115590</v>
      </c>
      <c r="O7" s="4">
        <v>2214643</v>
      </c>
      <c r="P7" s="4">
        <v>2214643</v>
      </c>
      <c r="Q7" s="4">
        <f t="shared" si="0"/>
        <v>27807963</v>
      </c>
    </row>
    <row r="8" spans="1:17">
      <c r="A8" t="s">
        <v>30</v>
      </c>
      <c r="B8" t="s">
        <v>31</v>
      </c>
      <c r="C8" t="s">
        <v>80</v>
      </c>
      <c r="D8" t="s">
        <v>77</v>
      </c>
      <c r="E8" s="4">
        <v>10470768</v>
      </c>
      <c r="F8" s="4">
        <v>11263190</v>
      </c>
      <c r="G8" s="4">
        <v>11623920</v>
      </c>
      <c r="H8" s="4">
        <v>11368157</v>
      </c>
      <c r="I8" s="4">
        <v>9697565</v>
      </c>
      <c r="J8" s="4">
        <v>12549398</v>
      </c>
      <c r="K8" s="4">
        <v>9983635</v>
      </c>
      <c r="L8" s="4">
        <v>10039814</v>
      </c>
      <c r="M8" s="4">
        <v>12048221</v>
      </c>
      <c r="N8" s="4">
        <v>12388992</v>
      </c>
      <c r="O8" s="4">
        <v>12605578</v>
      </c>
      <c r="P8" s="4">
        <v>12287722</v>
      </c>
      <c r="Q8" s="4">
        <f t="shared" si="0"/>
        <v>136326960</v>
      </c>
    </row>
    <row r="9" spans="1:17">
      <c r="A9" t="s">
        <v>30</v>
      </c>
      <c r="B9" t="s">
        <v>31</v>
      </c>
      <c r="C9" t="s">
        <v>81</v>
      </c>
      <c r="D9" t="s">
        <v>77</v>
      </c>
      <c r="E9" s="4">
        <v>5679274</v>
      </c>
      <c r="F9" s="4">
        <v>5369549</v>
      </c>
      <c r="G9" s="4">
        <v>5823418</v>
      </c>
      <c r="H9" s="4">
        <v>5618659</v>
      </c>
      <c r="I9" s="4">
        <v>5207664</v>
      </c>
      <c r="J9" s="4">
        <v>4482509</v>
      </c>
      <c r="K9" s="4">
        <v>4607434</v>
      </c>
      <c r="L9" s="4">
        <v>5314848</v>
      </c>
      <c r="M9" s="4">
        <v>5787936</v>
      </c>
      <c r="N9" s="4">
        <v>4534992</v>
      </c>
      <c r="O9" s="4">
        <v>4521686</v>
      </c>
      <c r="P9" s="4">
        <v>5960170</v>
      </c>
      <c r="Q9" s="4">
        <f t="shared" si="0"/>
        <v>62908139</v>
      </c>
    </row>
    <row r="10" spans="1:17">
      <c r="A10" t="s">
        <v>30</v>
      </c>
      <c r="B10" t="s">
        <v>31</v>
      </c>
      <c r="C10" t="s">
        <v>82</v>
      </c>
      <c r="D10" t="s">
        <v>77</v>
      </c>
      <c r="E10" s="4">
        <v>6239587</v>
      </c>
      <c r="F10" s="4">
        <v>6940349</v>
      </c>
      <c r="G10" s="4">
        <v>7693594</v>
      </c>
      <c r="H10" s="4">
        <v>6201149</v>
      </c>
      <c r="I10" s="4">
        <v>6262502</v>
      </c>
      <c r="J10" s="4">
        <v>7808909</v>
      </c>
      <c r="K10" s="4">
        <v>7791168</v>
      </c>
      <c r="L10" s="4">
        <v>6943306</v>
      </c>
      <c r="M10" s="4">
        <v>7722422</v>
      </c>
      <c r="N10" s="4">
        <v>7665504</v>
      </c>
      <c r="O10" s="4">
        <v>7681027</v>
      </c>
      <c r="P10" s="4">
        <v>8125286</v>
      </c>
      <c r="Q10" s="4">
        <f t="shared" si="0"/>
        <v>87074803</v>
      </c>
    </row>
    <row r="11" spans="1:17">
      <c r="A11" t="s">
        <v>30</v>
      </c>
      <c r="B11" t="s">
        <v>31</v>
      </c>
      <c r="C11" t="s">
        <v>83</v>
      </c>
      <c r="D11" t="s">
        <v>77</v>
      </c>
      <c r="E11" s="4">
        <v>34299619</v>
      </c>
      <c r="F11" s="4">
        <v>39499152</v>
      </c>
      <c r="G11" s="4">
        <v>45613075</v>
      </c>
      <c r="H11" s="4">
        <v>35086128</v>
      </c>
      <c r="I11" s="4">
        <v>38354131</v>
      </c>
      <c r="J11" s="4">
        <v>35464598</v>
      </c>
      <c r="K11" s="4">
        <v>42850685</v>
      </c>
      <c r="L11" s="4">
        <v>35874854</v>
      </c>
      <c r="M11" s="4">
        <v>41327194</v>
      </c>
      <c r="N11" s="4">
        <v>42778243</v>
      </c>
      <c r="O11" s="4">
        <v>35562912</v>
      </c>
      <c r="P11" s="4">
        <v>44766691</v>
      </c>
      <c r="Q11" s="4">
        <f t="shared" si="0"/>
        <v>471477282</v>
      </c>
    </row>
    <row r="12" spans="1:17">
      <c r="A12" t="s">
        <v>30</v>
      </c>
      <c r="B12" t="s">
        <v>31</v>
      </c>
      <c r="C12" t="s">
        <v>84</v>
      </c>
      <c r="D12" t="s">
        <v>77</v>
      </c>
      <c r="E12" s="4">
        <v>3270960</v>
      </c>
      <c r="F12" s="4">
        <v>3784704</v>
      </c>
      <c r="G12" s="4">
        <v>3556291</v>
      </c>
      <c r="H12" s="4">
        <v>4036032</v>
      </c>
      <c r="I12" s="4">
        <v>4206048</v>
      </c>
      <c r="J12" s="4">
        <v>3625037</v>
      </c>
      <c r="K12" s="4">
        <v>3248784</v>
      </c>
      <c r="L12" s="4">
        <v>3857146</v>
      </c>
      <c r="M12" s="4">
        <v>3778051</v>
      </c>
      <c r="N12" s="4">
        <v>4149869</v>
      </c>
      <c r="O12" s="4">
        <v>4182394</v>
      </c>
      <c r="P12" s="4">
        <v>3232522</v>
      </c>
      <c r="Q12" s="4">
        <f t="shared" si="0"/>
        <v>44927838</v>
      </c>
    </row>
    <row r="13" spans="1:17">
      <c r="A13" t="s">
        <v>30</v>
      </c>
      <c r="B13" t="s">
        <v>31</v>
      </c>
      <c r="C13" t="s">
        <v>85</v>
      </c>
      <c r="D13" t="s">
        <v>77</v>
      </c>
      <c r="E13" s="4">
        <v>2479277</v>
      </c>
      <c r="F13" s="4">
        <v>2973062</v>
      </c>
      <c r="G13" s="4">
        <v>2937581</v>
      </c>
      <c r="H13" s="4">
        <v>2542848</v>
      </c>
      <c r="I13" s="4">
        <v>2600506</v>
      </c>
      <c r="J13" s="4">
        <v>2352134</v>
      </c>
      <c r="K13" s="4">
        <v>2805264</v>
      </c>
      <c r="L13" s="4">
        <v>2668512</v>
      </c>
      <c r="M13" s="4">
        <v>2409792</v>
      </c>
      <c r="N13" s="4">
        <v>2567981</v>
      </c>
      <c r="O13" s="4">
        <v>2423837</v>
      </c>
      <c r="P13" s="4">
        <v>2847398</v>
      </c>
      <c r="Q13" s="4">
        <f t="shared" si="0"/>
        <v>31608192</v>
      </c>
    </row>
    <row r="14" spans="1:17">
      <c r="A14" t="s">
        <v>33</v>
      </c>
      <c r="B14" t="s">
        <v>96</v>
      </c>
      <c r="C14" t="s">
        <v>80</v>
      </c>
      <c r="D14" t="s">
        <v>77</v>
      </c>
      <c r="E14" s="4">
        <v>8500061</v>
      </c>
      <c r="F14" s="4">
        <v>10483334</v>
      </c>
      <c r="G14" s="4">
        <v>9271786</v>
      </c>
      <c r="H14" s="4">
        <v>9700522</v>
      </c>
      <c r="I14" s="4">
        <v>10019117</v>
      </c>
      <c r="J14" s="4">
        <v>7927920</v>
      </c>
      <c r="K14" s="4">
        <v>9023414</v>
      </c>
      <c r="L14" s="4">
        <v>9894931</v>
      </c>
      <c r="M14" s="4">
        <v>9820272</v>
      </c>
      <c r="N14" s="4">
        <v>10248269</v>
      </c>
      <c r="O14" s="4">
        <v>9128381</v>
      </c>
      <c r="P14" s="4">
        <v>8422445</v>
      </c>
      <c r="Q14" s="4">
        <f t="shared" si="0"/>
        <v>112440452</v>
      </c>
    </row>
    <row r="15" spans="1:17">
      <c r="A15" t="s">
        <v>33</v>
      </c>
      <c r="B15" t="s">
        <v>96</v>
      </c>
      <c r="C15" t="s">
        <v>81</v>
      </c>
      <c r="D15" t="s">
        <v>77</v>
      </c>
      <c r="E15" s="4">
        <v>4178698</v>
      </c>
      <c r="F15" s="4">
        <v>4250400</v>
      </c>
      <c r="G15" s="4">
        <v>4186829</v>
      </c>
      <c r="H15" s="4">
        <v>3695261</v>
      </c>
      <c r="I15" s="4">
        <v>4514294</v>
      </c>
      <c r="J15" s="4">
        <v>3682694</v>
      </c>
      <c r="K15" s="4">
        <v>3846797</v>
      </c>
      <c r="L15" s="4">
        <v>4353149</v>
      </c>
      <c r="M15" s="4">
        <v>4226746</v>
      </c>
      <c r="N15" s="4">
        <v>4081123</v>
      </c>
      <c r="O15" s="4">
        <v>3765485</v>
      </c>
      <c r="P15" s="4">
        <v>4897939</v>
      </c>
      <c r="Q15" s="4">
        <f t="shared" si="0"/>
        <v>49679415</v>
      </c>
    </row>
    <row r="16" spans="1:17">
      <c r="A16" t="s">
        <v>33</v>
      </c>
      <c r="B16" t="s">
        <v>96</v>
      </c>
      <c r="C16" t="s">
        <v>82</v>
      </c>
      <c r="D16" t="s">
        <v>77</v>
      </c>
      <c r="E16" s="4">
        <v>5298586</v>
      </c>
      <c r="F16" s="4">
        <v>5274192</v>
      </c>
      <c r="G16" s="4">
        <v>5011776</v>
      </c>
      <c r="H16" s="4">
        <v>6626189</v>
      </c>
      <c r="I16" s="4">
        <v>6236630</v>
      </c>
      <c r="J16" s="4">
        <v>5505562</v>
      </c>
      <c r="K16" s="4">
        <v>5520346</v>
      </c>
      <c r="L16" s="4">
        <v>6178973</v>
      </c>
      <c r="M16" s="4">
        <v>5526998</v>
      </c>
      <c r="N16" s="4">
        <v>5691840</v>
      </c>
      <c r="O16" s="4">
        <v>6163450</v>
      </c>
      <c r="P16" s="4">
        <v>5648966</v>
      </c>
      <c r="Q16" s="4">
        <f t="shared" si="0"/>
        <v>68683508</v>
      </c>
    </row>
    <row r="17" spans="1:17">
      <c r="A17" t="s">
        <v>33</v>
      </c>
      <c r="B17" t="s">
        <v>96</v>
      </c>
      <c r="C17" t="s">
        <v>83</v>
      </c>
      <c r="D17" t="s">
        <v>77</v>
      </c>
      <c r="E17" s="4">
        <v>33956630</v>
      </c>
      <c r="F17" s="4">
        <v>33621034</v>
      </c>
      <c r="G17" s="4">
        <v>35519299</v>
      </c>
      <c r="H17" s="4">
        <v>28770403</v>
      </c>
      <c r="I17" s="4">
        <v>35123088</v>
      </c>
      <c r="J17" s="4">
        <v>36510566</v>
      </c>
      <c r="K17" s="4">
        <v>28348320</v>
      </c>
      <c r="L17" s="4">
        <v>35543693</v>
      </c>
      <c r="M17" s="4">
        <v>34947898</v>
      </c>
      <c r="N17" s="4">
        <v>32469360</v>
      </c>
      <c r="O17" s="4">
        <v>30556310</v>
      </c>
      <c r="P17" s="4">
        <v>34251571</v>
      </c>
      <c r="Q17" s="4">
        <f t="shared" si="0"/>
        <v>399618172</v>
      </c>
    </row>
    <row r="18" spans="1:17">
      <c r="A18" t="s">
        <v>33</v>
      </c>
      <c r="B18" t="s">
        <v>96</v>
      </c>
      <c r="C18" t="s">
        <v>84</v>
      </c>
      <c r="D18" t="s">
        <v>77</v>
      </c>
      <c r="E18" s="4">
        <v>2960496</v>
      </c>
      <c r="F18" s="4">
        <v>2691427</v>
      </c>
      <c r="G18" s="4">
        <v>2673686</v>
      </c>
      <c r="H18" s="4">
        <v>3059549</v>
      </c>
      <c r="I18" s="4">
        <v>3207389</v>
      </c>
      <c r="J18" s="4">
        <v>3086160</v>
      </c>
      <c r="K18" s="4">
        <v>2836310</v>
      </c>
      <c r="L18" s="4">
        <v>2699558</v>
      </c>
      <c r="M18" s="4">
        <v>2724691</v>
      </c>
      <c r="N18" s="4">
        <v>2963453</v>
      </c>
      <c r="O18" s="4">
        <v>3517853</v>
      </c>
      <c r="P18" s="4">
        <v>3440976</v>
      </c>
      <c r="Q18" s="4">
        <f t="shared" si="0"/>
        <v>35861548</v>
      </c>
    </row>
    <row r="19" spans="1:17">
      <c r="A19" t="s">
        <v>33</v>
      </c>
      <c r="B19" t="s">
        <v>96</v>
      </c>
      <c r="C19" t="s">
        <v>85</v>
      </c>
      <c r="D19" t="s">
        <v>77</v>
      </c>
      <c r="E19" s="4">
        <v>2185075</v>
      </c>
      <c r="F19" s="4">
        <v>2279693</v>
      </c>
      <c r="G19" s="4">
        <v>2003971</v>
      </c>
      <c r="H19" s="4">
        <v>1869437</v>
      </c>
      <c r="I19" s="4">
        <v>1848739</v>
      </c>
      <c r="J19" s="4">
        <v>1897526</v>
      </c>
      <c r="K19" s="4">
        <v>1893830</v>
      </c>
      <c r="L19" s="4">
        <v>2350656</v>
      </c>
      <c r="M19" s="4">
        <v>1866480</v>
      </c>
      <c r="N19" s="4">
        <v>1881264</v>
      </c>
      <c r="O19" s="4">
        <v>2232384</v>
      </c>
      <c r="P19" s="4">
        <v>2466710</v>
      </c>
      <c r="Q19" s="4">
        <f t="shared" si="0"/>
        <v>24775765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7"/>
  <sheetViews>
    <sheetView workbookViewId="0">
      <selection activeCell="C3" sqref="C3"/>
    </sheetView>
  </sheetViews>
  <sheetFormatPr baseColWidth="10" defaultColWidth="8.83203125" defaultRowHeight="15"/>
  <cols>
    <col min="1" max="1" width="26" customWidth="1"/>
    <col min="2" max="2" width="4.6640625" customWidth="1"/>
    <col min="3" max="3" width="21.33203125" customWidth="1"/>
    <col min="4" max="14" width="11.1640625" customWidth="1"/>
    <col min="15" max="15" width="12.1640625" customWidth="1"/>
  </cols>
  <sheetData>
    <row r="1" spans="1:15" ht="32">
      <c r="A1" s="1" t="s">
        <v>73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</row>
    <row r="2" spans="1:15">
      <c r="A2" t="s">
        <v>86</v>
      </c>
      <c r="B2" t="s">
        <v>77</v>
      </c>
      <c r="C2" s="4">
        <f>SUMIF(Exportations!$E$10:$E$80,"Chiffre d'affaires MGA",Exportations!$G$10:$G$80)</f>
        <v>1399520970</v>
      </c>
      <c r="D2" s="4">
        <f>SUMIF(Exportations!$E$10:$E$80,"Chiffre d'affaires MGA",Exportations!$H$10:$H$80)</f>
        <v>1388271175</v>
      </c>
      <c r="E2" s="4">
        <f>SUMIF(Exportations!$E$10:$E$80,"Chiffre d'affaires MGA",Exportations!$I$10:$I$80)</f>
        <v>1373368915</v>
      </c>
      <c r="F2" s="4">
        <f>SUMIF(Exportations!$E$10:$E$80,"Chiffre d'affaires MGA",Exportations!$J$10:$J$80)</f>
        <v>1226711920</v>
      </c>
      <c r="G2" s="4">
        <f>SUMIF(Exportations!$E$10:$E$80,"Chiffre d'affaires MGA",Exportations!$K$10:$K$80)</f>
        <v>1348030455</v>
      </c>
      <c r="H2" s="4">
        <f>SUMIF(Exportations!$E$10:$E$80,"Chiffre d'affaires MGA",Exportations!$L$10:$L$80)</f>
        <v>1354532225</v>
      </c>
      <c r="I2" s="4">
        <f>SUMIF(Exportations!$E$10:$E$80,"Chiffre d'affaires MGA",Exportations!$M$10:$M$80)</f>
        <v>1330905560</v>
      </c>
      <c r="J2" s="4">
        <f>SUMIF(Exportations!$E$10:$E$80,"Chiffre d'affaires MGA",Exportations!$N$10:$N$80)</f>
        <v>1411813090</v>
      </c>
      <c r="K2" s="4">
        <f>SUMIF(Exportations!$E$10:$E$80,"Chiffre d'affaires MGA",Exportations!$O$10:$O$80)</f>
        <v>1273906740</v>
      </c>
      <c r="L2" s="4">
        <f>SUMIF(Exportations!$E$10:$E$80,"Chiffre d'affaires MGA",Exportations!$P$10:$P$80)</f>
        <v>1353034860</v>
      </c>
      <c r="M2" s="4">
        <f>SUMIF(Exportations!$E$10:$E$80,"Chiffre d'affaires MGA",Exportations!$Q$10:$Q$80)</f>
        <v>1202432010</v>
      </c>
      <c r="N2" s="4">
        <f>SUMIF(Exportations!$E$10:$E$80,"Chiffre d'affaires MGA",Exportations!$R$10:$R$80)</f>
        <v>1393382610</v>
      </c>
      <c r="O2" s="4">
        <f>SUM(C2:N2)</f>
        <v>16055910530</v>
      </c>
    </row>
    <row r="3" spans="1:15">
      <c r="A3" t="s">
        <v>87</v>
      </c>
      <c r="B3" t="s">
        <v>77</v>
      </c>
      <c r="C3" s="4">
        <f>SUMIF(Charges!$A$2:$A$26,"PRODUCTION",Charges!$E$2:$E$26)+SUMIF(Charges!$A$2:$A$26,"ADMINISTRATION",Charges!$E$2:$E$26)-SUMIF(Charges!$B$2:$B$26,"Salaires administratifs",Charges!$E$2:$E$26)+SUMIF(Charges!$A$2:$A$26,"LOGISTIQUE",Charges!$E$2:$E$26)+SUMIF(Charges!$A$2:$A$26,"SECURITE",Charges!$E$2:$E$26)+SUMIF(Charges!$A$2:$A$26,"FISCAL",Charges!$E$2:$E$26)+C5+Amortissements!E13</f>
        <v>616643509.80957353</v>
      </c>
      <c r="D3" s="4">
        <f>SUMIF(Charges!$A$2:$A$26,"PRODUCTION",Charges!$F$2:$F$26)+SUMIF(Charges!$A$2:$A$26,"ADMINISTRATION",Charges!$F$2:$F$26)-SUMIF(Charges!$B$2:$B$26,"Salaires administratifs",Charges!$F$2:$F$26)+SUMIF(Charges!$A$2:$A$26,"LOGISTIQUE",Charges!$F$2:$F$26)+SUMIF(Charges!$A$2:$A$26,"SECURITE",Charges!$F$2:$F$26)+SUMIF(Charges!$A$2:$A$26,"FISCAL",Charges!$F$2:$F$26)+D5+Amortissements!F13</f>
        <v>631407874.80957353</v>
      </c>
      <c r="E3" s="4">
        <f>SUMIF(Charges!$A$2:$A$26,"PRODUCTION",Charges!$G$2:$G$26)+SUMIF(Charges!$A$2:$A$26,"ADMINISTRATION",Charges!$G$2:$G$26)-SUMIF(Charges!$B$2:$B$26,"Salaires administratifs",Charges!$G$2:$G$26)+SUMIF(Charges!$A$2:$A$26,"LOGISTIQUE",Charges!$G$2:$G$26)+SUMIF(Charges!$A$2:$A$26,"SECURITE",Charges!$G$2:$G$26)+SUMIF(Charges!$A$2:$A$26,"FISCAL",Charges!$G$2:$G$26)+E5+Amortissements!G13</f>
        <v>642734574.80957353</v>
      </c>
      <c r="F3" s="4">
        <f>SUMIF(Charges!$A$2:$A$26,"PRODUCTION",Charges!$H$2:$H$26)+SUMIF(Charges!$A$2:$A$26,"ADMINISTRATION",Charges!$H$2:$H$26)-SUMIF(Charges!$B$2:$B$26,"Salaires administratifs",Charges!$H$2:$H$26)+SUMIF(Charges!$A$2:$A$26,"LOGISTIQUE",Charges!$H$2:$H$26)+SUMIF(Charges!$A$2:$A$26,"SECURITE",Charges!$H$2:$H$26)+SUMIF(Charges!$A$2:$A$26,"FISCAL",Charges!$H$2:$H$26)+F5+Amortissements!H13</f>
        <v>610409204.80957353</v>
      </c>
      <c r="G3" s="4">
        <f>SUMIF(Charges!$A$2:$A$26,"PRODUCTION",Charges!$I$2:$I$26)+SUMIF(Charges!$A$2:$A$26,"ADMINISTRATION",Charges!$I$2:$I$26)-SUMIF(Charges!$B$2:$B$26,"Salaires administratifs",Charges!$I$2:$I$26)+SUMIF(Charges!$A$2:$A$26,"LOGISTIQUE",Charges!$I$2:$I$26)+SUMIF(Charges!$A$2:$A$26,"SECURITE",Charges!$I$2:$I$26)+SUMIF(Charges!$A$2:$A$26,"FISCAL",Charges!$I$2:$I$26)+G5+Amortissements!I13</f>
        <v>641152224.80957353</v>
      </c>
      <c r="H3" s="4">
        <f>SUMIF(Charges!$A$2:$A$26,"PRODUCTION",Charges!$J$2:$J$26)+SUMIF(Charges!$A$2:$A$26,"ADMINISTRATION",Charges!$J$2:$J$26)-SUMIF(Charges!$B$2:$B$26,"Salaires administratifs",Charges!$J$2:$J$26)+SUMIF(Charges!$A$2:$A$26,"LOGISTIQUE",Charges!$J$2:$J$26)+SUMIF(Charges!$A$2:$A$26,"SECURITE",Charges!$J$2:$J$26)+SUMIF(Charges!$A$2:$A$26,"FISCAL",Charges!$J$2:$J$26)+H5+Amortissements!J13</f>
        <v>614375474.80957353</v>
      </c>
      <c r="I3" s="4">
        <f>SUMIF(Charges!$A$2:$A$26,"PRODUCTION",Charges!$K$2:$K$26)+SUMIF(Charges!$A$2:$A$26,"ADMINISTRATION",Charges!$K$2:$K$26)-SUMIF(Charges!$B$2:$B$26,"Salaires administratifs",Charges!$K$2:$K$26)+SUMIF(Charges!$A$2:$A$26,"LOGISTIQUE",Charges!$K$2:$K$26)+SUMIF(Charges!$A$2:$A$26,"SECURITE",Charges!$K$2:$K$26)+SUMIF(Charges!$A$2:$A$26,"FISCAL",Charges!$K$2:$K$26)+I5+Amortissements!K13</f>
        <v>620120444.80957353</v>
      </c>
      <c r="J3" s="4">
        <f>SUMIF(Charges!$A$2:$A$26,"PRODUCTION",Charges!$L$2:$L$26)+SUMIF(Charges!$A$2:$A$26,"ADMINISTRATION",Charges!$L$2:$L$26)-SUMIF(Charges!$B$2:$B$26,"Salaires administratifs",Charges!$L$2:$L$26)+SUMIF(Charges!$A$2:$A$26,"LOGISTIQUE",Charges!$L$2:$L$26)+SUMIF(Charges!$A$2:$A$26,"SECURITE",Charges!$L$2:$L$26)+SUMIF(Charges!$A$2:$A$26,"FISCAL",Charges!$L$2:$L$26)+J5+Amortissements!L13</f>
        <v>624116744.80957353</v>
      </c>
      <c r="K3" s="4">
        <f>SUMIF(Charges!$A$2:$A$26,"PRODUCTION",Charges!$M$2:$M$26)+SUMIF(Charges!$A$2:$A$26,"ADMINISTRATION",Charges!$M$2:$M$26)-SUMIF(Charges!$B$2:$B$26,"Salaires administratifs",Charges!$M$2:$M$26)+SUMIF(Charges!$A$2:$A$26,"LOGISTIQUE",Charges!$M$2:$M$26)+SUMIF(Charges!$A$2:$A$26,"SECURITE",Charges!$M$2:$M$26)+SUMIF(Charges!$A$2:$A$26,"FISCAL",Charges!$M$2:$M$26)+K5+Amortissements!M13</f>
        <v>602683024.80957353</v>
      </c>
      <c r="L3" s="4">
        <f>SUMIF(Charges!$A$2:$A$26,"PRODUCTION",Charges!$N$2:$N$26)+SUMIF(Charges!$A$2:$A$26,"ADMINISTRATION",Charges!$N$2:$N$26)-SUMIF(Charges!$B$2:$B$26,"Salaires administratifs",Charges!$N$2:$N$26)+SUMIF(Charges!$A$2:$A$26,"LOGISTIQUE",Charges!$N$2:$N$26)+SUMIF(Charges!$A$2:$A$26,"SECURITE",Charges!$N$2:$N$26)+SUMIF(Charges!$A$2:$A$26,"FISCAL",Charges!$N$2:$N$26)+L5+Amortissements!N13</f>
        <v>613816454.80957353</v>
      </c>
      <c r="M3" s="4">
        <f>SUMIF(Charges!$A$2:$A$26,"PRODUCTION",Charges!$O$2:$O$26)+SUMIF(Charges!$A$2:$A$26,"ADMINISTRATION",Charges!$O$2:$O$26)-SUMIF(Charges!$B$2:$B$26,"Salaires administratifs",Charges!$O$2:$O$26)+SUMIF(Charges!$A$2:$A$26,"LOGISTIQUE",Charges!$O$2:$O$26)+SUMIF(Charges!$A$2:$A$26,"SECURITE",Charges!$O$2:$O$26)+SUMIF(Charges!$A$2:$A$26,"FISCAL",Charges!$O$2:$O$26)+M5+Amortissements!O13</f>
        <v>632391934.80957353</v>
      </c>
      <c r="N3" s="4">
        <f>SUMIF(Charges!$A$2:$A$26,"PRODUCTION",Charges!$P$2:$P$26)+SUMIF(Charges!$A$2:$A$26,"ADMINISTRATION",Charges!$P$2:$P$26)-SUMIF(Charges!$B$2:$B$26,"Salaires administratifs",Charges!$P$2:$P$26)+SUMIF(Charges!$A$2:$A$26,"LOGISTIQUE",Charges!$P$2:$P$26)+SUMIF(Charges!$A$2:$A$26,"SECURITE",Charges!$P$2:$P$26)+SUMIF(Charges!$A$2:$A$26,"FISCAL",Charges!$P$2:$P$26)+N5+Amortissements!P13</f>
        <v>627196744.80957353</v>
      </c>
      <c r="O3" s="4">
        <f>SUM(C3:N3)</f>
        <v>7477048212.7148809</v>
      </c>
    </row>
    <row r="4" spans="1:15">
      <c r="A4" t="s">
        <v>88</v>
      </c>
      <c r="B4" t="s">
        <v>77</v>
      </c>
      <c r="C4" s="4">
        <f>SUM('Frais Export'!E2:E50)</f>
        <v>179664779</v>
      </c>
      <c r="D4" s="4">
        <f>SUM('Frais Export'!F2:F50)</f>
        <v>194350463</v>
      </c>
      <c r="E4" s="4">
        <f>SUM('Frais Export'!G2:G50)</f>
        <v>200183490</v>
      </c>
      <c r="F4" s="4">
        <f>SUM('Frais Export'!H2:H50)</f>
        <v>179593076</v>
      </c>
      <c r="G4" s="4">
        <f>SUM('Frais Export'!I2:I50)</f>
        <v>192380495</v>
      </c>
      <c r="H4" s="4">
        <f>SUM('Frais Export'!J2:J50)</f>
        <v>190250120</v>
      </c>
      <c r="I4" s="4">
        <f>SUM('Frais Export'!K2:K50)</f>
        <v>185474150</v>
      </c>
      <c r="J4" s="4">
        <f>SUM('Frais Export'!L2:L50)</f>
        <v>195120709</v>
      </c>
      <c r="K4" s="4">
        <f>SUM('Frais Export'!M2:M50)</f>
        <v>191316048</v>
      </c>
      <c r="L4" s="4">
        <f>SUM('Frais Export'!N2:N50)</f>
        <v>199090214</v>
      </c>
      <c r="M4" s="4">
        <f>SUM('Frais Export'!O2:O50)</f>
        <v>187791544</v>
      </c>
      <c r="N4" s="4">
        <f>SUM('Frais Export'!P2:P50)</f>
        <v>198934243</v>
      </c>
      <c r="O4" s="4">
        <f>SUM(C4:N4)</f>
        <v>2294149331</v>
      </c>
    </row>
    <row r="5" spans="1:15">
      <c r="A5" t="s">
        <v>89</v>
      </c>
      <c r="B5" t="s">
        <v>77</v>
      </c>
      <c r="C5" s="4">
        <f>SUM(Employes!$I$2:$I$100)</f>
        <v>252921620</v>
      </c>
      <c r="D5" s="4">
        <f>SUM(Employes!$I$2:$I$100)</f>
        <v>252921620</v>
      </c>
      <c r="E5" s="4">
        <f>SUM(Employes!$I$2:$I$100)</f>
        <v>252921620</v>
      </c>
      <c r="F5" s="4">
        <f>SUM(Employes!$I$2:$I$100)</f>
        <v>252921620</v>
      </c>
      <c r="G5" s="4">
        <f>SUM(Employes!$I$2:$I$100)</f>
        <v>252921620</v>
      </c>
      <c r="H5" s="4">
        <f>SUM(Employes!$I$2:$I$100)</f>
        <v>252921620</v>
      </c>
      <c r="I5" s="4">
        <f>SUM(Employes!$I$2:$I$100)</f>
        <v>252921620</v>
      </c>
      <c r="J5" s="4">
        <f>SUM(Employes!$I$2:$I$100)</f>
        <v>252921620</v>
      </c>
      <c r="K5" s="4">
        <f>SUM(Employes!$I$2:$I$100)</f>
        <v>252921620</v>
      </c>
      <c r="L5" s="4">
        <f>SUM(Employes!$I$2:$I$100)</f>
        <v>252921620</v>
      </c>
      <c r="M5" s="4">
        <f>SUM(Employes!$I$2:$I$100)</f>
        <v>252921620</v>
      </c>
      <c r="N5" s="4">
        <f>SUM(Employes!$I$2:$I$100)</f>
        <v>252921620</v>
      </c>
      <c r="O5" s="4">
        <f>SUM(C5:N5)</f>
        <v>3035059440</v>
      </c>
    </row>
    <row r="6" spans="1:15">
      <c r="A6" t="s">
        <v>90</v>
      </c>
      <c r="B6" t="s">
        <v>77</v>
      </c>
      <c r="C6" s="4">
        <f t="shared" ref="C6:N6" si="0">C2-C3-C4</f>
        <v>603212681.19042647</v>
      </c>
      <c r="D6" s="4">
        <f t="shared" si="0"/>
        <v>562512837.19042647</v>
      </c>
      <c r="E6" s="4">
        <f t="shared" si="0"/>
        <v>530450850.19042647</v>
      </c>
      <c r="F6" s="4">
        <f t="shared" si="0"/>
        <v>436709639.19042647</v>
      </c>
      <c r="G6" s="4">
        <f t="shared" si="0"/>
        <v>514497735.19042647</v>
      </c>
      <c r="H6" s="4">
        <f t="shared" si="0"/>
        <v>549906630.19042647</v>
      </c>
      <c r="I6" s="4">
        <f t="shared" si="0"/>
        <v>525310965.19042647</v>
      </c>
      <c r="J6" s="4">
        <f t="shared" si="0"/>
        <v>592575636.19042647</v>
      </c>
      <c r="K6" s="4">
        <f t="shared" si="0"/>
        <v>479907667.19042647</v>
      </c>
      <c r="L6" s="4">
        <f t="shared" si="0"/>
        <v>540128191.19042647</v>
      </c>
      <c r="M6" s="4">
        <f t="shared" si="0"/>
        <v>382248531.19042647</v>
      </c>
      <c r="N6" s="4">
        <f t="shared" si="0"/>
        <v>567251622.19042647</v>
      </c>
      <c r="O6" s="4">
        <f>SUM(C6:N6)</f>
        <v>6284712986.2851191</v>
      </c>
    </row>
    <row r="7" spans="1:15">
      <c r="A7" t="s">
        <v>91</v>
      </c>
      <c r="B7" t="s">
        <v>8</v>
      </c>
      <c r="C7" s="6">
        <f t="shared" ref="C7:O7" si="1">IFERROR(C6/C2,0)</f>
        <v>0.43101367833768611</v>
      </c>
      <c r="D7" s="6">
        <f t="shared" si="1"/>
        <v>0.4051894524068228</v>
      </c>
      <c r="E7" s="6">
        <f t="shared" si="1"/>
        <v>0.38624061197018317</v>
      </c>
      <c r="F7" s="6">
        <f t="shared" si="1"/>
        <v>0.35600015950805014</v>
      </c>
      <c r="G7" s="6">
        <f t="shared" si="1"/>
        <v>0.38166625485507039</v>
      </c>
      <c r="H7" s="6">
        <f t="shared" si="1"/>
        <v>0.40597530279534433</v>
      </c>
      <c r="I7" s="6">
        <f t="shared" si="1"/>
        <v>0.39470190896972918</v>
      </c>
      <c r="J7" s="6">
        <f t="shared" si="1"/>
        <v>0.41972669072676361</v>
      </c>
      <c r="K7" s="6">
        <f t="shared" si="1"/>
        <v>0.37672119325660092</v>
      </c>
      <c r="L7" s="6">
        <f t="shared" si="1"/>
        <v>0.39919754261943147</v>
      </c>
      <c r="M7" s="6">
        <f t="shared" si="1"/>
        <v>0.31789617043746737</v>
      </c>
      <c r="N7" s="6">
        <f t="shared" si="1"/>
        <v>0.40710399148043513</v>
      </c>
      <c r="O7" s="6">
        <f t="shared" si="1"/>
        <v>0.39142675680350336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4"/>
  <sheetViews>
    <sheetView workbookViewId="0"/>
  </sheetViews>
  <sheetFormatPr baseColWidth="10" defaultColWidth="8.83203125" defaultRowHeight="15"/>
  <cols>
    <col min="1" max="1" width="43" customWidth="1"/>
    <col min="2" max="14" width="14" customWidth="1"/>
  </cols>
  <sheetData>
    <row r="1" spans="1:14" ht="19">
      <c r="A1" s="56" t="s">
        <v>334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</row>
    <row r="2" spans="1:14">
      <c r="A2" s="57" t="s">
        <v>335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4" spans="1:14">
      <c r="A4" s="34" t="s">
        <v>336</v>
      </c>
      <c r="B4" s="34" t="s">
        <v>45</v>
      </c>
      <c r="C4" s="34" t="s">
        <v>46</v>
      </c>
      <c r="D4" s="34" t="s">
        <v>47</v>
      </c>
      <c r="E4" s="34" t="s">
        <v>48</v>
      </c>
      <c r="F4" s="34" t="s">
        <v>49</v>
      </c>
      <c r="G4" s="34" t="s">
        <v>50</v>
      </c>
      <c r="H4" s="34" t="s">
        <v>51</v>
      </c>
      <c r="I4" s="34" t="s">
        <v>52</v>
      </c>
      <c r="J4" s="34" t="s">
        <v>53</v>
      </c>
      <c r="K4" s="34" t="s">
        <v>54</v>
      </c>
      <c r="L4" s="34" t="s">
        <v>55</v>
      </c>
      <c r="M4" s="34" t="s">
        <v>56</v>
      </c>
      <c r="N4" s="34" t="s">
        <v>57</v>
      </c>
    </row>
    <row r="5" spans="1:14">
      <c r="A5" t="s">
        <v>337</v>
      </c>
      <c r="B5" s="4">
        <f>IF(Synthese!C2="",0,Synthese!C2)</f>
        <v>1399520970</v>
      </c>
      <c r="C5" s="4">
        <f>IF(Synthese!D2="",0,Synthese!D2)</f>
        <v>1388271175</v>
      </c>
      <c r="D5" s="4">
        <f>IF(Synthese!E2="",0,Synthese!E2)</f>
        <v>1373368915</v>
      </c>
      <c r="E5" s="4">
        <f>IF(Synthese!F2="",0,Synthese!F2)</f>
        <v>1226711920</v>
      </c>
      <c r="F5" s="4">
        <f>IF(Synthese!G2="",0,Synthese!G2)</f>
        <v>1348030455</v>
      </c>
      <c r="G5" s="4">
        <f>IF(Synthese!H2="",0,Synthese!H2)</f>
        <v>1354532225</v>
      </c>
      <c r="H5" s="4">
        <f>IF(Synthese!I2="",0,Synthese!I2)</f>
        <v>1330905560</v>
      </c>
      <c r="I5" s="4">
        <f>IF(Synthese!J2="",0,Synthese!J2)</f>
        <v>1411813090</v>
      </c>
      <c r="J5" s="4">
        <f>IF(Synthese!K2="",0,Synthese!K2)</f>
        <v>1273906740</v>
      </c>
      <c r="K5" s="4">
        <f>IF(Synthese!L2="",0,Synthese!L2)</f>
        <v>1353034860</v>
      </c>
      <c r="L5" s="4">
        <f>IF(Synthese!M2="",0,Synthese!M2)</f>
        <v>1202432010</v>
      </c>
      <c r="M5" s="4">
        <f>IF(Synthese!N2="",0,Synthese!N2)</f>
        <v>1393382610</v>
      </c>
      <c r="N5" s="4">
        <f t="shared" ref="N5:N33" si="0">SUM(B5:M5)</f>
        <v>16055910530</v>
      </c>
    </row>
    <row r="6" spans="1:14">
      <c r="A6" t="s">
        <v>338</v>
      </c>
      <c r="B6" s="4">
        <f>0</f>
        <v>0</v>
      </c>
      <c r="C6" s="4">
        <f>0</f>
        <v>0</v>
      </c>
      <c r="D6" s="4">
        <f>0</f>
        <v>0</v>
      </c>
      <c r="E6" s="4">
        <f>0</f>
        <v>0</v>
      </c>
      <c r="F6" s="4">
        <f>0</f>
        <v>0</v>
      </c>
      <c r="G6" s="4">
        <f>0</f>
        <v>0</v>
      </c>
      <c r="H6" s="4">
        <f>0</f>
        <v>0</v>
      </c>
      <c r="I6" s="4">
        <f>0</f>
        <v>0</v>
      </c>
      <c r="J6" s="4">
        <f>0</f>
        <v>0</v>
      </c>
      <c r="K6" s="4">
        <f>0</f>
        <v>0</v>
      </c>
      <c r="L6" s="4">
        <f>0</f>
        <v>0</v>
      </c>
      <c r="M6" s="4">
        <f>0</f>
        <v>0</v>
      </c>
      <c r="N6" s="4">
        <f t="shared" si="0"/>
        <v>0</v>
      </c>
    </row>
    <row r="7" spans="1:14">
      <c r="A7" t="s">
        <v>339</v>
      </c>
      <c r="B7" s="4">
        <f>0</f>
        <v>0</v>
      </c>
      <c r="C7" s="4">
        <f>0</f>
        <v>0</v>
      </c>
      <c r="D7" s="4">
        <f>0</f>
        <v>0</v>
      </c>
      <c r="E7" s="4">
        <f>0</f>
        <v>0</v>
      </c>
      <c r="F7" s="4">
        <f>0</f>
        <v>0</v>
      </c>
      <c r="G7" s="4">
        <f>0</f>
        <v>0</v>
      </c>
      <c r="H7" s="4">
        <f>0</f>
        <v>0</v>
      </c>
      <c r="I7" s="4">
        <f>0</f>
        <v>0</v>
      </c>
      <c r="J7" s="4">
        <f>0</f>
        <v>0</v>
      </c>
      <c r="K7" s="4">
        <f>0</f>
        <v>0</v>
      </c>
      <c r="L7" s="4">
        <f>0</f>
        <v>0</v>
      </c>
      <c r="M7" s="4">
        <f>0</f>
        <v>0</v>
      </c>
      <c r="N7" s="4">
        <f t="shared" si="0"/>
        <v>0</v>
      </c>
    </row>
    <row r="8" spans="1:14">
      <c r="A8" s="35" t="s">
        <v>340</v>
      </c>
      <c r="B8" s="33">
        <f t="shared" ref="B8:M8" si="1">SUM(B5:B7)</f>
        <v>1399520970</v>
      </c>
      <c r="C8" s="33">
        <f t="shared" si="1"/>
        <v>1388271175</v>
      </c>
      <c r="D8" s="33">
        <f t="shared" si="1"/>
        <v>1373368915</v>
      </c>
      <c r="E8" s="33">
        <f t="shared" si="1"/>
        <v>1226711920</v>
      </c>
      <c r="F8" s="33">
        <f t="shared" si="1"/>
        <v>1348030455</v>
      </c>
      <c r="G8" s="33">
        <f t="shared" si="1"/>
        <v>1354532225</v>
      </c>
      <c r="H8" s="33">
        <f t="shared" si="1"/>
        <v>1330905560</v>
      </c>
      <c r="I8" s="33">
        <f t="shared" si="1"/>
        <v>1411813090</v>
      </c>
      <c r="J8" s="33">
        <f t="shared" si="1"/>
        <v>1273906740</v>
      </c>
      <c r="K8" s="33">
        <f t="shared" si="1"/>
        <v>1353034860</v>
      </c>
      <c r="L8" s="33">
        <f t="shared" si="1"/>
        <v>1202432010</v>
      </c>
      <c r="M8" s="33">
        <f t="shared" si="1"/>
        <v>1393382610</v>
      </c>
      <c r="N8" s="33">
        <f t="shared" si="0"/>
        <v>16055910530</v>
      </c>
    </row>
    <row r="9" spans="1:14">
      <c r="A9" t="s">
        <v>341</v>
      </c>
      <c r="B9" s="4">
        <f>SUMIF(Charges!$A$2:$A$26,"PRODUCTION",Charges!$E$2:$E$26)</f>
        <v>250032860</v>
      </c>
      <c r="C9" s="4">
        <f>SUMIF(Charges!$A$2:$A$26,"PRODUCTION",Charges!$F$2:$F$26)</f>
        <v>260452500</v>
      </c>
      <c r="D9" s="4">
        <f>SUMIF(Charges!$A$2:$A$26,"PRODUCTION",Charges!$G$2:$G$26)</f>
        <v>268446640</v>
      </c>
      <c r="E9" s="4">
        <f>SUMIF(Charges!$A$2:$A$26,"PRODUCTION",Charges!$H$2:$H$26)</f>
        <v>242438350</v>
      </c>
      <c r="F9" s="4">
        <f>SUMIF(Charges!$A$2:$A$26,"PRODUCTION",Charges!$I$2:$I$26)</f>
        <v>271314890</v>
      </c>
      <c r="G9" s="4">
        <f>SUMIF(Charges!$A$2:$A$26,"PRODUCTION",Charges!$J$2:$J$26)</f>
        <v>243530980</v>
      </c>
      <c r="H9" s="4">
        <f>SUMIF(Charges!$A$2:$A$26,"PRODUCTION",Charges!$K$2:$K$26)</f>
        <v>254881550</v>
      </c>
      <c r="I9" s="4">
        <f>SUMIF(Charges!$A$2:$A$26,"PRODUCTION",Charges!$L$2:$L$26)</f>
        <v>254871540</v>
      </c>
      <c r="J9" s="4">
        <f>SUMIF(Charges!$A$2:$A$26,"PRODUCTION",Charges!$M$2:$M$26)</f>
        <v>234834600</v>
      </c>
      <c r="K9" s="4">
        <f>SUMIF(Charges!$A$2:$A$26,"PRODUCTION",Charges!$N$2:$N$26)</f>
        <v>249797240</v>
      </c>
      <c r="L9" s="4">
        <f>SUMIF(Charges!$A$2:$A$26,"PRODUCTION",Charges!$O$2:$O$26)</f>
        <v>269434550</v>
      </c>
      <c r="M9" s="4">
        <f>SUMIF(Charges!$A$2:$A$26,"PRODUCTION",Charges!$P$2:$P$26)</f>
        <v>254635920</v>
      </c>
      <c r="N9" s="4">
        <f t="shared" si="0"/>
        <v>3054671620</v>
      </c>
    </row>
    <row r="10" spans="1:14">
      <c r="A10" t="s">
        <v>342</v>
      </c>
      <c r="B10" s="4">
        <f>SUMIF(Charges!$A$2:$A$26,"ADMINISTRATION",Charges!$E$2:$E$26)-SUMIF(Charges!$B$2:$B$26,"Salaires administratifs",Charges!$E$2:$E$26)+SUMIF(Charges!$A$2:$A$26,"LOGISTIQUE",Charges!$E$2:$E$26)+SUMIF(Charges!$A$2:$A$26,"SECURITE",Charges!$E$2:$E$26)+SUM('Frais Export'!$E$2:$E$50)</f>
        <v>267793589</v>
      </c>
      <c r="C10" s="4">
        <f>SUMIF(Charges!$A$2:$A$26,"ADMINISTRATION",Charges!$F$2:$F$26)-SUMIF(Charges!$B$2:$B$26,"Salaires administratifs",Charges!$F$2:$F$26)+SUMIF(Charges!$A$2:$A$26,"LOGISTIQUE",Charges!$F$2:$F$26)+SUMIF(Charges!$A$2:$A$26,"SECURITE",Charges!$F$2:$F$26)+SUM('Frais Export'!$F$2:$F$50)</f>
        <v>280448013</v>
      </c>
      <c r="D10" s="4">
        <f>SUMIF(Charges!$A$2:$A$26,"ADMINISTRATION",Charges!$G$2:$G$26)-SUMIF(Charges!$B$2:$B$26,"Salaires administratifs",Charges!$G$2:$G$26)+SUMIF(Charges!$A$2:$A$26,"LOGISTIQUE",Charges!$G$2:$G$26)+SUMIF(Charges!$A$2:$A$26,"SECURITE",Charges!$G$2:$G$26)+SUM('Frais Export'!$G$2:$G$50)</f>
        <v>290739340</v>
      </c>
      <c r="E10" s="4">
        <f>SUMIF(Charges!$A$2:$A$26,"ADMINISTRATION",Charges!$H$2:$H$26)-SUMIF(Charges!$B$2:$B$26,"Salaires administratifs",Charges!$H$2:$H$26)+SUMIF(Charges!$A$2:$A$26,"LOGISTIQUE",Charges!$H$2:$H$26)+SUMIF(Charges!$A$2:$A$26,"SECURITE",Charges!$H$2:$H$26)+SUM('Frais Export'!$H$2:$H$50)</f>
        <v>265296386</v>
      </c>
      <c r="F10" s="4">
        <f>SUMIF(Charges!$A$2:$A$26,"ADMINISTRATION",Charges!$I$2:$I$26)-SUMIF(Charges!$B$2:$B$26,"Salaires administratifs",Charges!$I$2:$I$26)+SUMIF(Charges!$A$2:$A$26,"LOGISTIQUE",Charges!$I$2:$I$26)+SUMIF(Charges!$A$2:$A$26,"SECURITE",Charges!$I$2:$I$26)+SUM('Frais Export'!$I$2:$I$50)</f>
        <v>278263215</v>
      </c>
      <c r="G10" s="4">
        <f>SUMIF(Charges!$A$2:$A$26,"ADMINISTRATION",Charges!$J$2:$J$26)-SUMIF(Charges!$B$2:$B$26,"Salaires administratifs",Charges!$J$2:$J$26)+SUMIF(Charges!$A$2:$A$26,"LOGISTIQUE",Charges!$J$2:$J$26)+SUMIF(Charges!$A$2:$A$26,"SECURITE",Charges!$J$2:$J$26)+SUM('Frais Export'!$J$2:$J$50)</f>
        <v>280074470</v>
      </c>
      <c r="H10" s="4">
        <f>SUMIF(Charges!$A$2:$A$26,"ADMINISTRATION",Charges!$K$2:$K$26)-SUMIF(Charges!$B$2:$B$26,"Salaires administratifs",Charges!$K$2:$K$26)+SUMIF(Charges!$A$2:$A$26,"LOGISTIQUE",Charges!$K$2:$K$26)+SUMIF(Charges!$A$2:$A$26,"SECURITE",Charges!$K$2:$K$26)+SUM('Frais Export'!$K$2:$K$50)</f>
        <v>266505870</v>
      </c>
      <c r="I10" s="4">
        <f>SUMIF(Charges!$A$2:$A$26,"ADMINISTRATION",Charges!$L$2:$L$26)-SUMIF(Charges!$B$2:$B$26,"Salaires administratifs",Charges!$L$2:$L$26)+SUMIF(Charges!$A$2:$A$26,"LOGISTIQUE",Charges!$L$2:$L$26)+SUMIF(Charges!$A$2:$A$26,"SECURITE",Charges!$L$2:$L$26)+SUM('Frais Export'!$L$2:$L$50)</f>
        <v>282924579</v>
      </c>
      <c r="J10" s="4">
        <f>SUMIF(Charges!$A$2:$A$26,"ADMINISTRATION",Charges!$M$2:$M$26)-SUMIF(Charges!$B$2:$B$26,"Salaires administratifs",Charges!$M$2:$M$26)+SUMIF(Charges!$A$2:$A$26,"LOGISTIQUE",Charges!$M$2:$M$26)+SUMIF(Charges!$A$2:$A$26,"SECURITE",Charges!$M$2:$M$26)+SUM('Frais Export'!$M$2:$M$50)</f>
        <v>278569368</v>
      </c>
      <c r="K10" s="4">
        <f>SUMIF(Charges!$A$2:$A$26,"ADMINISTRATION",Charges!$N$2:$N$26)-SUMIF(Charges!$B$2:$B$26,"Salaires administratifs",Charges!$N$2:$N$26)+SUMIF(Charges!$A$2:$A$26,"LOGISTIQUE",Charges!$N$2:$N$26)+SUMIF(Charges!$A$2:$A$26,"SECURITE",Charges!$N$2:$N$26)+SUM('Frais Export'!$N$2:$N$50)</f>
        <v>282225574</v>
      </c>
      <c r="L10" s="4">
        <f>SUMIF(Charges!$A$2:$A$26,"ADMINISTRATION",Charges!$O$2:$O$26)-SUMIF(Charges!$B$2:$B$26,"Salaires administratifs",Charges!$O$2:$O$26)+SUMIF(Charges!$A$2:$A$26,"LOGISTIQUE",Charges!$O$2:$O$26)+SUMIF(Charges!$A$2:$A$26,"SECURITE",Charges!$O$2:$O$26)+SUM('Frais Export'!$O$2:$O$50)</f>
        <v>269518574</v>
      </c>
      <c r="M10" s="4">
        <f>SUMIF(Charges!$A$2:$A$26,"ADMINISTRATION",Charges!$P$2:$P$26)-SUMIF(Charges!$B$2:$B$26,"Salaires administratifs",Charges!$P$2:$P$26)+SUMIF(Charges!$A$2:$A$26,"LOGISTIQUE",Charges!$P$2:$P$26)+SUMIF(Charges!$A$2:$A$26,"SECURITE",Charges!$P$2:$P$26)+SUM('Frais Export'!$P$2:$P$50)</f>
        <v>286806643</v>
      </c>
      <c r="N10" s="4">
        <f t="shared" si="0"/>
        <v>3329165621</v>
      </c>
    </row>
    <row r="11" spans="1:14">
      <c r="A11" s="35" t="s">
        <v>343</v>
      </c>
      <c r="B11" s="33">
        <f t="shared" ref="B11:M11" si="2">SUM(B9:B10)</f>
        <v>517826449</v>
      </c>
      <c r="C11" s="33">
        <f t="shared" si="2"/>
        <v>540900513</v>
      </c>
      <c r="D11" s="33">
        <f t="shared" si="2"/>
        <v>559185980</v>
      </c>
      <c r="E11" s="33">
        <f t="shared" si="2"/>
        <v>507734736</v>
      </c>
      <c r="F11" s="33">
        <f t="shared" si="2"/>
        <v>549578105</v>
      </c>
      <c r="G11" s="33">
        <f t="shared" si="2"/>
        <v>523605450</v>
      </c>
      <c r="H11" s="33">
        <f t="shared" si="2"/>
        <v>521387420</v>
      </c>
      <c r="I11" s="33">
        <f t="shared" si="2"/>
        <v>537796119</v>
      </c>
      <c r="J11" s="33">
        <f t="shared" si="2"/>
        <v>513403968</v>
      </c>
      <c r="K11" s="33">
        <f t="shared" si="2"/>
        <v>532022814</v>
      </c>
      <c r="L11" s="33">
        <f t="shared" si="2"/>
        <v>538953124</v>
      </c>
      <c r="M11" s="33">
        <f t="shared" si="2"/>
        <v>541442563</v>
      </c>
      <c r="N11" s="33">
        <f t="shared" si="0"/>
        <v>6383837241</v>
      </c>
    </row>
    <row r="12" spans="1:14">
      <c r="A12" s="35" t="s">
        <v>344</v>
      </c>
      <c r="B12" s="33">
        <f t="shared" ref="B12:M12" si="3">B8-B11</f>
        <v>881694521</v>
      </c>
      <c r="C12" s="33">
        <f t="shared" si="3"/>
        <v>847370662</v>
      </c>
      <c r="D12" s="33">
        <f t="shared" si="3"/>
        <v>814182935</v>
      </c>
      <c r="E12" s="33">
        <f t="shared" si="3"/>
        <v>718977184</v>
      </c>
      <c r="F12" s="33">
        <f t="shared" si="3"/>
        <v>798452350</v>
      </c>
      <c r="G12" s="33">
        <f t="shared" si="3"/>
        <v>830926775</v>
      </c>
      <c r="H12" s="33">
        <f t="shared" si="3"/>
        <v>809518140</v>
      </c>
      <c r="I12" s="33">
        <f t="shared" si="3"/>
        <v>874016971</v>
      </c>
      <c r="J12" s="33">
        <f t="shared" si="3"/>
        <v>760502772</v>
      </c>
      <c r="K12" s="33">
        <f t="shared" si="3"/>
        <v>821012046</v>
      </c>
      <c r="L12" s="33">
        <f t="shared" si="3"/>
        <v>663478886</v>
      </c>
      <c r="M12" s="33">
        <f t="shared" si="3"/>
        <v>851940047</v>
      </c>
      <c r="N12" s="33">
        <f t="shared" si="0"/>
        <v>9672073289</v>
      </c>
    </row>
    <row r="13" spans="1:14">
      <c r="A13" t="s">
        <v>345</v>
      </c>
      <c r="B13" s="4">
        <f>0</f>
        <v>0</v>
      </c>
      <c r="C13" s="4">
        <f>0</f>
        <v>0</v>
      </c>
      <c r="D13" s="4">
        <f>0</f>
        <v>0</v>
      </c>
      <c r="E13" s="4">
        <f>0</f>
        <v>0</v>
      </c>
      <c r="F13" s="4">
        <f>0</f>
        <v>0</v>
      </c>
      <c r="G13" s="4">
        <f>0</f>
        <v>0</v>
      </c>
      <c r="H13" s="4">
        <f>0</f>
        <v>0</v>
      </c>
      <c r="I13" s="4">
        <f>0</f>
        <v>0</v>
      </c>
      <c r="J13" s="4">
        <f>0</f>
        <v>0</v>
      </c>
      <c r="K13" s="4">
        <f>0</f>
        <v>0</v>
      </c>
      <c r="L13" s="4">
        <f>0</f>
        <v>0</v>
      </c>
      <c r="M13" s="4">
        <f>0</f>
        <v>0</v>
      </c>
      <c r="N13" s="4">
        <f t="shared" si="0"/>
        <v>0</v>
      </c>
    </row>
    <row r="14" spans="1:14">
      <c r="A14" t="s">
        <v>346</v>
      </c>
      <c r="B14" s="4">
        <f>SUMIF(Charges!$A$2:$A$26,"FISCAL",Charges!$E$2:$E$26)</f>
        <v>21021770</v>
      </c>
      <c r="C14" s="4">
        <f>SUMIF(Charges!$A$2:$A$26,"FISCAL",Charges!$F$2:$F$26)</f>
        <v>23114630</v>
      </c>
      <c r="D14" s="4">
        <f>SUMIF(Charges!$A$2:$A$26,"FISCAL",Charges!$G$2:$G$26)</f>
        <v>21988890</v>
      </c>
      <c r="E14" s="4">
        <f>SUMIF(Charges!$A$2:$A$26,"FISCAL",Charges!$H$2:$H$26)</f>
        <v>20524350</v>
      </c>
      <c r="F14" s="4">
        <f>SUMIF(Charges!$A$2:$A$26,"FISCAL",Charges!$I$2:$I$26)</f>
        <v>22211420</v>
      </c>
      <c r="G14" s="4">
        <f>SUMIF(Charges!$A$2:$A$26,"FISCAL",Charges!$J$2:$J$26)</f>
        <v>19276950</v>
      </c>
      <c r="H14" s="4">
        <f>SUMIF(Charges!$A$2:$A$26,"FISCAL",Charges!$K$2:$K$26)</f>
        <v>22463980</v>
      </c>
      <c r="I14" s="4">
        <f>SUMIF(Charges!$A$2:$A$26,"FISCAL",Charges!$L$2:$L$26)</f>
        <v>19698140</v>
      </c>
      <c r="J14" s="4">
        <f>SUMIF(Charges!$A$2:$A$26,"FISCAL",Charges!$M$2:$M$26)</f>
        <v>18851910</v>
      </c>
      <c r="K14" s="4">
        <f>SUMIF(Charges!$A$2:$A$26,"FISCAL",Charges!$N$2:$N$26)</f>
        <v>19140660</v>
      </c>
      <c r="L14" s="4">
        <f>SUMIF(Charges!$A$2:$A$26,"FISCAL",Charges!$O$2:$O$26)</f>
        <v>19487160</v>
      </c>
      <c r="M14" s="4">
        <f>SUMIF(Charges!$A$2:$A$26,"FISCAL",Charges!$P$2:$P$26)</f>
        <v>22945230</v>
      </c>
      <c r="N14" s="4">
        <f t="shared" si="0"/>
        <v>250725090</v>
      </c>
    </row>
    <row r="15" spans="1:14">
      <c r="A15" t="s">
        <v>347</v>
      </c>
      <c r="B15" s="4">
        <f>IF(Synthese!C5="",0,Synthese!C5)</f>
        <v>252921620</v>
      </c>
      <c r="C15" s="4">
        <f>IF(Synthese!D5="",0,Synthese!D5)</f>
        <v>252921620</v>
      </c>
      <c r="D15" s="4">
        <f>IF(Synthese!E5="",0,Synthese!E5)</f>
        <v>252921620</v>
      </c>
      <c r="E15" s="4">
        <f>IF(Synthese!F5="",0,Synthese!F5)</f>
        <v>252921620</v>
      </c>
      <c r="F15" s="4">
        <f>IF(Synthese!G5="",0,Synthese!G5)</f>
        <v>252921620</v>
      </c>
      <c r="G15" s="4">
        <f>IF(Synthese!H5="",0,Synthese!H5)</f>
        <v>252921620</v>
      </c>
      <c r="H15" s="4">
        <f>IF(Synthese!I5="",0,Synthese!I5)</f>
        <v>252921620</v>
      </c>
      <c r="I15" s="4">
        <f>IF(Synthese!J5="",0,Synthese!J5)</f>
        <v>252921620</v>
      </c>
      <c r="J15" s="4">
        <f>IF(Synthese!K5="",0,Synthese!K5)</f>
        <v>252921620</v>
      </c>
      <c r="K15" s="4">
        <f>IF(Synthese!L5="",0,Synthese!L5)</f>
        <v>252921620</v>
      </c>
      <c r="L15" s="4">
        <f>IF(Synthese!M5="",0,Synthese!M5)</f>
        <v>252921620</v>
      </c>
      <c r="M15" s="4">
        <f>IF(Synthese!N5="",0,Synthese!N5)</f>
        <v>252921620</v>
      </c>
      <c r="N15" s="4">
        <f t="shared" si="0"/>
        <v>3035059440</v>
      </c>
    </row>
    <row r="16" spans="1:14">
      <c r="A16" s="35" t="s">
        <v>348</v>
      </c>
      <c r="B16" s="33">
        <f t="shared" ref="B16:M16" si="4">B12+B13-B14-B15</f>
        <v>607751131</v>
      </c>
      <c r="C16" s="33">
        <f t="shared" si="4"/>
        <v>571334412</v>
      </c>
      <c r="D16" s="33">
        <f t="shared" si="4"/>
        <v>539272425</v>
      </c>
      <c r="E16" s="33">
        <f t="shared" si="4"/>
        <v>445531214</v>
      </c>
      <c r="F16" s="33">
        <f t="shared" si="4"/>
        <v>523319310</v>
      </c>
      <c r="G16" s="33">
        <f t="shared" si="4"/>
        <v>558728205</v>
      </c>
      <c r="H16" s="33">
        <f t="shared" si="4"/>
        <v>534132540</v>
      </c>
      <c r="I16" s="33">
        <f t="shared" si="4"/>
        <v>601397211</v>
      </c>
      <c r="J16" s="33">
        <f t="shared" si="4"/>
        <v>488729242</v>
      </c>
      <c r="K16" s="33">
        <f t="shared" si="4"/>
        <v>548949766</v>
      </c>
      <c r="L16" s="33">
        <f t="shared" si="4"/>
        <v>391070106</v>
      </c>
      <c r="M16" s="33">
        <f t="shared" si="4"/>
        <v>576073197</v>
      </c>
      <c r="N16" s="33">
        <f t="shared" si="0"/>
        <v>6386288759</v>
      </c>
    </row>
    <row r="17" spans="1:14">
      <c r="A17" t="s">
        <v>349</v>
      </c>
      <c r="B17" s="4">
        <f>0</f>
        <v>0</v>
      </c>
      <c r="C17" s="4">
        <f>0</f>
        <v>0</v>
      </c>
      <c r="D17" s="4">
        <f>0</f>
        <v>0</v>
      </c>
      <c r="E17" s="4">
        <f>0</f>
        <v>0</v>
      </c>
      <c r="F17" s="4">
        <f>0</f>
        <v>0</v>
      </c>
      <c r="G17" s="4">
        <f>0</f>
        <v>0</v>
      </c>
      <c r="H17" s="4">
        <f>0</f>
        <v>0</v>
      </c>
      <c r="I17" s="4">
        <f>0</f>
        <v>0</v>
      </c>
      <c r="J17" s="4">
        <f>0</f>
        <v>0</v>
      </c>
      <c r="K17" s="4">
        <f>0</f>
        <v>0</v>
      </c>
      <c r="L17" s="4">
        <f>0</f>
        <v>0</v>
      </c>
      <c r="M17" s="4">
        <f>0</f>
        <v>0</v>
      </c>
      <c r="N17" s="4">
        <f t="shared" si="0"/>
        <v>0</v>
      </c>
    </row>
    <row r="18" spans="1:14">
      <c r="A18" t="s">
        <v>350</v>
      </c>
      <c r="B18" s="4">
        <f>0</f>
        <v>0</v>
      </c>
      <c r="C18" s="4">
        <f>0</f>
        <v>0</v>
      </c>
      <c r="D18" s="4">
        <f>0</f>
        <v>0</v>
      </c>
      <c r="E18" s="4">
        <f>0</f>
        <v>0</v>
      </c>
      <c r="F18" s="4">
        <f>0</f>
        <v>0</v>
      </c>
      <c r="G18" s="4">
        <f>0</f>
        <v>0</v>
      </c>
      <c r="H18" s="4">
        <f>0</f>
        <v>0</v>
      </c>
      <c r="I18" s="4">
        <f>0</f>
        <v>0</v>
      </c>
      <c r="J18" s="4">
        <f>0</f>
        <v>0</v>
      </c>
      <c r="K18" s="4">
        <f>0</f>
        <v>0</v>
      </c>
      <c r="L18" s="4">
        <f>0</f>
        <v>0</v>
      </c>
      <c r="M18" s="4">
        <f>0</f>
        <v>0</v>
      </c>
      <c r="N18" s="4">
        <f t="shared" si="0"/>
        <v>0</v>
      </c>
    </row>
    <row r="19" spans="1:14">
      <c r="A19" t="s">
        <v>351</v>
      </c>
      <c r="B19" s="4">
        <f>Amortissements!E13</f>
        <v>4538449.8095735684</v>
      </c>
      <c r="C19" s="4">
        <f>Amortissements!F13</f>
        <v>8821574.8095735665</v>
      </c>
      <c r="D19" s="4">
        <f>Amortissements!G13</f>
        <v>8821574.8095735665</v>
      </c>
      <c r="E19" s="4">
        <f>Amortissements!H13</f>
        <v>8821574.8095735665</v>
      </c>
      <c r="F19" s="4">
        <f>Amortissements!I13</f>
        <v>8821574.8095735665</v>
      </c>
      <c r="G19" s="4">
        <f>Amortissements!J13</f>
        <v>8821574.8095735665</v>
      </c>
      <c r="H19" s="4">
        <f>Amortissements!K13</f>
        <v>8821574.8095735665</v>
      </c>
      <c r="I19" s="4">
        <f>Amortissements!L13</f>
        <v>8821574.8095735665</v>
      </c>
      <c r="J19" s="4">
        <f>Amortissements!M13</f>
        <v>8821574.8095735665</v>
      </c>
      <c r="K19" s="4">
        <f>Amortissements!N13</f>
        <v>8821574.8095735665</v>
      </c>
      <c r="L19" s="4">
        <f>Amortissements!O13</f>
        <v>8821574.8095735665</v>
      </c>
      <c r="M19" s="4">
        <f>Amortissements!P13</f>
        <v>8821574.8095735665</v>
      </c>
      <c r="N19" s="4">
        <f t="shared" si="0"/>
        <v>101575772.71488279</v>
      </c>
    </row>
    <row r="20" spans="1:14">
      <c r="A20" t="s">
        <v>352</v>
      </c>
      <c r="B20" s="4">
        <f>0</f>
        <v>0</v>
      </c>
      <c r="C20" s="4">
        <f>0</f>
        <v>0</v>
      </c>
      <c r="D20" s="4">
        <f>0</f>
        <v>0</v>
      </c>
      <c r="E20" s="4">
        <f>0</f>
        <v>0</v>
      </c>
      <c r="F20" s="4">
        <f>0</f>
        <v>0</v>
      </c>
      <c r="G20" s="4">
        <f>0</f>
        <v>0</v>
      </c>
      <c r="H20" s="4">
        <f>0</f>
        <v>0</v>
      </c>
      <c r="I20" s="4">
        <f>0</f>
        <v>0</v>
      </c>
      <c r="J20" s="4">
        <f>0</f>
        <v>0</v>
      </c>
      <c r="K20" s="4">
        <f>0</f>
        <v>0</v>
      </c>
      <c r="L20" s="4">
        <f>0</f>
        <v>0</v>
      </c>
      <c r="M20" s="4">
        <f>0</f>
        <v>0</v>
      </c>
      <c r="N20" s="4">
        <f t="shared" si="0"/>
        <v>0</v>
      </c>
    </row>
    <row r="21" spans="1:14">
      <c r="A21" t="s">
        <v>353</v>
      </c>
      <c r="B21" s="4">
        <f>0</f>
        <v>0</v>
      </c>
      <c r="C21" s="4">
        <f>0</f>
        <v>0</v>
      </c>
      <c r="D21" s="4">
        <f>0</f>
        <v>0</v>
      </c>
      <c r="E21" s="4">
        <f>0</f>
        <v>0</v>
      </c>
      <c r="F21" s="4">
        <f>0</f>
        <v>0</v>
      </c>
      <c r="G21" s="4">
        <f>0</f>
        <v>0</v>
      </c>
      <c r="H21" s="4">
        <f>0</f>
        <v>0</v>
      </c>
      <c r="I21" s="4">
        <f>0</f>
        <v>0</v>
      </c>
      <c r="J21" s="4">
        <f>0</f>
        <v>0</v>
      </c>
      <c r="K21" s="4">
        <f>0</f>
        <v>0</v>
      </c>
      <c r="L21" s="4">
        <f>0</f>
        <v>0</v>
      </c>
      <c r="M21" s="4">
        <f>0</f>
        <v>0</v>
      </c>
      <c r="N21" s="4">
        <f t="shared" si="0"/>
        <v>0</v>
      </c>
    </row>
    <row r="22" spans="1:14">
      <c r="A22" s="35" t="s">
        <v>354</v>
      </c>
      <c r="B22" s="33">
        <f t="shared" ref="B22:M22" si="5">B16+B17-B18-B19-B20+B21</f>
        <v>603212681.19042647</v>
      </c>
      <c r="C22" s="33">
        <f t="shared" si="5"/>
        <v>562512837.19042647</v>
      </c>
      <c r="D22" s="33">
        <f t="shared" si="5"/>
        <v>530450850.19042641</v>
      </c>
      <c r="E22" s="33">
        <f t="shared" si="5"/>
        <v>436709639.19042641</v>
      </c>
      <c r="F22" s="33">
        <f t="shared" si="5"/>
        <v>514497735.19042641</v>
      </c>
      <c r="G22" s="33">
        <f t="shared" si="5"/>
        <v>549906630.19042647</v>
      </c>
      <c r="H22" s="33">
        <f t="shared" si="5"/>
        <v>525310965.19042641</v>
      </c>
      <c r="I22" s="33">
        <f t="shared" si="5"/>
        <v>592575636.19042647</v>
      </c>
      <c r="J22" s="33">
        <f t="shared" si="5"/>
        <v>479907667.19042641</v>
      </c>
      <c r="K22" s="33">
        <f t="shared" si="5"/>
        <v>540128191.19042647</v>
      </c>
      <c r="L22" s="33">
        <f t="shared" si="5"/>
        <v>382248531.19042641</v>
      </c>
      <c r="M22" s="33">
        <f t="shared" si="5"/>
        <v>567251622.19042647</v>
      </c>
      <c r="N22" s="33">
        <f t="shared" si="0"/>
        <v>6284712986.2851191</v>
      </c>
    </row>
    <row r="23" spans="1:14">
      <c r="A23" t="s">
        <v>355</v>
      </c>
      <c r="B23" s="4">
        <f>0</f>
        <v>0</v>
      </c>
      <c r="C23" s="4">
        <f>0</f>
        <v>0</v>
      </c>
      <c r="D23" s="4">
        <f>0</f>
        <v>0</v>
      </c>
      <c r="E23" s="4">
        <f>0</f>
        <v>0</v>
      </c>
      <c r="F23" s="4">
        <f>0</f>
        <v>0</v>
      </c>
      <c r="G23" s="4">
        <f>0</f>
        <v>0</v>
      </c>
      <c r="H23" s="4">
        <f>0</f>
        <v>0</v>
      </c>
      <c r="I23" s="4">
        <f>0</f>
        <v>0</v>
      </c>
      <c r="J23" s="4">
        <f>0</f>
        <v>0</v>
      </c>
      <c r="K23" s="4">
        <f>0</f>
        <v>0</v>
      </c>
      <c r="L23" s="4">
        <f>0</f>
        <v>0</v>
      </c>
      <c r="M23" s="4">
        <f>0</f>
        <v>0</v>
      </c>
      <c r="N23" s="4">
        <f t="shared" si="0"/>
        <v>0</v>
      </c>
    </row>
    <row r="24" spans="1:14">
      <c r="A24" t="s">
        <v>356</v>
      </c>
      <c r="B24" s="4">
        <f>SUMIF(Charges!$A$2:$A$26,"FINANCE",Charges!$E$2:$E$26)</f>
        <v>8032640</v>
      </c>
      <c r="C24" s="4">
        <f>SUMIF(Charges!$A$2:$A$26,"FINANCE",Charges!$F$2:$F$26)</f>
        <v>7614530</v>
      </c>
      <c r="D24" s="4">
        <f>SUMIF(Charges!$A$2:$A$26,"FINANCE",Charges!$G$2:$G$26)</f>
        <v>9497950</v>
      </c>
      <c r="E24" s="4">
        <f>SUMIF(Charges!$A$2:$A$26,"FINANCE",Charges!$H$2:$H$26)</f>
        <v>9240000</v>
      </c>
      <c r="F24" s="4">
        <f>SUMIF(Charges!$A$2:$A$26,"FINANCE",Charges!$I$2:$I$26)</f>
        <v>7983360</v>
      </c>
      <c r="G24" s="4">
        <f>SUMIF(Charges!$A$2:$A$26,"FINANCE",Charges!$J$2:$J$26)</f>
        <v>9360120</v>
      </c>
      <c r="H24" s="4">
        <f>SUMIF(Charges!$A$2:$A$26,"FINANCE",Charges!$K$2:$K$26)</f>
        <v>9524900</v>
      </c>
      <c r="I24" s="4">
        <f>SUMIF(Charges!$A$2:$A$26,"FINANCE",Charges!$L$2:$L$26)</f>
        <v>7629160</v>
      </c>
      <c r="J24" s="4">
        <f>SUMIF(Charges!$A$2:$A$26,"FINANCE",Charges!$M$2:$M$26)</f>
        <v>8237460</v>
      </c>
      <c r="K24" s="4">
        <f>SUMIF(Charges!$A$2:$A$26,"FINANCE",Charges!$N$2:$N$26)</f>
        <v>7813960</v>
      </c>
      <c r="L24" s="4">
        <f>SUMIF(Charges!$A$2:$A$26,"FINANCE",Charges!$O$2:$O$26)</f>
        <v>8216670</v>
      </c>
      <c r="M24" s="4">
        <f>SUMIF(Charges!$A$2:$A$26,"FINANCE",Charges!$P$2:$P$26)</f>
        <v>9113720</v>
      </c>
      <c r="N24" s="4">
        <f t="shared" si="0"/>
        <v>102264470</v>
      </c>
    </row>
    <row r="25" spans="1:14">
      <c r="A25" s="35" t="s">
        <v>357</v>
      </c>
      <c r="B25" s="33">
        <f t="shared" ref="B25:M25" si="6">B23-B24</f>
        <v>-8032640</v>
      </c>
      <c r="C25" s="33">
        <f t="shared" si="6"/>
        <v>-7614530</v>
      </c>
      <c r="D25" s="33">
        <f t="shared" si="6"/>
        <v>-9497950</v>
      </c>
      <c r="E25" s="33">
        <f t="shared" si="6"/>
        <v>-9240000</v>
      </c>
      <c r="F25" s="33">
        <f t="shared" si="6"/>
        <v>-7983360</v>
      </c>
      <c r="G25" s="33">
        <f t="shared" si="6"/>
        <v>-9360120</v>
      </c>
      <c r="H25" s="33">
        <f t="shared" si="6"/>
        <v>-9524900</v>
      </c>
      <c r="I25" s="33">
        <f t="shared" si="6"/>
        <v>-7629160</v>
      </c>
      <c r="J25" s="33">
        <f t="shared" si="6"/>
        <v>-8237460</v>
      </c>
      <c r="K25" s="33">
        <f t="shared" si="6"/>
        <v>-7813960</v>
      </c>
      <c r="L25" s="33">
        <f t="shared" si="6"/>
        <v>-8216670</v>
      </c>
      <c r="M25" s="33">
        <f t="shared" si="6"/>
        <v>-9113720</v>
      </c>
      <c r="N25" s="33">
        <f t="shared" si="0"/>
        <v>-102264470</v>
      </c>
    </row>
    <row r="26" spans="1:14">
      <c r="A26" s="35" t="s">
        <v>358</v>
      </c>
      <c r="B26" s="33">
        <f t="shared" ref="B26:M26" si="7">B22+B25</f>
        <v>595180041.19042647</v>
      </c>
      <c r="C26" s="33">
        <f t="shared" si="7"/>
        <v>554898307.19042647</v>
      </c>
      <c r="D26" s="33">
        <f t="shared" si="7"/>
        <v>520952900.19042641</v>
      </c>
      <c r="E26" s="33">
        <f t="shared" si="7"/>
        <v>427469639.19042641</v>
      </c>
      <c r="F26" s="33">
        <f t="shared" si="7"/>
        <v>506514375.19042641</v>
      </c>
      <c r="G26" s="33">
        <f t="shared" si="7"/>
        <v>540546510.19042647</v>
      </c>
      <c r="H26" s="33">
        <f t="shared" si="7"/>
        <v>515786065.19042641</v>
      </c>
      <c r="I26" s="33">
        <f t="shared" si="7"/>
        <v>584946476.19042647</v>
      </c>
      <c r="J26" s="33">
        <f t="shared" si="7"/>
        <v>471670207.19042641</v>
      </c>
      <c r="K26" s="33">
        <f t="shared" si="7"/>
        <v>532314231.19042647</v>
      </c>
      <c r="L26" s="33">
        <f t="shared" si="7"/>
        <v>374031861.19042641</v>
      </c>
      <c r="M26" s="33">
        <f t="shared" si="7"/>
        <v>558137902.19042647</v>
      </c>
      <c r="N26" s="33">
        <f t="shared" si="0"/>
        <v>6182448516.2851181</v>
      </c>
    </row>
    <row r="27" spans="1:14">
      <c r="A27" t="s">
        <v>359</v>
      </c>
      <c r="B27" s="4">
        <f t="shared" ref="B27:M27" si="8">IF(B26&gt;0,B26*20%,0)</f>
        <v>119036008.2380853</v>
      </c>
      <c r="C27" s="4">
        <f t="shared" si="8"/>
        <v>110979661.4380853</v>
      </c>
      <c r="D27" s="4">
        <f t="shared" si="8"/>
        <v>104190580.03808528</v>
      </c>
      <c r="E27" s="4">
        <f t="shared" si="8"/>
        <v>85493927.838085294</v>
      </c>
      <c r="F27" s="4">
        <f t="shared" si="8"/>
        <v>101302875.03808528</v>
      </c>
      <c r="G27" s="4">
        <f t="shared" si="8"/>
        <v>108109302.0380853</v>
      </c>
      <c r="H27" s="4">
        <f t="shared" si="8"/>
        <v>103157213.03808528</v>
      </c>
      <c r="I27" s="4">
        <f t="shared" si="8"/>
        <v>116989295.2380853</v>
      </c>
      <c r="J27" s="4">
        <f t="shared" si="8"/>
        <v>94334041.438085288</v>
      </c>
      <c r="K27" s="4">
        <f t="shared" si="8"/>
        <v>106462846.2380853</v>
      </c>
      <c r="L27" s="4">
        <f t="shared" si="8"/>
        <v>74806372.238085285</v>
      </c>
      <c r="M27" s="4">
        <f t="shared" si="8"/>
        <v>111627580.4380853</v>
      </c>
      <c r="N27" s="4">
        <f t="shared" si="0"/>
        <v>1236489703.2570236</v>
      </c>
    </row>
    <row r="28" spans="1:14">
      <c r="A28" t="s">
        <v>360</v>
      </c>
      <c r="B28" s="4">
        <f>0</f>
        <v>0</v>
      </c>
      <c r="C28" s="4">
        <f>0</f>
        <v>0</v>
      </c>
      <c r="D28" s="4">
        <f>0</f>
        <v>0</v>
      </c>
      <c r="E28" s="4">
        <f>0</f>
        <v>0</v>
      </c>
      <c r="F28" s="4">
        <f>0</f>
        <v>0</v>
      </c>
      <c r="G28" s="4">
        <f>0</f>
        <v>0</v>
      </c>
      <c r="H28" s="4">
        <f>0</f>
        <v>0</v>
      </c>
      <c r="I28" s="4">
        <f>0</f>
        <v>0</v>
      </c>
      <c r="J28" s="4">
        <f>0</f>
        <v>0</v>
      </c>
      <c r="K28" s="4">
        <f>0</f>
        <v>0</v>
      </c>
      <c r="L28" s="4">
        <f>0</f>
        <v>0</v>
      </c>
      <c r="M28" s="4">
        <f>0</f>
        <v>0</v>
      </c>
      <c r="N28" s="4">
        <f t="shared" si="0"/>
        <v>0</v>
      </c>
    </row>
    <row r="29" spans="1:14">
      <c r="A29" s="35" t="s">
        <v>361</v>
      </c>
      <c r="B29" s="33">
        <f t="shared" ref="B29:M29" si="9">B26-B27-B28</f>
        <v>476144032.9523412</v>
      </c>
      <c r="C29" s="33">
        <f t="shared" si="9"/>
        <v>443918645.75234115</v>
      </c>
      <c r="D29" s="33">
        <f t="shared" si="9"/>
        <v>416762320.15234113</v>
      </c>
      <c r="E29" s="33">
        <f t="shared" si="9"/>
        <v>341975711.35234112</v>
      </c>
      <c r="F29" s="33">
        <f t="shared" si="9"/>
        <v>405211500.15234113</v>
      </c>
      <c r="G29" s="33">
        <f t="shared" si="9"/>
        <v>432437208.15234119</v>
      </c>
      <c r="H29" s="33">
        <f t="shared" si="9"/>
        <v>412628852.15234113</v>
      </c>
      <c r="I29" s="33">
        <f t="shared" si="9"/>
        <v>467957180.9523412</v>
      </c>
      <c r="J29" s="33">
        <f t="shared" si="9"/>
        <v>377336165.75234115</v>
      </c>
      <c r="K29" s="33">
        <f t="shared" si="9"/>
        <v>425851384.9523412</v>
      </c>
      <c r="L29" s="33">
        <f t="shared" si="9"/>
        <v>299225488.95234114</v>
      </c>
      <c r="M29" s="33">
        <f t="shared" si="9"/>
        <v>446510321.75234115</v>
      </c>
      <c r="N29" s="33">
        <f t="shared" si="0"/>
        <v>4945958813.0280943</v>
      </c>
    </row>
    <row r="30" spans="1:14">
      <c r="A30" t="s">
        <v>362</v>
      </c>
      <c r="B30" s="4">
        <f>0</f>
        <v>0</v>
      </c>
      <c r="C30" s="4">
        <f>0</f>
        <v>0</v>
      </c>
      <c r="D30" s="4">
        <f>0</f>
        <v>0</v>
      </c>
      <c r="E30" s="4">
        <f>0</f>
        <v>0</v>
      </c>
      <c r="F30" s="4">
        <f>0</f>
        <v>0</v>
      </c>
      <c r="G30" s="4">
        <f>0</f>
        <v>0</v>
      </c>
      <c r="H30" s="4">
        <f>0</f>
        <v>0</v>
      </c>
      <c r="I30" s="4">
        <f>0</f>
        <v>0</v>
      </c>
      <c r="J30" s="4">
        <f>0</f>
        <v>0</v>
      </c>
      <c r="K30" s="4">
        <f>0</f>
        <v>0</v>
      </c>
      <c r="L30" s="4">
        <f>0</f>
        <v>0</v>
      </c>
      <c r="M30" s="4">
        <f>0</f>
        <v>0</v>
      </c>
      <c r="N30" s="4">
        <f t="shared" si="0"/>
        <v>0</v>
      </c>
    </row>
    <row r="31" spans="1:14">
      <c r="A31" t="s">
        <v>363</v>
      </c>
      <c r="B31" s="4">
        <f>0</f>
        <v>0</v>
      </c>
      <c r="C31" s="4">
        <f>0</f>
        <v>0</v>
      </c>
      <c r="D31" s="4">
        <f>0</f>
        <v>0</v>
      </c>
      <c r="E31" s="4">
        <f>0</f>
        <v>0</v>
      </c>
      <c r="F31" s="4">
        <f>0</f>
        <v>0</v>
      </c>
      <c r="G31" s="4">
        <f>0</f>
        <v>0</v>
      </c>
      <c r="H31" s="4">
        <f>0</f>
        <v>0</v>
      </c>
      <c r="I31" s="4">
        <f>0</f>
        <v>0</v>
      </c>
      <c r="J31" s="4">
        <f>0</f>
        <v>0</v>
      </c>
      <c r="K31" s="4">
        <f>0</f>
        <v>0</v>
      </c>
      <c r="L31" s="4">
        <f>0</f>
        <v>0</v>
      </c>
      <c r="M31" s="4">
        <f>0</f>
        <v>0</v>
      </c>
      <c r="N31" s="4">
        <f t="shared" si="0"/>
        <v>0</v>
      </c>
    </row>
    <row r="32" spans="1:14">
      <c r="A32" s="35" t="s">
        <v>364</v>
      </c>
      <c r="B32" s="33">
        <f t="shared" ref="B32:M32" si="10">B30-B31</f>
        <v>0</v>
      </c>
      <c r="C32" s="33">
        <f t="shared" si="10"/>
        <v>0</v>
      </c>
      <c r="D32" s="33">
        <f t="shared" si="10"/>
        <v>0</v>
      </c>
      <c r="E32" s="33">
        <f t="shared" si="10"/>
        <v>0</v>
      </c>
      <c r="F32" s="33">
        <f t="shared" si="10"/>
        <v>0</v>
      </c>
      <c r="G32" s="33">
        <f t="shared" si="10"/>
        <v>0</v>
      </c>
      <c r="H32" s="33">
        <f t="shared" si="10"/>
        <v>0</v>
      </c>
      <c r="I32" s="33">
        <f t="shared" si="10"/>
        <v>0</v>
      </c>
      <c r="J32" s="33">
        <f t="shared" si="10"/>
        <v>0</v>
      </c>
      <c r="K32" s="33">
        <f t="shared" si="10"/>
        <v>0</v>
      </c>
      <c r="L32" s="33">
        <f t="shared" si="10"/>
        <v>0</v>
      </c>
      <c r="M32" s="33">
        <f t="shared" si="10"/>
        <v>0</v>
      </c>
      <c r="N32" s="33">
        <f t="shared" si="0"/>
        <v>0</v>
      </c>
    </row>
    <row r="33" spans="1:14">
      <c r="A33" s="36" t="s">
        <v>365</v>
      </c>
      <c r="B33" s="37">
        <f t="shared" ref="B33:M33" si="11">B29+B32</f>
        <v>476144032.9523412</v>
      </c>
      <c r="C33" s="37">
        <f t="shared" si="11"/>
        <v>443918645.75234115</v>
      </c>
      <c r="D33" s="37">
        <f t="shared" si="11"/>
        <v>416762320.15234113</v>
      </c>
      <c r="E33" s="37">
        <f t="shared" si="11"/>
        <v>341975711.35234112</v>
      </c>
      <c r="F33" s="37">
        <f t="shared" si="11"/>
        <v>405211500.15234113</v>
      </c>
      <c r="G33" s="37">
        <f t="shared" si="11"/>
        <v>432437208.15234119</v>
      </c>
      <c r="H33" s="37">
        <f t="shared" si="11"/>
        <v>412628852.15234113</v>
      </c>
      <c r="I33" s="37">
        <f t="shared" si="11"/>
        <v>467957180.9523412</v>
      </c>
      <c r="J33" s="37">
        <f t="shared" si="11"/>
        <v>377336165.75234115</v>
      </c>
      <c r="K33" s="37">
        <f t="shared" si="11"/>
        <v>425851384.9523412</v>
      </c>
      <c r="L33" s="37">
        <f t="shared" si="11"/>
        <v>299225488.95234114</v>
      </c>
      <c r="M33" s="37">
        <f t="shared" si="11"/>
        <v>446510321.75234115</v>
      </c>
      <c r="N33" s="37">
        <f t="shared" si="0"/>
        <v>4945958813.0280943</v>
      </c>
    </row>
    <row r="34" spans="1:14">
      <c r="A34" t="s">
        <v>366</v>
      </c>
      <c r="B34" s="38">
        <f t="shared" ref="B34:N34" si="12">IFERROR(B33/B5,0)</f>
        <v>0.34021929157113034</v>
      </c>
      <c r="C34" s="38">
        <f t="shared" si="12"/>
        <v>0.31976364110011946</v>
      </c>
      <c r="D34" s="38">
        <f t="shared" si="12"/>
        <v>0.3034598465135212</v>
      </c>
      <c r="E34" s="38">
        <f t="shared" si="12"/>
        <v>0.27877426295192526</v>
      </c>
      <c r="F34" s="38">
        <f t="shared" si="12"/>
        <v>0.30059521181392085</v>
      </c>
      <c r="G34" s="38">
        <f t="shared" si="12"/>
        <v>0.31925206368002146</v>
      </c>
      <c r="H34" s="38">
        <f t="shared" si="12"/>
        <v>0.31003616225958297</v>
      </c>
      <c r="I34" s="38">
        <f t="shared" si="12"/>
        <v>0.33145831007441728</v>
      </c>
      <c r="J34" s="38">
        <f t="shared" si="12"/>
        <v>0.29620391658524481</v>
      </c>
      <c r="K34" s="38">
        <f t="shared" si="12"/>
        <v>0.31473792549021329</v>
      </c>
      <c r="L34" s="38">
        <f t="shared" si="12"/>
        <v>0.24885023557576544</v>
      </c>
      <c r="M34" s="38">
        <f t="shared" si="12"/>
        <v>0.32045062034493249</v>
      </c>
      <c r="N34" s="38">
        <f t="shared" si="12"/>
        <v>0.30804598741296635</v>
      </c>
    </row>
  </sheetData>
  <mergeCells count="2">
    <mergeCell ref="A1:N1"/>
    <mergeCell ref="A2:N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3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21" customWidth="1"/>
    <col min="2" max="2" width="35" customWidth="1"/>
    <col min="3" max="4" width="17" customWidth="1"/>
    <col min="5" max="16" width="16" customWidth="1"/>
    <col min="17" max="17" width="21" customWidth="1"/>
  </cols>
  <sheetData>
    <row r="1" spans="1:17" ht="32" customHeight="1">
      <c r="A1" s="39" t="s">
        <v>312</v>
      </c>
      <c r="B1" s="39" t="s">
        <v>313</v>
      </c>
      <c r="C1" s="39" t="s">
        <v>367</v>
      </c>
      <c r="D1" s="39" t="s">
        <v>44</v>
      </c>
      <c r="E1" s="39" t="s">
        <v>45</v>
      </c>
      <c r="F1" s="39" t="s">
        <v>46</v>
      </c>
      <c r="G1" s="39" t="s">
        <v>47</v>
      </c>
      <c r="H1" s="39" t="s">
        <v>48</v>
      </c>
      <c r="I1" s="39" t="s">
        <v>49</v>
      </c>
      <c r="J1" s="39" t="s">
        <v>50</v>
      </c>
      <c r="K1" s="39" t="s">
        <v>51</v>
      </c>
      <c r="L1" s="39" t="s">
        <v>52</v>
      </c>
      <c r="M1" s="39" t="s">
        <v>53</v>
      </c>
      <c r="N1" s="39" t="s">
        <v>54</v>
      </c>
      <c r="O1" s="39" t="s">
        <v>55</v>
      </c>
      <c r="P1" s="39" t="s">
        <v>56</v>
      </c>
      <c r="Q1" s="39" t="s">
        <v>57</v>
      </c>
    </row>
    <row r="2" spans="1:17" ht="21" customHeight="1">
      <c r="A2" s="42" t="s">
        <v>368</v>
      </c>
      <c r="B2" s="42" t="s">
        <v>369</v>
      </c>
      <c r="C2" s="42"/>
      <c r="D2" s="42" t="s">
        <v>77</v>
      </c>
      <c r="E2" s="43">
        <v>1028335.6775999999</v>
      </c>
      <c r="F2" s="43">
        <v>1028335.6775999999</v>
      </c>
      <c r="G2" s="43">
        <v>1028335.6775999999</v>
      </c>
      <c r="H2" s="43">
        <v>1028335.6775999999</v>
      </c>
      <c r="I2" s="43">
        <v>1028335.6775999999</v>
      </c>
      <c r="J2" s="43">
        <v>1028335.6775999999</v>
      </c>
      <c r="K2" s="43">
        <v>1028335.6775999999</v>
      </c>
      <c r="L2" s="43">
        <v>1028335.6775999999</v>
      </c>
      <c r="M2" s="43">
        <v>1028335.6775999999</v>
      </c>
      <c r="N2" s="43">
        <v>1028335.6775999999</v>
      </c>
      <c r="O2" s="43">
        <v>1028335.6775999999</v>
      </c>
      <c r="P2" s="43">
        <v>1028335.6775999999</v>
      </c>
      <c r="Q2" s="43">
        <v>12340028.131199999</v>
      </c>
    </row>
    <row r="3" spans="1:17" ht="21" customHeight="1">
      <c r="A3" s="40" t="s">
        <v>368</v>
      </c>
      <c r="B3" s="40" t="s">
        <v>370</v>
      </c>
      <c r="C3" s="40"/>
      <c r="D3" s="40" t="s">
        <v>77</v>
      </c>
      <c r="E3" s="41">
        <v>1733900.4375</v>
      </c>
      <c r="F3" s="41">
        <v>1733900.4375</v>
      </c>
      <c r="G3" s="41">
        <v>1733900.4375</v>
      </c>
      <c r="H3" s="41">
        <v>1733900.4375</v>
      </c>
      <c r="I3" s="41">
        <v>1733900.4375</v>
      </c>
      <c r="J3" s="41">
        <v>1733900.4375</v>
      </c>
      <c r="K3" s="41">
        <v>1733900.4375</v>
      </c>
      <c r="L3" s="41">
        <v>1733900.4375</v>
      </c>
      <c r="M3" s="41">
        <v>1733900.4375</v>
      </c>
      <c r="N3" s="41">
        <v>1733900.4375</v>
      </c>
      <c r="O3" s="41">
        <v>1733900.4375</v>
      </c>
      <c r="P3" s="41">
        <v>1733900.4375</v>
      </c>
      <c r="Q3" s="41">
        <v>20806805.25</v>
      </c>
    </row>
    <row r="4" spans="1:17" ht="21" customHeight="1">
      <c r="A4" s="42" t="s">
        <v>368</v>
      </c>
      <c r="B4" s="42" t="s">
        <v>371</v>
      </c>
      <c r="C4" s="42"/>
      <c r="D4" s="42" t="s">
        <v>77</v>
      </c>
      <c r="E4" s="43">
        <v>0</v>
      </c>
      <c r="F4" s="43">
        <v>256666.66666666666</v>
      </c>
      <c r="G4" s="43">
        <v>256666.66666666666</v>
      </c>
      <c r="H4" s="43">
        <v>256666.66666666666</v>
      </c>
      <c r="I4" s="43">
        <v>256666.66666666666</v>
      </c>
      <c r="J4" s="43">
        <v>256666.66666666666</v>
      </c>
      <c r="K4" s="43">
        <v>256666.66666666666</v>
      </c>
      <c r="L4" s="43">
        <v>256666.66666666666</v>
      </c>
      <c r="M4" s="43">
        <v>256666.66666666666</v>
      </c>
      <c r="N4" s="43">
        <v>256666.66666666666</v>
      </c>
      <c r="O4" s="43">
        <v>256666.66666666666</v>
      </c>
      <c r="P4" s="43">
        <v>256666.66666666666</v>
      </c>
      <c r="Q4" s="43">
        <v>2823333.333333333</v>
      </c>
    </row>
    <row r="5" spans="1:17" ht="21" customHeight="1">
      <c r="A5" s="40" t="s">
        <v>368</v>
      </c>
      <c r="B5" s="40" t="s">
        <v>372</v>
      </c>
      <c r="C5" s="40"/>
      <c r="D5" s="40" t="s">
        <v>77</v>
      </c>
      <c r="E5" s="41">
        <v>0</v>
      </c>
      <c r="F5" s="41">
        <v>3850000</v>
      </c>
      <c r="G5" s="41">
        <v>3850000</v>
      </c>
      <c r="H5" s="41">
        <v>3850000</v>
      </c>
      <c r="I5" s="41">
        <v>3850000</v>
      </c>
      <c r="J5" s="41">
        <v>3850000</v>
      </c>
      <c r="K5" s="41">
        <v>3850000</v>
      </c>
      <c r="L5" s="41">
        <v>3850000</v>
      </c>
      <c r="M5" s="41">
        <v>3850000</v>
      </c>
      <c r="N5" s="41">
        <v>3850000</v>
      </c>
      <c r="O5" s="41">
        <v>3850000</v>
      </c>
      <c r="P5" s="41">
        <v>3850000</v>
      </c>
      <c r="Q5" s="41">
        <v>42350000</v>
      </c>
    </row>
    <row r="6" spans="1:17" ht="21" customHeight="1">
      <c r="A6" s="42" t="s">
        <v>368</v>
      </c>
      <c r="B6" s="42" t="s">
        <v>373</v>
      </c>
      <c r="C6" s="42"/>
      <c r="D6" s="42" t="s">
        <v>77</v>
      </c>
      <c r="E6" s="43">
        <v>0</v>
      </c>
      <c r="F6" s="43">
        <v>64166.666666666664</v>
      </c>
      <c r="G6" s="43">
        <v>64166.666666666664</v>
      </c>
      <c r="H6" s="43">
        <v>64166.666666666664</v>
      </c>
      <c r="I6" s="43">
        <v>64166.666666666664</v>
      </c>
      <c r="J6" s="43">
        <v>64166.666666666664</v>
      </c>
      <c r="K6" s="43">
        <v>64166.666666666664</v>
      </c>
      <c r="L6" s="43">
        <v>64166.666666666664</v>
      </c>
      <c r="M6" s="43">
        <v>64166.666666666664</v>
      </c>
      <c r="N6" s="43">
        <v>64166.666666666664</v>
      </c>
      <c r="O6" s="43">
        <v>64166.666666666664</v>
      </c>
      <c r="P6" s="43">
        <v>64166.666666666664</v>
      </c>
      <c r="Q6" s="43">
        <v>705833.33333333326</v>
      </c>
    </row>
    <row r="7" spans="1:17" ht="21" customHeight="1">
      <c r="A7" s="40" t="s">
        <v>368</v>
      </c>
      <c r="B7" s="40" t="s">
        <v>374</v>
      </c>
      <c r="C7" s="40"/>
      <c r="D7" s="40" t="s">
        <v>77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</row>
    <row r="8" spans="1:17" ht="21" customHeight="1">
      <c r="A8" s="42" t="s">
        <v>368</v>
      </c>
      <c r="B8" s="42" t="s">
        <v>375</v>
      </c>
      <c r="C8" s="42"/>
      <c r="D8" s="42" t="s">
        <v>77</v>
      </c>
      <c r="E8" s="43">
        <v>9112.3436249999995</v>
      </c>
      <c r="F8" s="43">
        <v>9112.3436249999995</v>
      </c>
      <c r="G8" s="43">
        <v>9112.3436249999995</v>
      </c>
      <c r="H8" s="43">
        <v>9112.3436249999995</v>
      </c>
      <c r="I8" s="43">
        <v>9112.3436249999995</v>
      </c>
      <c r="J8" s="43">
        <v>9112.3436249999995</v>
      </c>
      <c r="K8" s="43">
        <v>9112.3436249999995</v>
      </c>
      <c r="L8" s="43">
        <v>9112.3436249999995</v>
      </c>
      <c r="M8" s="43">
        <v>9112.3436249999995</v>
      </c>
      <c r="N8" s="43">
        <v>9112.3436249999995</v>
      </c>
      <c r="O8" s="43">
        <v>9112.3436249999995</v>
      </c>
      <c r="P8" s="43">
        <v>9112.3436249999995</v>
      </c>
      <c r="Q8" s="43">
        <v>109348.12349999999</v>
      </c>
    </row>
    <row r="9" spans="1:17" ht="21" customHeight="1">
      <c r="A9" s="40" t="s">
        <v>368</v>
      </c>
      <c r="B9" s="40" t="s">
        <v>376</v>
      </c>
      <c r="C9" s="40"/>
      <c r="D9" s="40" t="s">
        <v>77</v>
      </c>
      <c r="E9" s="41">
        <v>1438671.2835687501</v>
      </c>
      <c r="F9" s="41">
        <v>1438671.2835687501</v>
      </c>
      <c r="G9" s="41">
        <v>1438671.2835687501</v>
      </c>
      <c r="H9" s="41">
        <v>1438671.2835687501</v>
      </c>
      <c r="I9" s="41">
        <v>1438671.2835687501</v>
      </c>
      <c r="J9" s="41">
        <v>1438671.2835687501</v>
      </c>
      <c r="K9" s="41">
        <v>1438671.2835687501</v>
      </c>
      <c r="L9" s="41">
        <v>1438671.2835687501</v>
      </c>
      <c r="M9" s="41">
        <v>1438671.2835687501</v>
      </c>
      <c r="N9" s="41">
        <v>1438671.2835687501</v>
      </c>
      <c r="O9" s="41">
        <v>1438671.2835687501</v>
      </c>
      <c r="P9" s="41">
        <v>1438671.2835687501</v>
      </c>
      <c r="Q9" s="41">
        <v>17264055.402825002</v>
      </c>
    </row>
    <row r="10" spans="1:17" ht="21" customHeight="1">
      <c r="A10" s="42" t="s">
        <v>368</v>
      </c>
      <c r="B10" s="42" t="s">
        <v>377</v>
      </c>
      <c r="C10" s="42"/>
      <c r="D10" s="42" t="s">
        <v>77</v>
      </c>
      <c r="E10" s="43">
        <v>123888.98408906245</v>
      </c>
      <c r="F10" s="43">
        <v>123888.98408906245</v>
      </c>
      <c r="G10" s="43">
        <v>123888.98408906245</v>
      </c>
      <c r="H10" s="43">
        <v>123888.98408906245</v>
      </c>
      <c r="I10" s="43">
        <v>123888.98408906245</v>
      </c>
      <c r="J10" s="43">
        <v>123888.98408906245</v>
      </c>
      <c r="K10" s="43">
        <v>123888.98408906245</v>
      </c>
      <c r="L10" s="43">
        <v>123888.98408906245</v>
      </c>
      <c r="M10" s="43">
        <v>123888.98408906245</v>
      </c>
      <c r="N10" s="43">
        <v>123888.98408906245</v>
      </c>
      <c r="O10" s="43">
        <v>123888.98408906245</v>
      </c>
      <c r="P10" s="43">
        <v>123888.98408906245</v>
      </c>
      <c r="Q10" s="43">
        <v>1486667.8090687494</v>
      </c>
    </row>
    <row r="11" spans="1:17" ht="21" customHeight="1">
      <c r="A11" s="40" t="s">
        <v>368</v>
      </c>
      <c r="B11" s="40" t="s">
        <v>378</v>
      </c>
      <c r="C11" s="40"/>
      <c r="D11" s="40" t="s">
        <v>77</v>
      </c>
      <c r="E11" s="41">
        <v>204541.08319075516</v>
      </c>
      <c r="F11" s="41">
        <v>204541.08319075516</v>
      </c>
      <c r="G11" s="41">
        <v>204541.08319075516</v>
      </c>
      <c r="H11" s="41">
        <v>204541.08319075516</v>
      </c>
      <c r="I11" s="41">
        <v>204541.08319075516</v>
      </c>
      <c r="J11" s="41">
        <v>204541.08319075516</v>
      </c>
      <c r="K11" s="41">
        <v>204541.08319075516</v>
      </c>
      <c r="L11" s="41">
        <v>204541.08319075516</v>
      </c>
      <c r="M11" s="41">
        <v>204541.08319075516</v>
      </c>
      <c r="N11" s="41">
        <v>204541.08319075516</v>
      </c>
      <c r="O11" s="41">
        <v>204541.08319075516</v>
      </c>
      <c r="P11" s="41">
        <v>204541.08319075516</v>
      </c>
      <c r="Q11" s="41">
        <v>2454492.9982890617</v>
      </c>
    </row>
    <row r="12" spans="1:17" ht="21" customHeight="1">
      <c r="A12" s="42" t="s">
        <v>368</v>
      </c>
      <c r="B12" s="42" t="s">
        <v>379</v>
      </c>
      <c r="C12" s="42"/>
      <c r="D12" s="42" t="s">
        <v>77</v>
      </c>
      <c r="E12" s="43">
        <v>0</v>
      </c>
      <c r="F12" s="43">
        <v>112291.66666666667</v>
      </c>
      <c r="G12" s="43">
        <v>112291.66666666667</v>
      </c>
      <c r="H12" s="43">
        <v>112291.66666666667</v>
      </c>
      <c r="I12" s="43">
        <v>112291.66666666667</v>
      </c>
      <c r="J12" s="43">
        <v>112291.66666666667</v>
      </c>
      <c r="K12" s="43">
        <v>112291.66666666667</v>
      </c>
      <c r="L12" s="43">
        <v>112291.66666666667</v>
      </c>
      <c r="M12" s="43">
        <v>112291.66666666667</v>
      </c>
      <c r="N12" s="43">
        <v>112291.66666666667</v>
      </c>
      <c r="O12" s="43">
        <v>112291.66666666667</v>
      </c>
      <c r="P12" s="43">
        <v>112291.66666666667</v>
      </c>
      <c r="Q12" s="43">
        <v>1235208.3333333335</v>
      </c>
    </row>
    <row r="13" spans="1:17" ht="21" customHeight="1">
      <c r="A13" s="40" t="s">
        <v>368</v>
      </c>
      <c r="B13" s="40" t="s">
        <v>380</v>
      </c>
      <c r="C13" s="40"/>
      <c r="D13" s="40" t="s">
        <v>77</v>
      </c>
      <c r="E13" s="41">
        <f t="shared" ref="E13:P13" si="0">SUM(E2:E12)</f>
        <v>4538449.8095735684</v>
      </c>
      <c r="F13" s="41">
        <f t="shared" si="0"/>
        <v>8821574.8095735665</v>
      </c>
      <c r="G13" s="41">
        <f t="shared" si="0"/>
        <v>8821574.8095735665</v>
      </c>
      <c r="H13" s="41">
        <f t="shared" si="0"/>
        <v>8821574.8095735665</v>
      </c>
      <c r="I13" s="41">
        <f t="shared" si="0"/>
        <v>8821574.8095735665</v>
      </c>
      <c r="J13" s="41">
        <f t="shared" si="0"/>
        <v>8821574.8095735665</v>
      </c>
      <c r="K13" s="41">
        <f t="shared" si="0"/>
        <v>8821574.8095735665</v>
      </c>
      <c r="L13" s="41">
        <f t="shared" si="0"/>
        <v>8821574.8095735665</v>
      </c>
      <c r="M13" s="41">
        <f t="shared" si="0"/>
        <v>8821574.8095735665</v>
      </c>
      <c r="N13" s="41">
        <f t="shared" si="0"/>
        <v>8821574.8095735665</v>
      </c>
      <c r="O13" s="41">
        <f t="shared" si="0"/>
        <v>8821574.8095735665</v>
      </c>
      <c r="P13" s="41">
        <f t="shared" si="0"/>
        <v>8821574.8095735665</v>
      </c>
      <c r="Q13" s="41">
        <f>SUM(E13:P13)</f>
        <v>101575772.71488279</v>
      </c>
    </row>
    <row r="14" spans="1:17" ht="21" customHeight="1">
      <c r="A14" s="42"/>
      <c r="B14" s="42"/>
      <c r="C14" s="42"/>
      <c r="D14" s="42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</row>
    <row r="15" spans="1:17" ht="21" customHeight="1">
      <c r="A15" s="40"/>
      <c r="B15" s="40"/>
      <c r="C15" s="40"/>
      <c r="D15" s="40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1:17" ht="21" customHeight="1">
      <c r="A16" s="42"/>
      <c r="B16" s="42"/>
      <c r="C16" s="42"/>
      <c r="D16" s="42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</row>
    <row r="17" spans="1:17" ht="21" customHeight="1">
      <c r="A17" s="40"/>
      <c r="B17" s="40"/>
      <c r="C17" s="40"/>
      <c r="D17" s="40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</row>
    <row r="18" spans="1:17" ht="21" customHeight="1">
      <c r="A18" s="42"/>
      <c r="B18" s="42"/>
      <c r="C18" s="42"/>
      <c r="D18" s="42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</row>
    <row r="19" spans="1:17" ht="21" customHeight="1">
      <c r="A19" s="40"/>
      <c r="B19" s="40"/>
      <c r="C19" s="40"/>
      <c r="D19" s="40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</row>
    <row r="20" spans="1:17" ht="21" customHeight="1">
      <c r="A20" s="42"/>
      <c r="B20" s="42"/>
      <c r="C20" s="42"/>
      <c r="D20" s="42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</row>
    <row r="21" spans="1:17" ht="21" customHeight="1">
      <c r="A21" s="40"/>
      <c r="B21" s="40"/>
      <c r="C21" s="40"/>
      <c r="D21" s="40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</row>
    <row r="22" spans="1:17" ht="21" customHeight="1">
      <c r="A22" s="42"/>
      <c r="B22" s="42"/>
      <c r="C22" s="42"/>
      <c r="D22" s="42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</row>
    <row r="23" spans="1:17" ht="21" customHeight="1">
      <c r="A23" s="40"/>
      <c r="B23" s="40"/>
      <c r="C23" s="40"/>
      <c r="D23" s="40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</row>
    <row r="24" spans="1:17" ht="21" customHeight="1">
      <c r="A24" s="42"/>
      <c r="B24" s="42"/>
      <c r="C24" s="42"/>
      <c r="D24" s="42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</row>
    <row r="25" spans="1:17" ht="21" customHeight="1">
      <c r="A25" s="40"/>
      <c r="B25" s="40"/>
      <c r="C25" s="40"/>
      <c r="D25" s="40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</row>
    <row r="26" spans="1:17" ht="21" customHeight="1">
      <c r="A26" s="42"/>
      <c r="B26" s="42"/>
      <c r="C26" s="42"/>
      <c r="D26" s="42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</row>
    <row r="27" spans="1:17" ht="21" customHeight="1">
      <c r="A27" s="40"/>
      <c r="B27" s="40"/>
      <c r="C27" s="40"/>
      <c r="D27" s="40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</row>
    <row r="28" spans="1:17" ht="21" customHeight="1">
      <c r="A28" s="42"/>
      <c r="B28" s="42"/>
      <c r="C28" s="42"/>
      <c r="D28" s="42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</row>
    <row r="29" spans="1:17" ht="21" customHeight="1">
      <c r="A29" s="40"/>
      <c r="B29" s="40"/>
      <c r="C29" s="40"/>
      <c r="D29" s="40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</row>
    <row r="30" spans="1:17" ht="21" customHeight="1">
      <c r="A30" s="42"/>
      <c r="B30" s="42"/>
      <c r="C30" s="42"/>
      <c r="D30" s="42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</row>
    <row r="31" spans="1:17" ht="21" customHeight="1">
      <c r="A31" s="40"/>
      <c r="B31" s="40"/>
      <c r="C31" s="40"/>
      <c r="D31" s="40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</row>
    <row r="32" spans="1:17" ht="21" customHeight="1">
      <c r="A32" s="42"/>
      <c r="B32" s="42"/>
      <c r="C32" s="42"/>
      <c r="D32" s="42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</row>
    <row r="33" spans="1:17" ht="21" customHeight="1">
      <c r="A33" s="40"/>
      <c r="B33" s="40"/>
      <c r="C33" s="40"/>
      <c r="D33" s="40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</row>
    <row r="34" spans="1:17" ht="21" customHeight="1">
      <c r="A34" s="42"/>
      <c r="B34" s="42"/>
      <c r="C34" s="42"/>
      <c r="D34" s="42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</row>
    <row r="35" spans="1:17" ht="21" customHeight="1">
      <c r="A35" s="40"/>
      <c r="B35" s="40"/>
      <c r="C35" s="40"/>
      <c r="D35" s="40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Donnees SOMIDA</vt:lpstr>
      <vt:lpstr>Employes</vt:lpstr>
      <vt:lpstr>Production</vt:lpstr>
      <vt:lpstr>Charges</vt:lpstr>
      <vt:lpstr>Exportations</vt:lpstr>
      <vt:lpstr>Frais Export</vt:lpstr>
      <vt:lpstr>Synthese</vt:lpstr>
      <vt:lpstr>CR</vt:lpstr>
      <vt:lpstr>Amortissements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</cp:lastModifiedBy>
  <dcterms:modified xsi:type="dcterms:W3CDTF">2026-10-20T16:15:22Z</dcterms:modified>
</cp:coreProperties>
</file>