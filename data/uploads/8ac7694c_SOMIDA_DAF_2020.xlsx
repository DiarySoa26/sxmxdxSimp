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5F0D473-69B4-324A-BA4A-AB655510974D}" xr6:coauthVersionLast="47" xr6:coauthVersionMax="47" xr10:uidLastSave="{00000000-0000-0000-0000-000000000000}"/>
  <bookViews>
    <workbookView xWindow="0" yWindow="600" windowWidth="28800" windowHeight="16200" activeTab="6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7" l="1"/>
  <c r="M2" i="7"/>
  <c r="L2" i="7"/>
  <c r="K2" i="7"/>
  <c r="J2" i="7"/>
  <c r="I2" i="7"/>
  <c r="H2" i="7"/>
  <c r="G2" i="7"/>
  <c r="F2" i="7"/>
  <c r="E2" i="7"/>
  <c r="D2" i="7"/>
  <c r="C2" i="7"/>
  <c r="N4" i="7"/>
  <c r="M4" i="7"/>
  <c r="L4" i="7"/>
  <c r="K4" i="7"/>
  <c r="J4" i="7"/>
  <c r="I4" i="7"/>
  <c r="H4" i="7"/>
  <c r="G4" i="7"/>
  <c r="F4" i="7"/>
  <c r="E4" i="7"/>
  <c r="D4" i="7"/>
  <c r="C4" i="7"/>
  <c r="O4" i="7" s="1"/>
  <c r="N3" i="7"/>
  <c r="M3" i="7"/>
  <c r="L3" i="7"/>
  <c r="K3" i="7"/>
  <c r="J3" i="7"/>
  <c r="I3" i="7"/>
  <c r="H3" i="7"/>
  <c r="G3" i="7"/>
  <c r="F3" i="7"/>
  <c r="E3" i="7"/>
  <c r="D3" i="7"/>
  <c r="C3" i="7"/>
  <c r="O3" i="7" s="1"/>
  <c r="M5" i="5"/>
  <c r="J5" i="5"/>
  <c r="G5" i="5"/>
  <c r="D5" i="5"/>
  <c r="A5" i="5"/>
  <c r="O2" i="7" l="1"/>
</calcChain>
</file>

<file path=xl/sharedStrings.xml><?xml version="1.0" encoding="utf-8"?>
<sst xmlns="http://schemas.openxmlformats.org/spreadsheetml/2006/main" count="946" uniqueCount="270">
  <si>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</si>
  <si>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</si>
  <si>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</si>
  <si>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</si>
  <si>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</si>
  <si>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</si>
  <si>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</si>
  <si>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</si>
  <si>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</si>
  <si>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</si>
  <si>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</si>
  <si>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</si>
  <si>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</si>
  <si>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</si>
  <si>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</si>
  <si>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</si>
  <si>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</si>
  <si>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</si>
  <si>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</si>
  <si>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</si>
  <si>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</si>
  <si>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</si>
  <si>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</si>
  <si>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</si>
  <si>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</si>
  <si>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</si>
  <si>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</si>
  <si>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</si>
  <si>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</si>
  <si>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</si>
  <si>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</si>
  <si>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</si>
  <si>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</si>
  <si>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</si>
  <si>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</si>
  <si>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</si>
  <si>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</si>
  <si>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</si>
  <si>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</si>
  <si>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</si>
  <si>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</si>
  <si>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</si>
  <si>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</si>
  <si>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</si>
  <si>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</si>
  <si>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</si>
  <si>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</si>
  <si>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</si>
  <si>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</si>
  <si>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</si>
  <si>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</si>
  <si>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</si>
  <si>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</si>
  <si>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AMBOASARY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</si>
  <si>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</si>
  <si>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</si>
  <si>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</si>
  <si>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</si>
  <si>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</si>
  <si>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</si>
  <si>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</si>
  <si>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</si>
  <si>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</si>
  <si>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</si>
  <si>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</si>
  <si>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</si>
  <si>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</si>
  <si>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</si>
  <si>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</si>
  <si>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</si>
  <si>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</si>
  <si>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</si>
  <si>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</si>
  <si>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</si>
  <si>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</si>
  <si>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</si>
  <si>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</si>
  <si>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</si>
  <si>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</si>
  <si>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</si>
  <si>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</si>
  <si>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</si>
  <si>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</si>
  <si>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</si>
  <si>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</si>
  <si>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</si>
  <si>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</si>
  <si>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</si>
  <si>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RABARY Lalaina</t>
  </si>
  <si>
    <t>Contrôleur qualité</t>
  </si>
  <si>
    <t>EMP-012</t>
  </si>
  <si>
    <t>RAKOTOMALALA Tahina</t>
  </si>
  <si>
    <t>Opérateur traitement</t>
  </si>
  <si>
    <t>EMP-013</t>
  </si>
  <si>
    <t>ANDRIAMANANA Soa</t>
  </si>
  <si>
    <t>Coupeuse / trieuse</t>
  </si>
  <si>
    <t>EMP-014</t>
  </si>
  <si>
    <t>RAZAFINDRAKOTO Nomena</t>
  </si>
  <si>
    <t>TRANOMARO</t>
  </si>
  <si>
    <t>Logistique</t>
  </si>
  <si>
    <t>Responsable logistique</t>
  </si>
  <si>
    <t>EMP-015</t>
  </si>
  <si>
    <t>RANDRIAMBOLOLONA Finaritra</t>
  </si>
  <si>
    <t>Magasinier</t>
  </si>
  <si>
    <t>EMP-016</t>
  </si>
  <si>
    <t>RASOLO Harena</t>
  </si>
  <si>
    <t>Maintenance</t>
  </si>
  <si>
    <t>Technicien maintenance</t>
  </si>
  <si>
    <t>EMP-017</t>
  </si>
  <si>
    <t>RATSIMBAZAFY Faniry</t>
  </si>
  <si>
    <t>Sécurité</t>
  </si>
  <si>
    <t>Agent de sécurité</t>
  </si>
  <si>
    <t>EMP-018</t>
  </si>
  <si>
    <t>RAKOTONDRABE Tsiory</t>
  </si>
  <si>
    <t>Administration</t>
  </si>
  <si>
    <t>Assistant administratif</t>
  </si>
  <si>
    <t>EMP-019</t>
  </si>
  <si>
    <t>ANDRIANIRINA Mamy</t>
  </si>
  <si>
    <t>EMP-020</t>
  </si>
  <si>
    <t>RABENJA Felana</t>
  </si>
  <si>
    <t>EMP-021</t>
  </si>
  <si>
    <t>RAJAONARIVELO Faly</t>
  </si>
  <si>
    <t>EMP-022</t>
  </si>
  <si>
    <t>RANORO Haja</t>
  </si>
  <si>
    <t>EMP-023</t>
  </si>
  <si>
    <t>RAKOTOARISOA Tsanta</t>
  </si>
  <si>
    <t>EMP-024</t>
  </si>
  <si>
    <t>RASOANIRINA Lova</t>
  </si>
  <si>
    <t>EMP-025</t>
  </si>
  <si>
    <t>ANDRIAMAHENINA Onja</t>
  </si>
  <si>
    <t>EMP-026</t>
  </si>
  <si>
    <t>RAKOTOMANGA Fitia</t>
  </si>
  <si>
    <t>EMP-027</t>
  </si>
  <si>
    <t>RAKOTOVAO Tovo</t>
  </si>
  <si>
    <t>EMP-028</t>
  </si>
  <si>
    <t>RANDRIANASOLO Mendrika</t>
  </si>
  <si>
    <t>EMP-029</t>
  </si>
  <si>
    <t>RAVELO Aro</t>
  </si>
  <si>
    <t>EMP-030</t>
  </si>
  <si>
    <t>RAZAFIMAHATRATRA Vola</t>
  </si>
  <si>
    <t>EMP-031</t>
  </si>
  <si>
    <t>RAKOTOVOLOLONA Rado</t>
  </si>
  <si>
    <t>EMP-032</t>
  </si>
  <si>
    <t>RABEMANANJARA Hery</t>
  </si>
  <si>
    <t>EMP-033</t>
  </si>
  <si>
    <t>RAKOTOZAFY Mialy</t>
  </si>
  <si>
    <t>EMP-034</t>
  </si>
  <si>
    <t>RAZAFINDRAKOTOA Ando</t>
  </si>
  <si>
    <t>EMP-035</t>
  </si>
  <si>
    <t>RANAIVO Nantenaina</t>
  </si>
  <si>
    <t>EMP-036</t>
  </si>
  <si>
    <t>RABEHARISOA Nirina</t>
  </si>
  <si>
    <t>EMP-037</t>
  </si>
  <si>
    <t>RAKOTOMIARANA Toky</t>
  </si>
  <si>
    <t>EMP-038</t>
  </si>
  <si>
    <t>ANDRIATSIMBA Tiana</t>
  </si>
  <si>
    <t>EMP-039</t>
  </si>
  <si>
    <t>RASOAMALALA Sitraka</t>
  </si>
  <si>
    <t>EMP-040</t>
  </si>
  <si>
    <t>RAZAFINDRABE Aina</t>
  </si>
  <si>
    <t>EMP-041</t>
  </si>
  <si>
    <t>RATSIMANDRESY Fanja</t>
  </si>
  <si>
    <t>EMP-042</t>
  </si>
  <si>
    <t>RAKOTONIRINA Miora</t>
  </si>
  <si>
    <t>EMP-043</t>
  </si>
  <si>
    <t>RANDRIAMIHAMINA Hasina</t>
  </si>
  <si>
    <t>EMP-044</t>
  </si>
  <si>
    <t>RABEZAFY Feno</t>
  </si>
  <si>
    <t>EMP-045</t>
  </si>
  <si>
    <t>RANOMENJANAHARY Kanto</t>
  </si>
  <si>
    <t>EMP-046</t>
  </si>
  <si>
    <t>RAKOTONIAINA Mamy</t>
  </si>
  <si>
    <t>EMP-047</t>
  </si>
  <si>
    <t>RASOARIMALALA Tafita</t>
  </si>
  <si>
    <t>EMP-048</t>
  </si>
  <si>
    <t>ANDRIANJAFY Rija</t>
  </si>
  <si>
    <t>EMP-049</t>
  </si>
  <si>
    <t>RAKOTOMAHERY Vero</t>
  </si>
  <si>
    <t>EMP-050</t>
  </si>
  <si>
    <t>RAKOTONDRAJAO Lanto</t>
  </si>
  <si>
    <t>EMP-051</t>
  </si>
  <si>
    <t>RANDRIANANTENAINA Rindra</t>
  </si>
  <si>
    <t>EMP-052</t>
  </si>
  <si>
    <t>RAVAOARISOA Miary</t>
  </si>
  <si>
    <t>EMP-053</t>
  </si>
  <si>
    <t>RAZAFIMANANTSOA Solo</t>
  </si>
  <si>
    <t>EMP-054</t>
  </si>
  <si>
    <t>RAKOTONANAHARY Noro</t>
  </si>
  <si>
    <t>EMP-055</t>
  </si>
  <si>
    <t>RABEFENO Rina</t>
  </si>
  <si>
    <t>EMP-056</t>
  </si>
  <si>
    <t>RAKOTOMANANA Tina</t>
  </si>
  <si>
    <t>EMP-057</t>
  </si>
  <si>
    <t>RAKOTONANTENAINA Zo</t>
  </si>
  <si>
    <t>EMP-058</t>
  </si>
  <si>
    <t>RANDRIATSARA Rado</t>
  </si>
  <si>
    <t>EMP-059</t>
  </si>
  <si>
    <t>RASOLOFONIAINA Fetra</t>
  </si>
  <si>
    <t>EMP-060</t>
  </si>
  <si>
    <t>RAKOTOVONINA Rova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</si>
  <si>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</si>
  <si>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</si>
  <si>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</si>
  <si>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</si>
  <si>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</si>
  <si>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</si>
  <si>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</si>
  <si>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</si>
  <si>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</si>
  <si>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</si>
  <si>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</si>
  <si>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</si>
  <si>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</si>
  <si>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</si>
  <si>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</si>
  <si>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</si>
  <si>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</si>
  <si>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</si>
  <si>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</si>
  <si>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</si>
  <si>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</si>
  <si>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</si>
  <si>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</si>
  <si>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</si>
  <si>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</si>
  <si>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</si>
  <si>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</si>
  <si>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</si>
  <si>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</si>
  <si>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</si>
  <si>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</si>
  <si>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</si>
  <si>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</si>
  <si>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</si>
  <si>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</si>
  <si>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</si>
  <si>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</si>
  <si>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</si>
  <si>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</si>
  <si>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</si>
  <si>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</si>
  <si>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</si>
  <si>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</si>
  <si>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2025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</si>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</sst>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5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33" t="s">
        <v>0</v>
      </c>
      <c r="B1" s="33"/>
      <c r="C1" s="33"/>
      <c r="D1" s="33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2020</v>
      </c>
      <c r="C3" t="s">
        <v>6</v>
      </c>
      <c r="D3" t="s">
        <v>7</v>
      </c>
    </row>
    <row r="4" spans="1:4">
      <c r="A4" t="s">
        <v>8</v>
      </c>
      <c r="B4" s="3">
        <v>6.6900000000000001E-2</v>
      </c>
      <c r="C4" t="s">
        <v>9</v>
      </c>
      <c r="D4" t="s">
        <v>10</v>
      </c>
    </row>
    <row r="5" spans="1:4">
      <c r="A5" t="s">
        <v>11</v>
      </c>
      <c r="B5" s="2">
        <v>4410.51</v>
      </c>
      <c r="C5" t="s">
        <v>12</v>
      </c>
      <c r="D5" t="s">
        <v>13</v>
      </c>
    </row>
    <row r="6" spans="1:4">
      <c r="A6" t="s">
        <v>14</v>
      </c>
      <c r="B6" s="2">
        <v>31.47</v>
      </c>
      <c r="C6" t="s">
        <v>15</v>
      </c>
      <c r="D6" t="s">
        <v>13</v>
      </c>
    </row>
    <row r="7" spans="1:4">
      <c r="A7" t="s">
        <v>16</v>
      </c>
      <c r="B7" s="3">
        <v>7.6600000000000001E-2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6">
      <c r="A12" s="1" t="s">
        <v>26</v>
      </c>
      <c r="B12" s="1"/>
      <c r="C12" s="1"/>
      <c r="D12" s="1"/>
    </row>
    <row r="13" spans="1:4" ht="16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5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9355900</v>
      </c>
      <c r="G2" s="4">
        <v>1142500</v>
      </c>
      <c r="H2" s="4">
        <v>1688500</v>
      </c>
      <c r="I2" s="4">
        <v>12636000</v>
      </c>
      <c r="J2" t="s">
        <v>56</v>
      </c>
    </row>
    <row r="3" spans="1:10">
      <c r="A3" t="s">
        <v>57</v>
      </c>
      <c r="B3" t="s">
        <v>58</v>
      </c>
      <c r="C3" t="s">
        <v>53</v>
      </c>
      <c r="D3" t="s">
        <v>54</v>
      </c>
      <c r="E3" t="s">
        <v>59</v>
      </c>
      <c r="F3" s="4">
        <v>6745500</v>
      </c>
      <c r="G3" s="4">
        <v>670400</v>
      </c>
      <c r="H3" s="4">
        <v>1196400</v>
      </c>
      <c r="I3" s="4">
        <v>8920800</v>
      </c>
      <c r="J3" t="s">
        <v>56</v>
      </c>
    </row>
    <row r="4" spans="1:10">
      <c r="A4" t="s">
        <v>60</v>
      </c>
      <c r="B4" t="s">
        <v>61</v>
      </c>
      <c r="C4" t="s">
        <v>21</v>
      </c>
      <c r="D4" t="s">
        <v>62</v>
      </c>
      <c r="E4" t="s">
        <v>63</v>
      </c>
      <c r="F4" s="4">
        <v>3862100</v>
      </c>
      <c r="G4" s="4">
        <v>196900</v>
      </c>
      <c r="H4" s="4">
        <v>705600</v>
      </c>
      <c r="I4" s="4">
        <v>4986000</v>
      </c>
      <c r="J4" t="s">
        <v>56</v>
      </c>
    </row>
    <row r="5" spans="1:10">
      <c r="A5" t="s">
        <v>64</v>
      </c>
      <c r="B5" t="s">
        <v>65</v>
      </c>
      <c r="C5" t="s">
        <v>24</v>
      </c>
      <c r="D5" t="s">
        <v>62</v>
      </c>
      <c r="E5" t="s">
        <v>66</v>
      </c>
      <c r="F5" s="4">
        <v>2356100</v>
      </c>
      <c r="G5" s="4">
        <v>116100</v>
      </c>
      <c r="H5" s="4">
        <v>427300</v>
      </c>
      <c r="I5" s="4">
        <v>3011040</v>
      </c>
      <c r="J5" t="s">
        <v>56</v>
      </c>
    </row>
    <row r="6" spans="1:10">
      <c r="A6" t="s">
        <v>67</v>
      </c>
      <c r="B6" t="s">
        <v>68</v>
      </c>
      <c r="C6" t="s">
        <v>21</v>
      </c>
      <c r="D6" t="s">
        <v>62</v>
      </c>
      <c r="E6" t="s">
        <v>69</v>
      </c>
      <c r="F6" s="4">
        <v>1761400</v>
      </c>
      <c r="G6" s="4">
        <v>89400</v>
      </c>
      <c r="H6" s="4">
        <v>317500</v>
      </c>
      <c r="I6" s="4">
        <v>2249280</v>
      </c>
      <c r="J6" t="s">
        <v>56</v>
      </c>
    </row>
    <row r="7" spans="1:10">
      <c r="A7" t="s">
        <v>70</v>
      </c>
      <c r="B7" t="s">
        <v>71</v>
      </c>
      <c r="C7" t="s">
        <v>24</v>
      </c>
      <c r="D7" t="s">
        <v>72</v>
      </c>
      <c r="E7" t="s">
        <v>73</v>
      </c>
      <c r="F7" s="4">
        <v>3319800</v>
      </c>
      <c r="G7" s="4">
        <v>163600</v>
      </c>
      <c r="H7" s="4">
        <v>587600</v>
      </c>
      <c r="I7" s="4">
        <v>4242240</v>
      </c>
      <c r="J7" t="s">
        <v>56</v>
      </c>
    </row>
    <row r="8" spans="1:10">
      <c r="A8" t="s">
        <v>74</v>
      </c>
      <c r="B8" t="s">
        <v>75</v>
      </c>
      <c r="C8" t="s">
        <v>21</v>
      </c>
      <c r="D8" t="s">
        <v>76</v>
      </c>
      <c r="E8" t="s">
        <v>77</v>
      </c>
      <c r="F8" s="4">
        <v>3727600</v>
      </c>
      <c r="G8" s="4">
        <v>298200</v>
      </c>
      <c r="H8" s="4">
        <v>653200</v>
      </c>
      <c r="I8" s="4">
        <v>4798800</v>
      </c>
      <c r="J8" t="s">
        <v>56</v>
      </c>
    </row>
    <row r="9" spans="1:10">
      <c r="A9" t="s">
        <v>78</v>
      </c>
      <c r="B9" t="s">
        <v>79</v>
      </c>
      <c r="C9" t="s">
        <v>53</v>
      </c>
      <c r="D9" t="s">
        <v>76</v>
      </c>
      <c r="E9" t="s">
        <v>80</v>
      </c>
      <c r="F9" s="4">
        <v>2087500</v>
      </c>
      <c r="G9" s="4">
        <v>248800</v>
      </c>
      <c r="H9" s="4">
        <v>365300</v>
      </c>
      <c r="I9" s="4">
        <v>2779920</v>
      </c>
      <c r="J9" t="s">
        <v>56</v>
      </c>
    </row>
    <row r="10" spans="1:10">
      <c r="A10" t="s">
        <v>81</v>
      </c>
      <c r="B10" t="s">
        <v>82</v>
      </c>
      <c r="C10" t="s">
        <v>24</v>
      </c>
      <c r="D10" t="s">
        <v>25</v>
      </c>
      <c r="E10" t="s">
        <v>83</v>
      </c>
      <c r="F10" s="4">
        <v>3836000</v>
      </c>
      <c r="G10" s="4">
        <v>187000</v>
      </c>
      <c r="H10" s="4">
        <v>689700</v>
      </c>
      <c r="I10" s="4">
        <v>4808880</v>
      </c>
      <c r="J10" t="s">
        <v>56</v>
      </c>
    </row>
    <row r="11" spans="1:10">
      <c r="A11" t="s">
        <v>84</v>
      </c>
      <c r="B11" t="s">
        <v>85</v>
      </c>
      <c r="C11" t="s">
        <v>21</v>
      </c>
      <c r="D11" t="s">
        <v>25</v>
      </c>
      <c r="E11" t="s">
        <v>86</v>
      </c>
      <c r="F11" s="4">
        <v>2349800</v>
      </c>
      <c r="G11" s="4">
        <v>191800</v>
      </c>
      <c r="H11" s="4">
        <v>430200</v>
      </c>
      <c r="I11" s="4">
        <v>3129840</v>
      </c>
      <c r="J11" t="s">
        <v>56</v>
      </c>
    </row>
    <row r="12" spans="1:10">
      <c r="A12" t="s">
        <v>87</v>
      </c>
      <c r="B12" t="s">
        <v>88</v>
      </c>
      <c r="C12" t="s">
        <v>24</v>
      </c>
      <c r="D12" t="s">
        <v>25</v>
      </c>
      <c r="E12" t="s">
        <v>89</v>
      </c>
      <c r="F12" s="4">
        <v>1948700</v>
      </c>
      <c r="G12" s="4">
        <v>99000</v>
      </c>
      <c r="H12" s="4">
        <v>352600</v>
      </c>
      <c r="I12" s="4">
        <v>2506320</v>
      </c>
      <c r="J12" t="s">
        <v>56</v>
      </c>
    </row>
    <row r="13" spans="1:10">
      <c r="A13" t="s">
        <v>90</v>
      </c>
      <c r="B13" t="s">
        <v>91</v>
      </c>
      <c r="C13" t="s">
        <v>21</v>
      </c>
      <c r="D13" t="s">
        <v>25</v>
      </c>
      <c r="E13" t="s">
        <v>92</v>
      </c>
      <c r="F13" s="4">
        <v>1270300</v>
      </c>
      <c r="G13" s="4">
        <v>127500</v>
      </c>
      <c r="H13" s="4">
        <v>228400</v>
      </c>
      <c r="I13" s="4">
        <v>1686240</v>
      </c>
      <c r="J13" t="s">
        <v>56</v>
      </c>
    </row>
    <row r="14" spans="1:10">
      <c r="A14" t="s">
        <v>93</v>
      </c>
      <c r="B14" t="s">
        <v>94</v>
      </c>
      <c r="C14" t="s">
        <v>21</v>
      </c>
      <c r="D14" t="s">
        <v>25</v>
      </c>
      <c r="E14" t="s">
        <v>95</v>
      </c>
      <c r="F14" s="4">
        <v>984800</v>
      </c>
      <c r="G14" s="4">
        <v>98700</v>
      </c>
      <c r="H14" s="4">
        <v>176700</v>
      </c>
      <c r="I14" s="4">
        <v>1299600</v>
      </c>
      <c r="J14" t="s">
        <v>56</v>
      </c>
    </row>
    <row r="15" spans="1:10">
      <c r="A15" t="s">
        <v>96</v>
      </c>
      <c r="B15" t="s">
        <v>97</v>
      </c>
      <c r="C15" t="s">
        <v>98</v>
      </c>
      <c r="D15" t="s">
        <v>99</v>
      </c>
      <c r="E15" t="s">
        <v>100</v>
      </c>
      <c r="F15" s="4">
        <v>3223200</v>
      </c>
      <c r="G15" s="4">
        <v>257900</v>
      </c>
      <c r="H15" s="4">
        <v>579100</v>
      </c>
      <c r="I15" s="4">
        <v>4154400</v>
      </c>
      <c r="J15" t="s">
        <v>56</v>
      </c>
    </row>
    <row r="16" spans="1:10">
      <c r="A16" t="s">
        <v>101</v>
      </c>
      <c r="B16" t="s">
        <v>102</v>
      </c>
      <c r="C16" t="s">
        <v>24</v>
      </c>
      <c r="D16" t="s">
        <v>99</v>
      </c>
      <c r="E16" t="s">
        <v>103</v>
      </c>
      <c r="F16" s="4">
        <v>1203500</v>
      </c>
      <c r="G16" s="4">
        <v>142500</v>
      </c>
      <c r="H16" s="4">
        <v>216100</v>
      </c>
      <c r="I16" s="4">
        <v>1609920</v>
      </c>
      <c r="J16" t="s">
        <v>56</v>
      </c>
    </row>
    <row r="17" spans="1:10">
      <c r="A17" t="s">
        <v>104</v>
      </c>
      <c r="B17" t="s">
        <v>105</v>
      </c>
      <c r="C17" t="s">
        <v>24</v>
      </c>
      <c r="D17" t="s">
        <v>106</v>
      </c>
      <c r="E17" t="s">
        <v>107</v>
      </c>
      <c r="F17" s="4">
        <v>1811500</v>
      </c>
      <c r="G17" s="4">
        <v>213300</v>
      </c>
      <c r="H17" s="4">
        <v>324500</v>
      </c>
      <c r="I17" s="4">
        <v>2414880</v>
      </c>
      <c r="J17" t="s">
        <v>56</v>
      </c>
    </row>
    <row r="18" spans="1:10">
      <c r="A18" t="s">
        <v>108</v>
      </c>
      <c r="B18" t="s">
        <v>109</v>
      </c>
      <c r="C18" t="s">
        <v>24</v>
      </c>
      <c r="D18" t="s">
        <v>110</v>
      </c>
      <c r="E18" t="s">
        <v>111</v>
      </c>
      <c r="F18" s="4">
        <v>941900</v>
      </c>
      <c r="G18" s="4">
        <v>112200</v>
      </c>
      <c r="H18" s="4">
        <v>164500</v>
      </c>
      <c r="I18" s="4">
        <v>1254240</v>
      </c>
      <c r="J18" t="s">
        <v>56</v>
      </c>
    </row>
    <row r="19" spans="1:10">
      <c r="A19" t="s">
        <v>112</v>
      </c>
      <c r="B19" t="s">
        <v>113</v>
      </c>
      <c r="C19" t="s">
        <v>98</v>
      </c>
      <c r="D19" t="s">
        <v>114</v>
      </c>
      <c r="E19" t="s">
        <v>115</v>
      </c>
      <c r="F19" s="4">
        <v>1414500</v>
      </c>
      <c r="G19" s="4">
        <v>141500</v>
      </c>
      <c r="H19" s="4">
        <v>262000</v>
      </c>
      <c r="I19" s="4">
        <v>1898640</v>
      </c>
      <c r="J19" t="s">
        <v>56</v>
      </c>
    </row>
    <row r="20" spans="1:10">
      <c r="A20" t="s">
        <v>116</v>
      </c>
      <c r="B20" t="s">
        <v>117</v>
      </c>
      <c r="C20" t="s">
        <v>21</v>
      </c>
      <c r="D20" t="s">
        <v>54</v>
      </c>
      <c r="E20" t="s">
        <v>55</v>
      </c>
      <c r="F20" s="4">
        <v>9894300</v>
      </c>
      <c r="G20" s="4">
        <v>993200</v>
      </c>
      <c r="H20" s="4">
        <v>1729900</v>
      </c>
      <c r="I20" s="4">
        <v>12994560</v>
      </c>
      <c r="J20" t="s">
        <v>56</v>
      </c>
    </row>
    <row r="21" spans="1:10">
      <c r="A21" t="s">
        <v>118</v>
      </c>
      <c r="B21" t="s">
        <v>119</v>
      </c>
      <c r="C21" t="s">
        <v>21</v>
      </c>
      <c r="D21" t="s">
        <v>54</v>
      </c>
      <c r="E21" t="s">
        <v>59</v>
      </c>
      <c r="F21" s="4">
        <v>6611500</v>
      </c>
      <c r="G21" s="4">
        <v>660100</v>
      </c>
      <c r="H21" s="4">
        <v>1201600</v>
      </c>
      <c r="I21" s="4">
        <v>8920800</v>
      </c>
      <c r="J21" t="s">
        <v>56</v>
      </c>
    </row>
    <row r="22" spans="1:10">
      <c r="A22" t="s">
        <v>120</v>
      </c>
      <c r="B22" t="s">
        <v>121</v>
      </c>
      <c r="C22" t="s">
        <v>21</v>
      </c>
      <c r="D22" t="s">
        <v>62</v>
      </c>
      <c r="E22" t="s">
        <v>63</v>
      </c>
      <c r="F22" s="4">
        <v>3779700</v>
      </c>
      <c r="G22" s="4">
        <v>379400</v>
      </c>
      <c r="H22" s="4">
        <v>679900</v>
      </c>
      <c r="I22" s="4">
        <v>4949280</v>
      </c>
      <c r="J22" t="s">
        <v>56</v>
      </c>
    </row>
    <row r="23" spans="1:10">
      <c r="A23" t="s">
        <v>122</v>
      </c>
      <c r="B23" t="s">
        <v>123</v>
      </c>
      <c r="C23" t="s">
        <v>24</v>
      </c>
      <c r="D23" t="s">
        <v>62</v>
      </c>
      <c r="E23" t="s">
        <v>66</v>
      </c>
      <c r="F23" s="4">
        <v>2315900</v>
      </c>
      <c r="G23" s="4">
        <v>188900</v>
      </c>
      <c r="H23" s="4">
        <v>429200</v>
      </c>
      <c r="I23" s="4">
        <v>3075120</v>
      </c>
      <c r="J23" t="s">
        <v>56</v>
      </c>
    </row>
    <row r="24" spans="1:10">
      <c r="A24" t="s">
        <v>124</v>
      </c>
      <c r="B24" t="s">
        <v>125</v>
      </c>
      <c r="C24" t="s">
        <v>24</v>
      </c>
      <c r="D24" t="s">
        <v>62</v>
      </c>
      <c r="E24" t="s">
        <v>69</v>
      </c>
      <c r="F24" s="4">
        <v>1574200</v>
      </c>
      <c r="G24" s="4">
        <v>159300</v>
      </c>
      <c r="H24" s="4">
        <v>282000</v>
      </c>
      <c r="I24" s="4">
        <v>2092320</v>
      </c>
      <c r="J24" t="s">
        <v>56</v>
      </c>
    </row>
    <row r="25" spans="1:10">
      <c r="A25" t="s">
        <v>126</v>
      </c>
      <c r="B25" t="s">
        <v>127</v>
      </c>
      <c r="C25" t="s">
        <v>21</v>
      </c>
      <c r="D25" t="s">
        <v>72</v>
      </c>
      <c r="E25" t="s">
        <v>73</v>
      </c>
      <c r="F25" s="4">
        <v>3467700</v>
      </c>
      <c r="G25" s="4">
        <v>171400</v>
      </c>
      <c r="H25" s="4">
        <v>622100</v>
      </c>
      <c r="I25" s="4">
        <v>4436640</v>
      </c>
      <c r="J25" t="s">
        <v>56</v>
      </c>
    </row>
    <row r="26" spans="1:10">
      <c r="A26" t="s">
        <v>128</v>
      </c>
      <c r="B26" t="s">
        <v>129</v>
      </c>
      <c r="C26" t="s">
        <v>24</v>
      </c>
      <c r="D26" t="s">
        <v>76</v>
      </c>
      <c r="E26" t="s">
        <v>77</v>
      </c>
      <c r="F26" s="4">
        <v>4005800</v>
      </c>
      <c r="G26" s="4">
        <v>321700</v>
      </c>
      <c r="H26" s="4">
        <v>729900</v>
      </c>
      <c r="I26" s="4">
        <v>5235120</v>
      </c>
      <c r="J26" t="s">
        <v>56</v>
      </c>
    </row>
    <row r="27" spans="1:10">
      <c r="A27" t="s">
        <v>130</v>
      </c>
      <c r="B27" t="s">
        <v>131</v>
      </c>
      <c r="C27" t="s">
        <v>24</v>
      </c>
      <c r="D27" t="s">
        <v>76</v>
      </c>
      <c r="E27" t="s">
        <v>80</v>
      </c>
      <c r="F27" s="4">
        <v>2140300</v>
      </c>
      <c r="G27" s="4">
        <v>212500</v>
      </c>
      <c r="H27" s="4">
        <v>382200</v>
      </c>
      <c r="I27" s="4">
        <v>2810880</v>
      </c>
      <c r="J27" t="s">
        <v>56</v>
      </c>
    </row>
    <row r="28" spans="1:10">
      <c r="A28" t="s">
        <v>132</v>
      </c>
      <c r="B28" t="s">
        <v>133</v>
      </c>
      <c r="C28" t="s">
        <v>24</v>
      </c>
      <c r="D28" t="s">
        <v>25</v>
      </c>
      <c r="E28" t="s">
        <v>83</v>
      </c>
      <c r="F28" s="4">
        <v>3760100</v>
      </c>
      <c r="G28" s="4">
        <v>189100</v>
      </c>
      <c r="H28" s="4">
        <v>684600</v>
      </c>
      <c r="I28" s="4">
        <v>4773600</v>
      </c>
      <c r="J28" t="s">
        <v>56</v>
      </c>
    </row>
    <row r="29" spans="1:10">
      <c r="A29" t="s">
        <v>134</v>
      </c>
      <c r="B29" t="s">
        <v>135</v>
      </c>
      <c r="C29" t="s">
        <v>21</v>
      </c>
      <c r="D29" t="s">
        <v>25</v>
      </c>
      <c r="E29" t="s">
        <v>86</v>
      </c>
      <c r="F29" s="4">
        <v>2414900</v>
      </c>
      <c r="G29" s="4">
        <v>118900</v>
      </c>
      <c r="H29" s="4">
        <v>435800</v>
      </c>
      <c r="I29" s="4">
        <v>3064320</v>
      </c>
      <c r="J29" t="s">
        <v>56</v>
      </c>
    </row>
    <row r="30" spans="1:10">
      <c r="A30" t="s">
        <v>136</v>
      </c>
      <c r="B30" t="s">
        <v>137</v>
      </c>
      <c r="C30" t="s">
        <v>24</v>
      </c>
      <c r="D30" t="s">
        <v>25</v>
      </c>
      <c r="E30" t="s">
        <v>89</v>
      </c>
      <c r="F30" s="4">
        <v>1807800</v>
      </c>
      <c r="G30" s="4">
        <v>144900</v>
      </c>
      <c r="H30" s="4">
        <v>336200</v>
      </c>
      <c r="I30" s="4">
        <v>2404080</v>
      </c>
      <c r="J30" t="s">
        <v>56</v>
      </c>
    </row>
    <row r="31" spans="1:10">
      <c r="A31" t="s">
        <v>138</v>
      </c>
      <c r="B31" t="s">
        <v>139</v>
      </c>
      <c r="C31" t="s">
        <v>21</v>
      </c>
      <c r="D31" t="s">
        <v>25</v>
      </c>
      <c r="E31" t="s">
        <v>92</v>
      </c>
      <c r="F31" s="4">
        <v>1352000</v>
      </c>
      <c r="G31" s="4">
        <v>108600</v>
      </c>
      <c r="H31" s="4">
        <v>240400</v>
      </c>
      <c r="I31" s="4">
        <v>1742400</v>
      </c>
      <c r="J31" t="s">
        <v>56</v>
      </c>
    </row>
    <row r="32" spans="1:10">
      <c r="A32" t="s">
        <v>140</v>
      </c>
      <c r="B32" t="s">
        <v>141</v>
      </c>
      <c r="C32" t="s">
        <v>21</v>
      </c>
      <c r="D32" t="s">
        <v>25</v>
      </c>
      <c r="E32" t="s">
        <v>95</v>
      </c>
      <c r="F32" s="4">
        <v>878600</v>
      </c>
      <c r="G32" s="4">
        <v>107800</v>
      </c>
      <c r="H32" s="4">
        <v>159000</v>
      </c>
      <c r="I32" s="4">
        <v>1198080</v>
      </c>
      <c r="J32" t="s">
        <v>56</v>
      </c>
    </row>
    <row r="33" spans="1:10">
      <c r="A33" t="s">
        <v>142</v>
      </c>
      <c r="B33" t="s">
        <v>143</v>
      </c>
      <c r="C33" t="s">
        <v>98</v>
      </c>
      <c r="D33" t="s">
        <v>99</v>
      </c>
      <c r="E33" t="s">
        <v>100</v>
      </c>
      <c r="F33" s="4">
        <v>2820300</v>
      </c>
      <c r="G33" s="4">
        <v>222200</v>
      </c>
      <c r="H33" s="4">
        <v>501100</v>
      </c>
      <c r="I33" s="4">
        <v>3664800</v>
      </c>
      <c r="J33" t="s">
        <v>56</v>
      </c>
    </row>
    <row r="34" spans="1:10">
      <c r="A34" t="s">
        <v>144</v>
      </c>
      <c r="B34" t="s">
        <v>145</v>
      </c>
      <c r="C34" t="s">
        <v>21</v>
      </c>
      <c r="D34" t="s">
        <v>99</v>
      </c>
      <c r="E34" t="s">
        <v>103</v>
      </c>
      <c r="F34" s="4">
        <v>1170000</v>
      </c>
      <c r="G34" s="4">
        <v>115400</v>
      </c>
      <c r="H34" s="4">
        <v>211100</v>
      </c>
      <c r="I34" s="4">
        <v>1557360</v>
      </c>
      <c r="J34" t="s">
        <v>56</v>
      </c>
    </row>
    <row r="35" spans="1:10">
      <c r="A35" t="s">
        <v>146</v>
      </c>
      <c r="B35" t="s">
        <v>147</v>
      </c>
      <c r="C35" t="s">
        <v>24</v>
      </c>
      <c r="D35" t="s">
        <v>106</v>
      </c>
      <c r="E35" t="s">
        <v>107</v>
      </c>
      <c r="F35" s="4">
        <v>1842400</v>
      </c>
      <c r="G35" s="4">
        <v>145200</v>
      </c>
      <c r="H35" s="4">
        <v>321300</v>
      </c>
      <c r="I35" s="4">
        <v>2377440</v>
      </c>
      <c r="J35" t="s">
        <v>56</v>
      </c>
    </row>
    <row r="36" spans="1:10">
      <c r="A36" t="s">
        <v>148</v>
      </c>
      <c r="B36" t="s">
        <v>149</v>
      </c>
      <c r="C36" t="s">
        <v>21</v>
      </c>
      <c r="D36" t="s">
        <v>110</v>
      </c>
      <c r="E36" t="s">
        <v>111</v>
      </c>
      <c r="F36" s="4">
        <v>855200</v>
      </c>
      <c r="G36" s="4">
        <v>86800</v>
      </c>
      <c r="H36" s="4">
        <v>153200</v>
      </c>
      <c r="I36" s="4">
        <v>1152000</v>
      </c>
      <c r="J36" t="s">
        <v>56</v>
      </c>
    </row>
    <row r="37" spans="1:10">
      <c r="A37" t="s">
        <v>150</v>
      </c>
      <c r="B37" t="s">
        <v>151</v>
      </c>
      <c r="C37" t="s">
        <v>24</v>
      </c>
      <c r="D37" t="s">
        <v>114</v>
      </c>
      <c r="E37" t="s">
        <v>115</v>
      </c>
      <c r="F37" s="4">
        <v>1535500</v>
      </c>
      <c r="G37" s="4">
        <v>119300</v>
      </c>
      <c r="H37" s="4">
        <v>269600</v>
      </c>
      <c r="I37" s="4">
        <v>1977120</v>
      </c>
      <c r="J37" t="s">
        <v>56</v>
      </c>
    </row>
    <row r="38" spans="1:10">
      <c r="A38" t="s">
        <v>152</v>
      </c>
      <c r="B38" t="s">
        <v>153</v>
      </c>
      <c r="C38" t="s">
        <v>21</v>
      </c>
      <c r="D38" t="s">
        <v>54</v>
      </c>
      <c r="E38" t="s">
        <v>55</v>
      </c>
      <c r="F38" s="4">
        <v>9210100</v>
      </c>
      <c r="G38" s="4">
        <v>729800</v>
      </c>
      <c r="H38" s="4">
        <v>1636000</v>
      </c>
      <c r="I38" s="4">
        <v>12039120</v>
      </c>
      <c r="J38" t="s">
        <v>56</v>
      </c>
    </row>
    <row r="39" spans="1:10">
      <c r="A39" t="s">
        <v>154</v>
      </c>
      <c r="B39" t="s">
        <v>155</v>
      </c>
      <c r="C39" t="s">
        <v>24</v>
      </c>
      <c r="D39" t="s">
        <v>54</v>
      </c>
      <c r="E39" t="s">
        <v>59</v>
      </c>
      <c r="F39" s="4">
        <v>6764700</v>
      </c>
      <c r="G39" s="4">
        <v>530200</v>
      </c>
      <c r="H39" s="4">
        <v>1226700</v>
      </c>
      <c r="I39" s="4">
        <v>8754480</v>
      </c>
      <c r="J39" t="s">
        <v>56</v>
      </c>
    </row>
    <row r="40" spans="1:10">
      <c r="A40" t="s">
        <v>156</v>
      </c>
      <c r="B40" t="s">
        <v>157</v>
      </c>
      <c r="C40" t="s">
        <v>21</v>
      </c>
      <c r="D40" t="s">
        <v>62</v>
      </c>
      <c r="E40" t="s">
        <v>63</v>
      </c>
      <c r="F40" s="4">
        <v>3739000</v>
      </c>
      <c r="G40" s="4">
        <v>297900</v>
      </c>
      <c r="H40" s="4">
        <v>677500</v>
      </c>
      <c r="I40" s="4">
        <v>4898880</v>
      </c>
      <c r="J40" t="s">
        <v>56</v>
      </c>
    </row>
    <row r="41" spans="1:10">
      <c r="A41" t="s">
        <v>158</v>
      </c>
      <c r="B41" t="s">
        <v>159</v>
      </c>
      <c r="C41" t="s">
        <v>21</v>
      </c>
      <c r="D41" t="s">
        <v>62</v>
      </c>
      <c r="E41" t="s">
        <v>66</v>
      </c>
      <c r="F41" s="4">
        <v>2652900</v>
      </c>
      <c r="G41" s="4">
        <v>264900</v>
      </c>
      <c r="H41" s="4">
        <v>472000</v>
      </c>
      <c r="I41" s="4">
        <v>3492720</v>
      </c>
      <c r="J41" t="s">
        <v>56</v>
      </c>
    </row>
    <row r="42" spans="1:10">
      <c r="A42" t="s">
        <v>160</v>
      </c>
      <c r="B42" t="s">
        <v>161</v>
      </c>
      <c r="C42" t="s">
        <v>53</v>
      </c>
      <c r="D42" t="s">
        <v>62</v>
      </c>
      <c r="E42" t="s">
        <v>69</v>
      </c>
      <c r="F42" s="4">
        <v>1632200</v>
      </c>
      <c r="G42" s="4">
        <v>163000</v>
      </c>
      <c r="H42" s="4">
        <v>290700</v>
      </c>
      <c r="I42" s="4">
        <v>2156400</v>
      </c>
      <c r="J42" t="s">
        <v>56</v>
      </c>
    </row>
    <row r="43" spans="1:10">
      <c r="A43" t="s">
        <v>162</v>
      </c>
      <c r="B43" t="s">
        <v>163</v>
      </c>
      <c r="C43" t="s">
        <v>21</v>
      </c>
      <c r="D43" t="s">
        <v>72</v>
      </c>
      <c r="E43" t="s">
        <v>73</v>
      </c>
      <c r="F43" s="4">
        <v>3510500</v>
      </c>
      <c r="G43" s="4">
        <v>282600</v>
      </c>
      <c r="H43" s="4">
        <v>633600</v>
      </c>
      <c r="I43" s="4">
        <v>4608000</v>
      </c>
      <c r="J43" t="s">
        <v>56</v>
      </c>
    </row>
    <row r="44" spans="1:10">
      <c r="A44" t="s">
        <v>164</v>
      </c>
      <c r="B44" t="s">
        <v>165</v>
      </c>
      <c r="C44" t="s">
        <v>24</v>
      </c>
      <c r="D44" t="s">
        <v>76</v>
      </c>
      <c r="E44" t="s">
        <v>77</v>
      </c>
      <c r="F44" s="4">
        <v>3920800</v>
      </c>
      <c r="G44" s="4">
        <v>458500</v>
      </c>
      <c r="H44" s="4">
        <v>686200</v>
      </c>
      <c r="I44" s="4">
        <v>5213520</v>
      </c>
      <c r="J44" t="s">
        <v>56</v>
      </c>
    </row>
    <row r="45" spans="1:10">
      <c r="A45" t="s">
        <v>166</v>
      </c>
      <c r="B45" t="s">
        <v>167</v>
      </c>
      <c r="C45" t="s">
        <v>21</v>
      </c>
      <c r="D45" t="s">
        <v>76</v>
      </c>
      <c r="E45" t="s">
        <v>80</v>
      </c>
      <c r="F45" s="4">
        <v>2087200</v>
      </c>
      <c r="G45" s="4">
        <v>214000</v>
      </c>
      <c r="H45" s="4">
        <v>380700</v>
      </c>
      <c r="I45" s="4">
        <v>2820240</v>
      </c>
      <c r="J45" t="s">
        <v>56</v>
      </c>
    </row>
    <row r="46" spans="1:10">
      <c r="A46" t="s">
        <v>168</v>
      </c>
      <c r="B46" t="s">
        <v>169</v>
      </c>
      <c r="C46" t="s">
        <v>53</v>
      </c>
      <c r="D46" t="s">
        <v>25</v>
      </c>
      <c r="E46" t="s">
        <v>83</v>
      </c>
      <c r="F46" s="4">
        <v>3946900</v>
      </c>
      <c r="G46" s="4">
        <v>319400</v>
      </c>
      <c r="H46" s="4">
        <v>706300</v>
      </c>
      <c r="I46" s="4">
        <v>5152320</v>
      </c>
      <c r="J46" t="s">
        <v>56</v>
      </c>
    </row>
    <row r="47" spans="1:10">
      <c r="A47" t="s">
        <v>170</v>
      </c>
      <c r="B47" t="s">
        <v>171</v>
      </c>
      <c r="C47" t="s">
        <v>21</v>
      </c>
      <c r="D47" t="s">
        <v>25</v>
      </c>
      <c r="E47" t="s">
        <v>86</v>
      </c>
      <c r="F47" s="4">
        <v>2553900</v>
      </c>
      <c r="G47" s="4">
        <v>204300</v>
      </c>
      <c r="H47" s="4">
        <v>463800</v>
      </c>
      <c r="I47" s="4">
        <v>3311280</v>
      </c>
      <c r="J47" t="s">
        <v>56</v>
      </c>
    </row>
    <row r="48" spans="1:10">
      <c r="A48" t="s">
        <v>172</v>
      </c>
      <c r="B48" t="s">
        <v>173</v>
      </c>
      <c r="C48" t="s">
        <v>24</v>
      </c>
      <c r="D48" t="s">
        <v>25</v>
      </c>
      <c r="E48" t="s">
        <v>89</v>
      </c>
      <c r="F48" s="4">
        <v>1842900</v>
      </c>
      <c r="G48" s="4">
        <v>146700</v>
      </c>
      <c r="H48" s="4">
        <v>326400</v>
      </c>
      <c r="I48" s="4">
        <v>2368080</v>
      </c>
      <c r="J48" t="s">
        <v>56</v>
      </c>
    </row>
    <row r="49" spans="1:10">
      <c r="A49" t="s">
        <v>174</v>
      </c>
      <c r="B49" t="s">
        <v>175</v>
      </c>
      <c r="C49" t="s">
        <v>24</v>
      </c>
      <c r="D49" t="s">
        <v>25</v>
      </c>
      <c r="E49" t="s">
        <v>92</v>
      </c>
      <c r="F49" s="4">
        <v>1253900</v>
      </c>
      <c r="G49" s="4">
        <v>102500</v>
      </c>
      <c r="H49" s="4">
        <v>226400</v>
      </c>
      <c r="I49" s="4">
        <v>1651680</v>
      </c>
      <c r="J49" t="s">
        <v>56</v>
      </c>
    </row>
    <row r="50" spans="1:10">
      <c r="A50" t="s">
        <v>176</v>
      </c>
      <c r="B50" t="s">
        <v>177</v>
      </c>
      <c r="C50" t="s">
        <v>21</v>
      </c>
      <c r="D50" t="s">
        <v>25</v>
      </c>
      <c r="E50" t="s">
        <v>95</v>
      </c>
      <c r="F50" s="4">
        <v>971800</v>
      </c>
      <c r="G50" s="4">
        <v>49100</v>
      </c>
      <c r="H50" s="4">
        <v>176000</v>
      </c>
      <c r="I50" s="4">
        <v>1257840</v>
      </c>
      <c r="J50" t="s">
        <v>56</v>
      </c>
    </row>
    <row r="51" spans="1:10">
      <c r="A51" t="s">
        <v>178</v>
      </c>
      <c r="B51" t="s">
        <v>179</v>
      </c>
      <c r="C51" t="s">
        <v>98</v>
      </c>
      <c r="D51" t="s">
        <v>99</v>
      </c>
      <c r="E51" t="s">
        <v>100</v>
      </c>
      <c r="F51" s="4">
        <v>2889500</v>
      </c>
      <c r="G51" s="4">
        <v>144300</v>
      </c>
      <c r="H51" s="4">
        <v>521200</v>
      </c>
      <c r="I51" s="4">
        <v>3701520</v>
      </c>
      <c r="J51" t="s">
        <v>56</v>
      </c>
    </row>
    <row r="52" spans="1:10">
      <c r="A52" t="s">
        <v>180</v>
      </c>
      <c r="B52" t="s">
        <v>181</v>
      </c>
      <c r="C52" t="s">
        <v>98</v>
      </c>
      <c r="D52" t="s">
        <v>99</v>
      </c>
      <c r="E52" t="s">
        <v>103</v>
      </c>
      <c r="F52" s="4">
        <v>1128900</v>
      </c>
      <c r="G52" s="4">
        <v>56600</v>
      </c>
      <c r="H52" s="4">
        <v>201000</v>
      </c>
      <c r="I52" s="4">
        <v>1443600</v>
      </c>
      <c r="J52" t="s">
        <v>56</v>
      </c>
    </row>
    <row r="53" spans="1:10">
      <c r="A53" t="s">
        <v>182</v>
      </c>
      <c r="B53" t="s">
        <v>183</v>
      </c>
      <c r="C53" t="s">
        <v>24</v>
      </c>
      <c r="D53" t="s">
        <v>106</v>
      </c>
      <c r="E53" t="s">
        <v>107</v>
      </c>
      <c r="F53" s="4">
        <v>1755500</v>
      </c>
      <c r="G53" s="4">
        <v>174400</v>
      </c>
      <c r="H53" s="4">
        <v>312300</v>
      </c>
      <c r="I53" s="4">
        <v>2304000</v>
      </c>
      <c r="J53" t="s">
        <v>56</v>
      </c>
    </row>
    <row r="54" spans="1:10">
      <c r="A54" t="s">
        <v>184</v>
      </c>
      <c r="B54" t="s">
        <v>185</v>
      </c>
      <c r="C54" t="s">
        <v>24</v>
      </c>
      <c r="D54" t="s">
        <v>110</v>
      </c>
      <c r="E54" t="s">
        <v>111</v>
      </c>
      <c r="F54" s="4">
        <v>855200</v>
      </c>
      <c r="G54" s="4">
        <v>84900</v>
      </c>
      <c r="H54" s="4">
        <v>151800</v>
      </c>
      <c r="I54" s="4">
        <v>1133280</v>
      </c>
      <c r="J54" t="s">
        <v>56</v>
      </c>
    </row>
    <row r="55" spans="1:10">
      <c r="A55" t="s">
        <v>186</v>
      </c>
      <c r="B55" t="s">
        <v>187</v>
      </c>
      <c r="C55" t="s">
        <v>24</v>
      </c>
      <c r="D55" t="s">
        <v>114</v>
      </c>
      <c r="E55" t="s">
        <v>115</v>
      </c>
      <c r="F55" s="4">
        <v>1330000</v>
      </c>
      <c r="G55" s="4">
        <v>66300</v>
      </c>
      <c r="H55" s="4">
        <v>242500</v>
      </c>
      <c r="I55" s="4">
        <v>1708560</v>
      </c>
      <c r="J55" t="s">
        <v>56</v>
      </c>
    </row>
    <row r="56" spans="1:10">
      <c r="A56" t="s">
        <v>188</v>
      </c>
      <c r="B56" t="s">
        <v>189</v>
      </c>
      <c r="C56" t="s">
        <v>24</v>
      </c>
      <c r="D56" t="s">
        <v>54</v>
      </c>
      <c r="E56" t="s">
        <v>55</v>
      </c>
      <c r="F56" s="4">
        <v>9315400</v>
      </c>
      <c r="G56" s="4">
        <v>1138600</v>
      </c>
      <c r="H56" s="4">
        <v>1682500</v>
      </c>
      <c r="I56" s="4">
        <v>12636000</v>
      </c>
      <c r="J56" t="s">
        <v>56</v>
      </c>
    </row>
    <row r="57" spans="1:10">
      <c r="A57" t="s">
        <v>190</v>
      </c>
      <c r="B57" t="s">
        <v>191</v>
      </c>
      <c r="C57" t="s">
        <v>24</v>
      </c>
      <c r="D57" t="s">
        <v>54</v>
      </c>
      <c r="E57" t="s">
        <v>59</v>
      </c>
      <c r="F57" s="4">
        <v>6410000</v>
      </c>
      <c r="G57" s="4">
        <v>633500</v>
      </c>
      <c r="H57" s="4">
        <v>1162200</v>
      </c>
      <c r="I57" s="4">
        <v>8570880</v>
      </c>
      <c r="J57" t="s">
        <v>56</v>
      </c>
    </row>
    <row r="58" spans="1:10">
      <c r="A58" t="s">
        <v>192</v>
      </c>
      <c r="B58" t="s">
        <v>193</v>
      </c>
      <c r="C58" t="s">
        <v>21</v>
      </c>
      <c r="D58" t="s">
        <v>62</v>
      </c>
      <c r="E58" t="s">
        <v>63</v>
      </c>
      <c r="F58" s="4">
        <v>3693200</v>
      </c>
      <c r="G58" s="4">
        <v>373100</v>
      </c>
      <c r="H58" s="4">
        <v>660800</v>
      </c>
      <c r="I58" s="4">
        <v>4884480</v>
      </c>
      <c r="J58" t="s">
        <v>56</v>
      </c>
    </row>
    <row r="59" spans="1:10">
      <c r="A59" t="s">
        <v>194</v>
      </c>
      <c r="B59" t="s">
        <v>195</v>
      </c>
      <c r="C59" t="s">
        <v>21</v>
      </c>
      <c r="D59" t="s">
        <v>62</v>
      </c>
      <c r="E59" t="s">
        <v>66</v>
      </c>
      <c r="F59" s="4">
        <v>2634200</v>
      </c>
      <c r="G59" s="4">
        <v>134800</v>
      </c>
      <c r="H59" s="4">
        <v>478600</v>
      </c>
      <c r="I59" s="4">
        <v>3427920</v>
      </c>
      <c r="J59" t="s">
        <v>56</v>
      </c>
    </row>
    <row r="60" spans="1:10">
      <c r="A60" t="s">
        <v>196</v>
      </c>
      <c r="B60" t="s">
        <v>197</v>
      </c>
      <c r="C60" t="s">
        <v>24</v>
      </c>
      <c r="D60" t="s">
        <v>62</v>
      </c>
      <c r="E60" t="s">
        <v>69</v>
      </c>
      <c r="F60" s="4">
        <v>1722900</v>
      </c>
      <c r="G60" s="4">
        <v>202600</v>
      </c>
      <c r="H60" s="4">
        <v>301700</v>
      </c>
      <c r="I60" s="4">
        <v>2293200</v>
      </c>
      <c r="J60" t="s">
        <v>56</v>
      </c>
    </row>
    <row r="61" spans="1:10">
      <c r="A61" t="s">
        <v>198</v>
      </c>
      <c r="B61" t="s">
        <v>199</v>
      </c>
      <c r="C61" t="s">
        <v>98</v>
      </c>
      <c r="D61" t="s">
        <v>72</v>
      </c>
      <c r="E61" t="s">
        <v>73</v>
      </c>
      <c r="F61" s="4">
        <v>3390800</v>
      </c>
      <c r="G61" s="4">
        <v>168600</v>
      </c>
      <c r="H61" s="4">
        <v>614400</v>
      </c>
      <c r="I61" s="4">
        <v>4304160</v>
      </c>
      <c r="J6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5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43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</row>
    <row r="2" spans="1:16">
      <c r="A2" t="s">
        <v>24</v>
      </c>
      <c r="B2" t="s">
        <v>215</v>
      </c>
      <c r="C2" t="s">
        <v>216</v>
      </c>
      <c r="D2" s="5">
        <v>79.319999999999993</v>
      </c>
      <c r="E2" s="5">
        <v>70.98</v>
      </c>
      <c r="F2" s="5">
        <v>70.959999999999994</v>
      </c>
      <c r="G2" s="5">
        <v>63.42</v>
      </c>
      <c r="H2" s="5">
        <v>63.11</v>
      </c>
      <c r="I2" s="5">
        <v>80.11</v>
      </c>
      <c r="J2" s="5">
        <v>66.099999999999994</v>
      </c>
      <c r="K2" s="5">
        <v>79.540000000000006</v>
      </c>
      <c r="L2" s="5">
        <v>81.89</v>
      </c>
      <c r="M2" s="5">
        <v>80.95</v>
      </c>
      <c r="N2" s="5">
        <v>68.739999999999995</v>
      </c>
      <c r="O2" s="5">
        <v>69.16</v>
      </c>
      <c r="P2" s="5">
        <v>848.37</v>
      </c>
    </row>
    <row r="3" spans="1:16">
      <c r="A3" t="s">
        <v>24</v>
      </c>
      <c r="B3" t="s">
        <v>217</v>
      </c>
      <c r="C3" t="s">
        <v>216</v>
      </c>
      <c r="D3" s="5">
        <v>58.79</v>
      </c>
      <c r="E3" s="5">
        <v>50.61</v>
      </c>
      <c r="F3" s="5">
        <v>52.15</v>
      </c>
      <c r="G3" s="5">
        <v>50.76</v>
      </c>
      <c r="H3" s="5">
        <v>58.54</v>
      </c>
      <c r="I3" s="5">
        <v>46.29</v>
      </c>
      <c r="J3" s="5">
        <v>61.62</v>
      </c>
      <c r="K3" s="5">
        <v>56.8</v>
      </c>
      <c r="L3" s="5">
        <v>52.7</v>
      </c>
      <c r="M3" s="5">
        <v>49.85</v>
      </c>
      <c r="N3" s="5">
        <v>53.01</v>
      </c>
      <c r="O3" s="5">
        <v>52.44</v>
      </c>
      <c r="P3" s="5">
        <v>630.72</v>
      </c>
    </row>
    <row r="4" spans="1:16">
      <c r="A4" t="s">
        <v>24</v>
      </c>
      <c r="B4" t="s">
        <v>218</v>
      </c>
      <c r="C4" t="s">
        <v>216</v>
      </c>
      <c r="D4" s="5">
        <v>47.81</v>
      </c>
      <c r="E4" s="5">
        <v>42.22</v>
      </c>
      <c r="F4" s="5">
        <v>49.52</v>
      </c>
      <c r="G4" s="5">
        <v>46.03</v>
      </c>
      <c r="H4" s="5">
        <v>51.19</v>
      </c>
      <c r="I4" s="5">
        <v>40.79</v>
      </c>
      <c r="J4" s="5">
        <v>50.92</v>
      </c>
      <c r="K4" s="5">
        <v>51.75</v>
      </c>
      <c r="L4" s="5">
        <v>43.66</v>
      </c>
      <c r="M4" s="5">
        <v>50.14</v>
      </c>
      <c r="N4" s="5">
        <v>41.35</v>
      </c>
      <c r="O4" s="5">
        <v>50.91</v>
      </c>
      <c r="P4" s="5">
        <v>563.71</v>
      </c>
    </row>
    <row r="5" spans="1:16">
      <c r="A5" t="s">
        <v>24</v>
      </c>
      <c r="B5" t="s">
        <v>219</v>
      </c>
      <c r="C5" t="s">
        <v>216</v>
      </c>
      <c r="D5" s="5">
        <v>59.89</v>
      </c>
      <c r="E5" s="5">
        <v>72.010000000000005</v>
      </c>
      <c r="F5" s="5">
        <v>62.34</v>
      </c>
      <c r="G5" s="5">
        <v>62.81</v>
      </c>
      <c r="H5" s="5">
        <v>56.25</v>
      </c>
      <c r="I5" s="5">
        <v>57.66</v>
      </c>
      <c r="J5" s="5">
        <v>63.39</v>
      </c>
      <c r="K5" s="5">
        <v>59.32</v>
      </c>
      <c r="L5" s="5">
        <v>53.76</v>
      </c>
      <c r="M5" s="5">
        <v>63.03</v>
      </c>
      <c r="N5" s="5">
        <v>61.55</v>
      </c>
      <c r="O5" s="5">
        <v>75.05</v>
      </c>
      <c r="P5" s="5">
        <v>744.92</v>
      </c>
    </row>
    <row r="6" spans="1:16">
      <c r="A6" t="s">
        <v>24</v>
      </c>
      <c r="B6" t="s">
        <v>220</v>
      </c>
      <c r="C6" t="s">
        <v>216</v>
      </c>
      <c r="D6" s="5">
        <v>38.119999999999997</v>
      </c>
      <c r="E6" s="5">
        <v>43.78</v>
      </c>
      <c r="F6" s="5">
        <v>46.74</v>
      </c>
      <c r="G6" s="5">
        <v>41.6</v>
      </c>
      <c r="H6" s="5">
        <v>45.66</v>
      </c>
      <c r="I6" s="5">
        <v>36.89</v>
      </c>
      <c r="J6" s="5">
        <v>41.98</v>
      </c>
      <c r="K6" s="5">
        <v>45.96</v>
      </c>
      <c r="L6" s="5">
        <v>38.18</v>
      </c>
      <c r="M6" s="5">
        <v>40.18</v>
      </c>
      <c r="N6" s="5">
        <v>41.89</v>
      </c>
      <c r="O6" s="5">
        <v>35.71</v>
      </c>
      <c r="P6" s="5">
        <v>493.84</v>
      </c>
    </row>
    <row r="7" spans="1:16">
      <c r="A7" t="s">
        <v>21</v>
      </c>
      <c r="B7" t="s">
        <v>215</v>
      </c>
      <c r="C7" t="s">
        <v>216</v>
      </c>
      <c r="D7" s="5">
        <v>73.010000000000005</v>
      </c>
      <c r="E7" s="5">
        <v>76.930000000000007</v>
      </c>
      <c r="F7" s="5">
        <v>65.87</v>
      </c>
      <c r="G7" s="5">
        <v>72.66</v>
      </c>
      <c r="H7" s="5">
        <v>78.040000000000006</v>
      </c>
      <c r="I7" s="5">
        <v>66.319999999999993</v>
      </c>
      <c r="J7" s="5">
        <v>71.37</v>
      </c>
      <c r="K7" s="5">
        <v>67.55</v>
      </c>
      <c r="L7" s="5">
        <v>63.21</v>
      </c>
      <c r="M7" s="5">
        <v>69.23</v>
      </c>
      <c r="N7" s="5">
        <v>58.82</v>
      </c>
      <c r="O7" s="5">
        <v>66.17</v>
      </c>
      <c r="P7" s="5">
        <v>802.2</v>
      </c>
    </row>
    <row r="8" spans="1:16">
      <c r="A8" t="s">
        <v>21</v>
      </c>
      <c r="B8" t="s">
        <v>217</v>
      </c>
      <c r="C8" t="s">
        <v>216</v>
      </c>
      <c r="D8" s="5">
        <v>47.81</v>
      </c>
      <c r="E8" s="5">
        <v>48.72</v>
      </c>
      <c r="F8" s="5">
        <v>59.49</v>
      </c>
      <c r="G8" s="5">
        <v>46.97</v>
      </c>
      <c r="H8" s="5">
        <v>61.12</v>
      </c>
      <c r="I8" s="5">
        <v>62.12</v>
      </c>
      <c r="J8" s="5">
        <v>55.81</v>
      </c>
      <c r="K8" s="5">
        <v>46.8</v>
      </c>
      <c r="L8" s="5">
        <v>47.44</v>
      </c>
      <c r="M8" s="5">
        <v>56.89</v>
      </c>
      <c r="N8" s="5">
        <v>53.88</v>
      </c>
      <c r="O8" s="5">
        <v>61.63</v>
      </c>
      <c r="P8" s="5">
        <v>650.9</v>
      </c>
    </row>
    <row r="9" spans="1:16">
      <c r="A9" t="s">
        <v>21</v>
      </c>
      <c r="B9" t="s">
        <v>218</v>
      </c>
      <c r="C9" t="s">
        <v>216</v>
      </c>
      <c r="D9" s="5">
        <v>42.25</v>
      </c>
      <c r="E9" s="5">
        <v>42.02</v>
      </c>
      <c r="F9" s="5">
        <v>50.72</v>
      </c>
      <c r="G9" s="5">
        <v>53.59</v>
      </c>
      <c r="H9" s="5">
        <v>44.53</v>
      </c>
      <c r="I9" s="5">
        <v>43.86</v>
      </c>
      <c r="J9" s="5">
        <v>53.57</v>
      </c>
      <c r="K9" s="5">
        <v>43.96</v>
      </c>
      <c r="L9" s="5">
        <v>45.79</v>
      </c>
      <c r="M9" s="5">
        <v>46.17</v>
      </c>
      <c r="N9" s="5">
        <v>48.68</v>
      </c>
      <c r="O9" s="5">
        <v>48.14</v>
      </c>
      <c r="P9" s="5">
        <v>540.61</v>
      </c>
    </row>
    <row r="10" spans="1:16">
      <c r="A10" t="s">
        <v>21</v>
      </c>
      <c r="B10" t="s">
        <v>219</v>
      </c>
      <c r="C10" t="s">
        <v>216</v>
      </c>
      <c r="D10" s="5">
        <v>54.96</v>
      </c>
      <c r="E10" s="5">
        <v>71.010000000000005</v>
      </c>
      <c r="F10" s="5">
        <v>57.32</v>
      </c>
      <c r="G10" s="5">
        <v>59.35</v>
      </c>
      <c r="H10" s="5">
        <v>63.94</v>
      </c>
      <c r="I10" s="5">
        <v>57.55</v>
      </c>
      <c r="J10" s="5">
        <v>74.040000000000006</v>
      </c>
      <c r="K10" s="5">
        <v>65.11</v>
      </c>
      <c r="L10" s="5">
        <v>61.8</v>
      </c>
      <c r="M10" s="5">
        <v>69.23</v>
      </c>
      <c r="N10" s="5">
        <v>61.45</v>
      </c>
      <c r="O10" s="5">
        <v>67.73</v>
      </c>
      <c r="P10" s="5">
        <v>753.15</v>
      </c>
    </row>
    <row r="11" spans="1:16">
      <c r="A11" t="s">
        <v>21</v>
      </c>
      <c r="B11" t="s">
        <v>220</v>
      </c>
      <c r="C11" t="s">
        <v>216</v>
      </c>
      <c r="D11" s="5">
        <v>45.4</v>
      </c>
      <c r="E11" s="5">
        <v>47.62</v>
      </c>
      <c r="F11" s="5">
        <v>42.2</v>
      </c>
      <c r="G11" s="5">
        <v>46.28</v>
      </c>
      <c r="H11" s="5">
        <v>35.46</v>
      </c>
      <c r="I11" s="5">
        <v>39.56</v>
      </c>
      <c r="J11" s="5">
        <v>45.97</v>
      </c>
      <c r="K11" s="5">
        <v>37.979999999999997</v>
      </c>
      <c r="L11" s="5">
        <v>44.48</v>
      </c>
      <c r="M11" s="5">
        <v>37.549999999999997</v>
      </c>
      <c r="N11" s="5">
        <v>40.11</v>
      </c>
      <c r="O11" s="5">
        <v>42.07</v>
      </c>
      <c r="P11" s="5">
        <v>497.16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/>
  </sheetViews>
  <sheetFormatPr baseColWidth="10" defaultColWidth="8.83203125" defaultRowHeight="15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221</v>
      </c>
      <c r="B1" s="1" t="s">
        <v>222</v>
      </c>
      <c r="C1" s="1" t="s">
        <v>43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</row>
    <row r="2" spans="1:17">
      <c r="A2" t="s">
        <v>223</v>
      </c>
      <c r="B2" t="s">
        <v>224</v>
      </c>
      <c r="C2" t="s">
        <v>24</v>
      </c>
      <c r="D2" t="s">
        <v>225</v>
      </c>
      <c r="E2" s="4">
        <v>155924600</v>
      </c>
      <c r="F2" s="4">
        <v>131088400</v>
      </c>
      <c r="G2" s="4">
        <v>157133900</v>
      </c>
      <c r="H2" s="4">
        <v>138400100</v>
      </c>
      <c r="I2" s="4">
        <v>135926600</v>
      </c>
      <c r="J2" s="4">
        <v>136366700</v>
      </c>
      <c r="K2" s="4">
        <v>137335800</v>
      </c>
      <c r="L2" s="4">
        <v>155223200</v>
      </c>
      <c r="M2" s="4">
        <v>134944200</v>
      </c>
      <c r="N2" s="4">
        <v>152639500</v>
      </c>
      <c r="O2" s="4">
        <v>136298100</v>
      </c>
      <c r="P2" s="4">
        <v>147204600</v>
      </c>
      <c r="Q2" s="4">
        <v>1681789600</v>
      </c>
    </row>
    <row r="3" spans="1:17">
      <c r="A3" t="s">
        <v>223</v>
      </c>
      <c r="B3" t="s">
        <v>226</v>
      </c>
      <c r="C3" t="s">
        <v>24</v>
      </c>
      <c r="D3" t="s">
        <v>225</v>
      </c>
      <c r="E3" s="4">
        <v>50386200</v>
      </c>
      <c r="F3" s="4">
        <v>44762400</v>
      </c>
      <c r="G3" s="4">
        <v>50589500</v>
      </c>
      <c r="H3" s="4">
        <v>49895900</v>
      </c>
      <c r="I3" s="4">
        <v>51043600</v>
      </c>
      <c r="J3" s="4">
        <v>54451600</v>
      </c>
      <c r="K3" s="4">
        <v>52004500</v>
      </c>
      <c r="L3" s="4">
        <v>46453300</v>
      </c>
      <c r="M3" s="4">
        <v>42533500</v>
      </c>
      <c r="N3" s="4">
        <v>40568300</v>
      </c>
      <c r="O3" s="4">
        <v>49412700</v>
      </c>
      <c r="P3" s="4">
        <v>52885800</v>
      </c>
      <c r="Q3" s="4">
        <v>586019300</v>
      </c>
    </row>
    <row r="4" spans="1:17">
      <c r="A4" t="s">
        <v>223</v>
      </c>
      <c r="B4" t="s">
        <v>227</v>
      </c>
      <c r="C4" t="s">
        <v>24</v>
      </c>
      <c r="D4" t="s">
        <v>225</v>
      </c>
      <c r="E4" s="4">
        <v>74752600</v>
      </c>
      <c r="F4" s="4">
        <v>80374300</v>
      </c>
      <c r="G4" s="4">
        <v>86495200</v>
      </c>
      <c r="H4" s="4">
        <v>79468100</v>
      </c>
      <c r="I4" s="4">
        <v>77630200</v>
      </c>
      <c r="J4" s="4">
        <v>90365500</v>
      </c>
      <c r="K4" s="4">
        <v>78905400</v>
      </c>
      <c r="L4" s="4">
        <v>86909200</v>
      </c>
      <c r="M4" s="4">
        <v>82311700</v>
      </c>
      <c r="N4" s="4">
        <v>79356000</v>
      </c>
      <c r="O4" s="4">
        <v>80465100</v>
      </c>
      <c r="P4" s="4">
        <v>76916200</v>
      </c>
      <c r="Q4" s="4">
        <v>976475800</v>
      </c>
    </row>
    <row r="5" spans="1:17">
      <c r="A5" t="s">
        <v>223</v>
      </c>
      <c r="B5" t="s">
        <v>228</v>
      </c>
      <c r="C5" t="s">
        <v>24</v>
      </c>
      <c r="D5" t="s">
        <v>225</v>
      </c>
      <c r="E5" s="4">
        <v>33884700</v>
      </c>
      <c r="F5" s="4">
        <v>28063300</v>
      </c>
      <c r="G5" s="4">
        <v>30907800</v>
      </c>
      <c r="H5" s="4">
        <v>28807300</v>
      </c>
      <c r="I5" s="4">
        <v>36947100</v>
      </c>
      <c r="J5" s="4">
        <v>33855200</v>
      </c>
      <c r="K5" s="4">
        <v>31410400</v>
      </c>
      <c r="L5" s="4">
        <v>34276400</v>
      </c>
      <c r="M5" s="4">
        <v>33390500</v>
      </c>
      <c r="N5" s="4">
        <v>28638500</v>
      </c>
      <c r="O5" s="4">
        <v>36146000</v>
      </c>
      <c r="P5" s="4">
        <v>32169600</v>
      </c>
      <c r="Q5" s="4">
        <v>385425900</v>
      </c>
    </row>
    <row r="6" spans="1:17">
      <c r="A6" t="s">
        <v>223</v>
      </c>
      <c r="B6" t="s">
        <v>229</v>
      </c>
      <c r="C6" t="s">
        <v>21</v>
      </c>
      <c r="D6" t="s">
        <v>225</v>
      </c>
      <c r="E6" s="4">
        <v>26620200</v>
      </c>
      <c r="F6" s="4">
        <v>24321200</v>
      </c>
      <c r="G6" s="4">
        <v>22099900</v>
      </c>
      <c r="H6" s="4">
        <v>23481900</v>
      </c>
      <c r="I6" s="4">
        <v>22596800</v>
      </c>
      <c r="J6" s="4">
        <v>25893300</v>
      </c>
      <c r="K6" s="4">
        <v>22466400</v>
      </c>
      <c r="L6" s="4">
        <v>22643600</v>
      </c>
      <c r="M6" s="4">
        <v>23769400</v>
      </c>
      <c r="N6" s="4">
        <v>24335200</v>
      </c>
      <c r="O6" s="4">
        <v>21547700</v>
      </c>
      <c r="P6" s="4">
        <v>20634300</v>
      </c>
      <c r="Q6" s="4">
        <v>290889200</v>
      </c>
    </row>
    <row r="7" spans="1:17">
      <c r="A7" t="s">
        <v>230</v>
      </c>
      <c r="B7" t="s">
        <v>231</v>
      </c>
      <c r="C7" t="s">
        <v>21</v>
      </c>
      <c r="D7" t="s">
        <v>225</v>
      </c>
      <c r="E7" s="4">
        <v>7585500</v>
      </c>
      <c r="F7" s="4">
        <v>7612200</v>
      </c>
      <c r="G7" s="4">
        <v>7065400</v>
      </c>
      <c r="H7" s="4">
        <v>7249700</v>
      </c>
      <c r="I7" s="4">
        <v>7671300</v>
      </c>
      <c r="J7" s="4">
        <v>7173300</v>
      </c>
      <c r="K7" s="4">
        <v>7907700</v>
      </c>
      <c r="L7" s="4">
        <v>8166500</v>
      </c>
      <c r="M7" s="4">
        <v>7838600</v>
      </c>
      <c r="N7" s="4">
        <v>8328300</v>
      </c>
      <c r="O7" s="4">
        <v>6949100</v>
      </c>
      <c r="P7" s="4">
        <v>7272600</v>
      </c>
      <c r="Q7" s="4">
        <v>92253300</v>
      </c>
    </row>
    <row r="8" spans="1:17">
      <c r="A8" t="s">
        <v>230</v>
      </c>
      <c r="B8" t="s">
        <v>232</v>
      </c>
      <c r="C8" t="s">
        <v>21</v>
      </c>
      <c r="D8" t="s">
        <v>225</v>
      </c>
      <c r="E8" s="4">
        <v>11600200</v>
      </c>
      <c r="F8" s="4">
        <v>12666400</v>
      </c>
      <c r="G8" s="4">
        <v>14189600</v>
      </c>
      <c r="H8" s="4">
        <v>14533800</v>
      </c>
      <c r="I8" s="4">
        <v>11237700</v>
      </c>
      <c r="J8" s="4">
        <v>13094000</v>
      </c>
      <c r="K8" s="4">
        <v>12323300</v>
      </c>
      <c r="L8" s="4">
        <v>14424500</v>
      </c>
      <c r="M8" s="4">
        <v>11493800</v>
      </c>
      <c r="N8" s="4">
        <v>12003400</v>
      </c>
      <c r="O8" s="4">
        <v>14284900</v>
      </c>
      <c r="P8" s="4">
        <v>14890800</v>
      </c>
      <c r="Q8" s="4">
        <v>162814200</v>
      </c>
    </row>
    <row r="9" spans="1:17">
      <c r="A9" t="s">
        <v>230</v>
      </c>
      <c r="B9" t="s">
        <v>233</v>
      </c>
      <c r="C9" t="s">
        <v>21</v>
      </c>
      <c r="D9" t="s">
        <v>225</v>
      </c>
      <c r="E9" s="4">
        <v>17153700</v>
      </c>
      <c r="F9" s="4">
        <v>15523700</v>
      </c>
      <c r="G9" s="4">
        <v>15175200</v>
      </c>
      <c r="H9" s="4">
        <v>17140000</v>
      </c>
      <c r="I9" s="4">
        <v>15632000</v>
      </c>
      <c r="J9" s="4">
        <v>16945000</v>
      </c>
      <c r="K9" s="4">
        <v>16630300</v>
      </c>
      <c r="L9" s="4">
        <v>15855300</v>
      </c>
      <c r="M9" s="4">
        <v>14890600</v>
      </c>
      <c r="N9" s="4">
        <v>17275200</v>
      </c>
      <c r="O9" s="4">
        <v>16379600</v>
      </c>
      <c r="P9" s="4">
        <v>16048700</v>
      </c>
      <c r="Q9" s="4">
        <v>195456700</v>
      </c>
    </row>
    <row r="10" spans="1:17">
      <c r="A10" t="s">
        <v>234</v>
      </c>
      <c r="B10" t="s">
        <v>235</v>
      </c>
      <c r="C10" t="s">
        <v>21</v>
      </c>
      <c r="D10" t="s">
        <v>225</v>
      </c>
      <c r="E10" s="4">
        <v>34368600</v>
      </c>
      <c r="F10" s="4">
        <v>35550100</v>
      </c>
      <c r="G10" s="4">
        <v>35907200</v>
      </c>
      <c r="H10" s="4">
        <v>38657300</v>
      </c>
      <c r="I10" s="4">
        <v>35345100</v>
      </c>
      <c r="J10" s="4">
        <v>41349300</v>
      </c>
      <c r="K10" s="4">
        <v>34437100</v>
      </c>
      <c r="L10" s="4">
        <v>37825700</v>
      </c>
      <c r="M10" s="4">
        <v>40959800</v>
      </c>
      <c r="N10" s="4">
        <v>39251600</v>
      </c>
      <c r="O10" s="4">
        <v>35701300</v>
      </c>
      <c r="P10" s="4">
        <v>36760200</v>
      </c>
      <c r="Q10" s="4">
        <v>449616600</v>
      </c>
    </row>
    <row r="11" spans="1:17">
      <c r="A11" t="s">
        <v>234</v>
      </c>
      <c r="B11" t="s">
        <v>236</v>
      </c>
      <c r="C11" t="s">
        <v>21</v>
      </c>
      <c r="D11" t="s">
        <v>225</v>
      </c>
      <c r="E11" s="4">
        <v>20312500</v>
      </c>
      <c r="F11" s="4">
        <v>19062700</v>
      </c>
      <c r="G11" s="4">
        <v>23743000</v>
      </c>
      <c r="H11" s="4">
        <v>22870400</v>
      </c>
      <c r="I11" s="4">
        <v>24301800</v>
      </c>
      <c r="J11" s="4">
        <v>23737900</v>
      </c>
      <c r="K11" s="4">
        <v>22388100</v>
      </c>
      <c r="L11" s="4">
        <v>20962400</v>
      </c>
      <c r="M11" s="4">
        <v>22947200</v>
      </c>
      <c r="N11" s="4">
        <v>22825300</v>
      </c>
      <c r="O11" s="4">
        <v>21705100</v>
      </c>
      <c r="P11" s="4">
        <v>24558700</v>
      </c>
      <c r="Q11" s="4">
        <v>260112600</v>
      </c>
    </row>
    <row r="12" spans="1:17">
      <c r="A12" t="s">
        <v>237</v>
      </c>
      <c r="B12" t="s">
        <v>238</v>
      </c>
      <c r="C12" t="s">
        <v>21</v>
      </c>
      <c r="D12" t="s">
        <v>225</v>
      </c>
      <c r="E12" s="4">
        <v>28747200</v>
      </c>
      <c r="F12" s="4">
        <v>25525000</v>
      </c>
      <c r="G12" s="4">
        <v>23412500</v>
      </c>
      <c r="H12" s="4">
        <v>25267700</v>
      </c>
      <c r="I12" s="4">
        <v>28588200</v>
      </c>
      <c r="J12" s="4">
        <v>27684000</v>
      </c>
      <c r="K12" s="4">
        <v>23500300</v>
      </c>
      <c r="L12" s="4">
        <v>29955200</v>
      </c>
      <c r="M12" s="4">
        <v>28725800</v>
      </c>
      <c r="N12" s="4">
        <v>24738900</v>
      </c>
      <c r="O12" s="4">
        <v>26267600</v>
      </c>
      <c r="P12" s="4">
        <v>30768500</v>
      </c>
      <c r="Q12" s="4">
        <v>309718000</v>
      </c>
    </row>
    <row r="13" spans="1:17">
      <c r="A13" t="s">
        <v>239</v>
      </c>
      <c r="B13" t="s">
        <v>240</v>
      </c>
      <c r="C13" t="s">
        <v>21</v>
      </c>
      <c r="D13" t="s">
        <v>225</v>
      </c>
      <c r="E13" s="4">
        <v>11346100</v>
      </c>
      <c r="F13" s="4">
        <v>9589300</v>
      </c>
      <c r="G13" s="4">
        <v>10591700</v>
      </c>
      <c r="H13" s="4">
        <v>12075400</v>
      </c>
      <c r="I13" s="4">
        <v>11690300</v>
      </c>
      <c r="J13" s="4">
        <v>10464400</v>
      </c>
      <c r="K13" s="4">
        <v>10613100</v>
      </c>
      <c r="L13" s="4">
        <v>10850600</v>
      </c>
      <c r="M13" s="4">
        <v>11778000</v>
      </c>
      <c r="N13" s="4">
        <v>10781300</v>
      </c>
      <c r="O13" s="4">
        <v>11339200</v>
      </c>
      <c r="P13" s="4">
        <v>12485300</v>
      </c>
      <c r="Q13" s="4">
        <v>137119000</v>
      </c>
    </row>
    <row r="14" spans="1:17">
      <c r="A14" t="s">
        <v>241</v>
      </c>
      <c r="B14" t="s">
        <v>242</v>
      </c>
      <c r="C14" t="s">
        <v>24</v>
      </c>
      <c r="D14" t="s">
        <v>225</v>
      </c>
      <c r="E14" s="4">
        <v>14397300</v>
      </c>
      <c r="F14" s="4">
        <v>14664800</v>
      </c>
      <c r="G14" s="4">
        <v>13981000</v>
      </c>
      <c r="H14" s="4">
        <v>16058200</v>
      </c>
      <c r="I14" s="4">
        <v>15450500</v>
      </c>
      <c r="J14" s="4">
        <v>15436800</v>
      </c>
      <c r="K14" s="4">
        <v>14877200</v>
      </c>
      <c r="L14" s="4">
        <v>14276900</v>
      </c>
      <c r="M14" s="4">
        <v>15034000</v>
      </c>
      <c r="N14" s="4">
        <v>14629700</v>
      </c>
      <c r="O14" s="4">
        <v>14625300</v>
      </c>
      <c r="P14" s="4">
        <v>13679300</v>
      </c>
      <c r="Q14" s="4">
        <v>174015200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topLeftCell="A40" workbookViewId="0">
      <selection sqref="A1:S1"/>
    </sheetView>
  </sheetViews>
  <sheetFormatPr baseColWidth="10" defaultColWidth="8.83203125" defaultRowHeight="15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53.25" customHeight="1">
      <c r="A1" s="40" t="s">
        <v>243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39" customHeight="1">
      <c r="A2" s="41" t="s">
        <v>244</v>
      </c>
      <c r="B2" s="41"/>
      <c r="C2" s="41"/>
      <c r="D2" s="41"/>
      <c r="E2" s="41"/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46.25" customHeight="1">
      <c r="A4" s="43" t="s">
        <v>245</v>
      </c>
      <c r="B4" s="43"/>
      <c r="C4" s="43"/>
      <c r="D4" s="43" t="s">
        <v>246</v>
      </c>
      <c r="E4" s="43"/>
      <c r="F4" s="43"/>
      <c r="G4" s="44" t="s">
        <v>247</v>
      </c>
      <c r="H4" s="44"/>
      <c r="I4" s="44"/>
      <c r="J4" s="44" t="s">
        <v>248</v>
      </c>
      <c r="K4" s="44"/>
      <c r="L4" s="44"/>
      <c r="M4" s="44" t="s">
        <v>249</v>
      </c>
      <c r="N4" s="44"/>
      <c r="O4" s="44"/>
      <c r="P4" s="44" t="s">
        <v>250</v>
      </c>
      <c r="Q4" s="44"/>
      <c r="R4" s="44"/>
      <c r="S4" s="44"/>
    </row>
    <row r="5" spans="1:19" ht="49.75" customHeight="1">
      <c r="A5" s="37">
        <f>SUMIF($E$10:$E$54,"Quantité exportée",$S$10:$S$54)</f>
        <v>3160.98</v>
      </c>
      <c r="B5" s="38"/>
      <c r="C5" s="38"/>
      <c r="D5" s="39">
        <f>SUMIF($E$10:$E$54,"Chiffre d'affaires MGA",$S$10:$S$54)</f>
        <v>19024357328</v>
      </c>
      <c r="E5" s="38"/>
      <c r="F5" s="38"/>
      <c r="G5" s="39">
        <f>SUMIFS($S$10:$S$54,$A$10:$A$54,"Japon",$E$10:$E$54,"Chiffre d'affaires MGA")</f>
        <v>5885836491</v>
      </c>
      <c r="H5" s="34"/>
      <c r="I5" s="34"/>
      <c r="J5" s="39">
        <f>SUMIFS($S$10:$S$54,$A$10:$A$54,"Russie",$E$10:$E$54,"Chiffre d'affaires MGA")</f>
        <v>6497377284</v>
      </c>
      <c r="K5" s="34"/>
      <c r="L5" s="34"/>
      <c r="M5" s="39">
        <f>SUMIFS($S$10:$S$54,$A$10:$A$54,"Chine",$E$10:$E$54,"Chiffre d'affaires MGA")</f>
        <v>6641143553</v>
      </c>
      <c r="N5" s="34"/>
      <c r="O5" s="34"/>
      <c r="P5" s="34" t="s">
        <v>251</v>
      </c>
      <c r="Q5" s="34"/>
      <c r="R5" s="34"/>
      <c r="S5" s="34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9" customHeight="1">
      <c r="A7" s="35" t="s">
        <v>252</v>
      </c>
      <c r="B7" s="35"/>
      <c r="C7" s="35"/>
      <c r="D7" s="35"/>
      <c r="E7" s="35"/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60.25" customHeight="1">
      <c r="A9" s="7" t="s">
        <v>27</v>
      </c>
      <c r="B9" s="7" t="s">
        <v>28</v>
      </c>
      <c r="C9" s="7" t="s">
        <v>200</v>
      </c>
      <c r="D9" s="7" t="s">
        <v>29</v>
      </c>
      <c r="E9" s="7" t="s">
        <v>253</v>
      </c>
      <c r="F9" s="7" t="s">
        <v>201</v>
      </c>
      <c r="G9" s="23" t="s">
        <v>202</v>
      </c>
      <c r="H9" s="23" t="s">
        <v>203</v>
      </c>
      <c r="I9" s="23" t="s">
        <v>204</v>
      </c>
      <c r="J9" s="23" t="s">
        <v>205</v>
      </c>
      <c r="K9" s="23" t="s">
        <v>206</v>
      </c>
      <c r="L9" s="23" t="s">
        <v>207</v>
      </c>
      <c r="M9" s="23" t="s">
        <v>208</v>
      </c>
      <c r="N9" s="23" t="s">
        <v>209</v>
      </c>
      <c r="O9" s="23" t="s">
        <v>210</v>
      </c>
      <c r="P9" s="23" t="s">
        <v>211</v>
      </c>
      <c r="Q9" s="23" t="s">
        <v>212</v>
      </c>
      <c r="R9" s="23" t="s">
        <v>213</v>
      </c>
      <c r="S9" s="23" t="s">
        <v>214</v>
      </c>
    </row>
    <row r="10" spans="1:19">
      <c r="A10" s="8" t="s">
        <v>31</v>
      </c>
      <c r="B10" s="8" t="s">
        <v>32</v>
      </c>
      <c r="C10" s="9" t="s">
        <v>215</v>
      </c>
      <c r="D10" s="9" t="s">
        <v>33</v>
      </c>
      <c r="E10" s="9" t="s">
        <v>254</v>
      </c>
      <c r="F10" s="9" t="s">
        <v>216</v>
      </c>
      <c r="G10" s="24">
        <v>20.47</v>
      </c>
      <c r="H10" s="24">
        <v>27.31</v>
      </c>
      <c r="I10" s="24">
        <v>23.79</v>
      </c>
      <c r="J10" s="24">
        <v>20.56</v>
      </c>
      <c r="K10" s="24">
        <v>18.329999999999998</v>
      </c>
      <c r="L10" s="24">
        <v>23.84</v>
      </c>
      <c r="M10" s="24">
        <v>21.79</v>
      </c>
      <c r="N10" s="24">
        <v>22.93</v>
      </c>
      <c r="O10" s="24">
        <v>21.41</v>
      </c>
      <c r="P10" s="24">
        <v>17.71</v>
      </c>
      <c r="Q10" s="24">
        <v>15.28</v>
      </c>
      <c r="R10" s="24">
        <v>22.56</v>
      </c>
      <c r="S10" s="24">
        <v>268.25</v>
      </c>
    </row>
    <row r="11" spans="1:19">
      <c r="A11" s="10" t="s">
        <v>31</v>
      </c>
      <c r="B11" s="10" t="s">
        <v>32</v>
      </c>
      <c r="C11" s="11" t="s">
        <v>215</v>
      </c>
      <c r="D11" s="11" t="s">
        <v>33</v>
      </c>
      <c r="E11" s="11" t="s">
        <v>255</v>
      </c>
      <c r="F11" s="11" t="s">
        <v>33</v>
      </c>
      <c r="G11" s="25">
        <v>4155100</v>
      </c>
      <c r="H11" s="25">
        <v>5016900</v>
      </c>
      <c r="I11" s="25">
        <v>4576900</v>
      </c>
      <c r="J11" s="25">
        <v>3788900</v>
      </c>
      <c r="K11" s="25">
        <v>3377100</v>
      </c>
      <c r="L11" s="25">
        <v>4464300</v>
      </c>
      <c r="M11" s="25">
        <v>4084600</v>
      </c>
      <c r="N11" s="25">
        <v>4447300</v>
      </c>
      <c r="O11" s="25">
        <v>3807800</v>
      </c>
      <c r="P11" s="25">
        <v>3487100</v>
      </c>
      <c r="Q11" s="25">
        <v>3079100</v>
      </c>
      <c r="R11" s="25">
        <v>4353200</v>
      </c>
      <c r="S11" s="25">
        <v>50866906.25</v>
      </c>
    </row>
    <row r="12" spans="1:19">
      <c r="A12" s="12" t="s">
        <v>31</v>
      </c>
      <c r="B12" s="12" t="s">
        <v>32</v>
      </c>
      <c r="C12" s="12" t="s">
        <v>215</v>
      </c>
      <c r="D12" s="12" t="s">
        <v>33</v>
      </c>
      <c r="E12" s="12" t="s">
        <v>256</v>
      </c>
      <c r="F12" s="12" t="s">
        <v>225</v>
      </c>
      <c r="G12" s="26">
        <v>128452800</v>
      </c>
      <c r="H12" s="26">
        <v>154351600</v>
      </c>
      <c r="I12" s="26">
        <v>135595400</v>
      </c>
      <c r="J12" s="26">
        <v>115604700</v>
      </c>
      <c r="K12" s="26">
        <v>106080400</v>
      </c>
      <c r="L12" s="26">
        <v>142578800</v>
      </c>
      <c r="M12" s="26">
        <v>126219500</v>
      </c>
      <c r="N12" s="26">
        <v>137491000</v>
      </c>
      <c r="O12" s="26">
        <v>125042500</v>
      </c>
      <c r="P12" s="26">
        <v>107626000</v>
      </c>
      <c r="Q12" s="26">
        <v>91520100</v>
      </c>
      <c r="R12" s="26">
        <v>131072500</v>
      </c>
      <c r="S12" s="26">
        <v>1587047475</v>
      </c>
    </row>
    <row r="13" spans="1:19">
      <c r="A13" s="10" t="s">
        <v>31</v>
      </c>
      <c r="B13" s="10" t="s">
        <v>32</v>
      </c>
      <c r="C13" s="11" t="s">
        <v>217</v>
      </c>
      <c r="D13" s="11" t="s">
        <v>33</v>
      </c>
      <c r="E13" s="11" t="s">
        <v>254</v>
      </c>
      <c r="F13" s="11" t="s">
        <v>216</v>
      </c>
      <c r="G13" s="25">
        <v>12.74</v>
      </c>
      <c r="H13" s="25">
        <v>15.27</v>
      </c>
      <c r="I13" s="25">
        <v>13.32</v>
      </c>
      <c r="J13" s="25">
        <v>18.14</v>
      </c>
      <c r="K13" s="25">
        <v>18.190000000000001</v>
      </c>
      <c r="L13" s="25">
        <v>19.55</v>
      </c>
      <c r="M13" s="25">
        <v>16.649999999999999</v>
      </c>
      <c r="N13" s="25">
        <v>15.06</v>
      </c>
      <c r="O13" s="25">
        <v>19.88</v>
      </c>
      <c r="P13" s="25">
        <v>14.25</v>
      </c>
      <c r="Q13" s="25">
        <v>14.59</v>
      </c>
      <c r="R13" s="25">
        <v>20.77</v>
      </c>
      <c r="S13" s="25">
        <v>210.32</v>
      </c>
    </row>
    <row r="14" spans="1:19">
      <c r="A14" s="10" t="s">
        <v>31</v>
      </c>
      <c r="B14" s="10" t="s">
        <v>32</v>
      </c>
      <c r="C14" s="11" t="s">
        <v>217</v>
      </c>
      <c r="D14" s="11" t="s">
        <v>33</v>
      </c>
      <c r="E14" s="11" t="s">
        <v>255</v>
      </c>
      <c r="F14" s="11" t="s">
        <v>33</v>
      </c>
      <c r="G14" s="25">
        <v>2136300</v>
      </c>
      <c r="H14" s="25">
        <v>2710300</v>
      </c>
      <c r="I14" s="25">
        <v>2282900</v>
      </c>
      <c r="J14" s="25">
        <v>3132100</v>
      </c>
      <c r="K14" s="25">
        <v>3127900</v>
      </c>
      <c r="L14" s="25">
        <v>3697700</v>
      </c>
      <c r="M14" s="25">
        <v>2843200</v>
      </c>
      <c r="N14" s="25">
        <v>2711100</v>
      </c>
      <c r="O14" s="25">
        <v>3378600</v>
      </c>
      <c r="P14" s="25">
        <v>2570000</v>
      </c>
      <c r="Q14" s="25">
        <v>2508600</v>
      </c>
      <c r="R14" s="25">
        <v>3833700</v>
      </c>
      <c r="S14" s="25">
        <v>36863838</v>
      </c>
    </row>
    <row r="15" spans="1:19">
      <c r="A15" s="12" t="s">
        <v>31</v>
      </c>
      <c r="B15" s="12" t="s">
        <v>32</v>
      </c>
      <c r="C15" s="12" t="s">
        <v>217</v>
      </c>
      <c r="D15" s="12" t="s">
        <v>33</v>
      </c>
      <c r="E15" s="12" t="s">
        <v>256</v>
      </c>
      <c r="F15" s="12" t="s">
        <v>225</v>
      </c>
      <c r="G15" s="26">
        <v>66894200</v>
      </c>
      <c r="H15" s="26">
        <v>83261500</v>
      </c>
      <c r="I15" s="26">
        <v>75581800</v>
      </c>
      <c r="J15" s="26">
        <v>96295400</v>
      </c>
      <c r="K15" s="26">
        <v>100104200</v>
      </c>
      <c r="L15" s="26">
        <v>108873500</v>
      </c>
      <c r="M15" s="26">
        <v>88481500</v>
      </c>
      <c r="N15" s="26">
        <v>83123300</v>
      </c>
      <c r="O15" s="26">
        <v>103196100</v>
      </c>
      <c r="P15" s="26">
        <v>77201700</v>
      </c>
      <c r="Q15" s="26">
        <v>77085800</v>
      </c>
      <c r="R15" s="26">
        <v>115809100</v>
      </c>
      <c r="S15" s="26">
        <v>1150151746</v>
      </c>
    </row>
    <row r="16" spans="1:19">
      <c r="A16" s="10" t="s">
        <v>31</v>
      </c>
      <c r="B16" s="10" t="s">
        <v>32</v>
      </c>
      <c r="C16" s="11" t="s">
        <v>218</v>
      </c>
      <c r="D16" s="11" t="s">
        <v>33</v>
      </c>
      <c r="E16" s="11" t="s">
        <v>254</v>
      </c>
      <c r="F16" s="11" t="s">
        <v>216</v>
      </c>
      <c r="G16" s="25">
        <v>10.94</v>
      </c>
      <c r="H16" s="25">
        <v>12.45</v>
      </c>
      <c r="I16" s="25">
        <v>15.07</v>
      </c>
      <c r="J16" s="25">
        <v>15.49</v>
      </c>
      <c r="K16" s="25">
        <v>13.67</v>
      </c>
      <c r="L16" s="25">
        <v>12.94</v>
      </c>
      <c r="M16" s="25">
        <v>18.34</v>
      </c>
      <c r="N16" s="25">
        <v>12.35</v>
      </c>
      <c r="O16" s="25">
        <v>12.85</v>
      </c>
      <c r="P16" s="25">
        <v>15.23</v>
      </c>
      <c r="Q16" s="25">
        <v>16.690000000000001</v>
      </c>
      <c r="R16" s="25">
        <v>13.07</v>
      </c>
      <c r="S16" s="25">
        <v>179.48</v>
      </c>
    </row>
    <row r="17" spans="1:19">
      <c r="A17" s="10" t="s">
        <v>31</v>
      </c>
      <c r="B17" s="10" t="s">
        <v>32</v>
      </c>
      <c r="C17" s="11" t="s">
        <v>218</v>
      </c>
      <c r="D17" s="11" t="s">
        <v>33</v>
      </c>
      <c r="E17" s="11" t="s">
        <v>255</v>
      </c>
      <c r="F17" s="11" t="s">
        <v>33</v>
      </c>
      <c r="G17" s="25">
        <v>1944500</v>
      </c>
      <c r="H17" s="25">
        <v>2224700</v>
      </c>
      <c r="I17" s="25">
        <v>2624600</v>
      </c>
      <c r="J17" s="25">
        <v>2632000</v>
      </c>
      <c r="K17" s="25">
        <v>2259100</v>
      </c>
      <c r="L17" s="25">
        <v>2188400</v>
      </c>
      <c r="M17" s="25">
        <v>3105200</v>
      </c>
      <c r="N17" s="25">
        <v>2093300</v>
      </c>
      <c r="O17" s="25">
        <v>2206700</v>
      </c>
      <c r="P17" s="25">
        <v>2567000</v>
      </c>
      <c r="Q17" s="25">
        <v>2748800</v>
      </c>
      <c r="R17" s="25">
        <v>2279700</v>
      </c>
      <c r="S17" s="25">
        <v>30354555</v>
      </c>
    </row>
    <row r="18" spans="1:19">
      <c r="A18" s="12" t="s">
        <v>31</v>
      </c>
      <c r="B18" s="12" t="s">
        <v>32</v>
      </c>
      <c r="C18" s="12" t="s">
        <v>218</v>
      </c>
      <c r="D18" s="12" t="s">
        <v>33</v>
      </c>
      <c r="E18" s="12" t="s">
        <v>256</v>
      </c>
      <c r="F18" s="12" t="s">
        <v>225</v>
      </c>
      <c r="G18" s="26">
        <v>62271100</v>
      </c>
      <c r="H18" s="26">
        <v>66346700</v>
      </c>
      <c r="I18" s="26">
        <v>85085000</v>
      </c>
      <c r="J18" s="26">
        <v>86228200</v>
      </c>
      <c r="K18" s="26">
        <v>69556400</v>
      </c>
      <c r="L18" s="26">
        <v>68122500</v>
      </c>
      <c r="M18" s="26">
        <v>93141200</v>
      </c>
      <c r="N18" s="26">
        <v>62160900</v>
      </c>
      <c r="O18" s="26">
        <v>70850000</v>
      </c>
      <c r="P18" s="26">
        <v>76889300</v>
      </c>
      <c r="Q18" s="26">
        <v>86703300</v>
      </c>
      <c r="R18" s="26">
        <v>72051300</v>
      </c>
      <c r="S18" s="26">
        <v>947062116</v>
      </c>
    </row>
    <row r="19" spans="1:19">
      <c r="A19" s="10" t="s">
        <v>31</v>
      </c>
      <c r="B19" s="10" t="s">
        <v>32</v>
      </c>
      <c r="C19" s="11" t="s">
        <v>219</v>
      </c>
      <c r="D19" s="11" t="s">
        <v>33</v>
      </c>
      <c r="E19" s="11" t="s">
        <v>254</v>
      </c>
      <c r="F19" s="11" t="s">
        <v>216</v>
      </c>
      <c r="G19" s="25">
        <v>21.38</v>
      </c>
      <c r="H19" s="25">
        <v>23.87</v>
      </c>
      <c r="I19" s="25">
        <v>14.18</v>
      </c>
      <c r="J19" s="25">
        <v>23.83</v>
      </c>
      <c r="K19" s="25">
        <v>15.98</v>
      </c>
      <c r="L19" s="25">
        <v>23.73</v>
      </c>
      <c r="M19" s="25">
        <v>15.2</v>
      </c>
      <c r="N19" s="25">
        <v>23</v>
      </c>
      <c r="O19" s="25">
        <v>23.25</v>
      </c>
      <c r="P19" s="25">
        <v>25</v>
      </c>
      <c r="Q19" s="25">
        <v>24.92</v>
      </c>
      <c r="R19" s="25">
        <v>19.41</v>
      </c>
      <c r="S19" s="25">
        <v>265.95</v>
      </c>
    </row>
    <row r="20" spans="1:19">
      <c r="A20" s="10" t="s">
        <v>31</v>
      </c>
      <c r="B20" s="10" t="s">
        <v>32</v>
      </c>
      <c r="C20" s="11" t="s">
        <v>219</v>
      </c>
      <c r="D20" s="11" t="s">
        <v>33</v>
      </c>
      <c r="E20" s="11" t="s">
        <v>255</v>
      </c>
      <c r="F20" s="11" t="s">
        <v>33</v>
      </c>
      <c r="G20" s="25">
        <v>3911500</v>
      </c>
      <c r="H20" s="25">
        <v>4229300</v>
      </c>
      <c r="I20" s="25">
        <v>2601600</v>
      </c>
      <c r="J20" s="25">
        <v>4122900</v>
      </c>
      <c r="K20" s="25">
        <v>3004400</v>
      </c>
      <c r="L20" s="25">
        <v>4180900</v>
      </c>
      <c r="M20" s="25">
        <v>2734100</v>
      </c>
      <c r="N20" s="25">
        <v>3960300</v>
      </c>
      <c r="O20" s="25">
        <v>4227100</v>
      </c>
      <c r="P20" s="25">
        <v>4330600</v>
      </c>
      <c r="Q20" s="25">
        <v>4557600</v>
      </c>
      <c r="R20" s="25">
        <v>3320600</v>
      </c>
      <c r="S20" s="25">
        <v>48522577.5</v>
      </c>
    </row>
    <row r="21" spans="1:19">
      <c r="A21" s="12" t="s">
        <v>31</v>
      </c>
      <c r="B21" s="12" t="s">
        <v>32</v>
      </c>
      <c r="C21" s="12" t="s">
        <v>219</v>
      </c>
      <c r="D21" s="12" t="s">
        <v>33</v>
      </c>
      <c r="E21" s="12" t="s">
        <v>256</v>
      </c>
      <c r="F21" s="12" t="s">
        <v>225</v>
      </c>
      <c r="G21" s="26">
        <v>115813000</v>
      </c>
      <c r="H21" s="26">
        <v>139376100</v>
      </c>
      <c r="I21" s="26">
        <v>83052200</v>
      </c>
      <c r="J21" s="26">
        <v>128564900</v>
      </c>
      <c r="K21" s="26">
        <v>93526900</v>
      </c>
      <c r="L21" s="26">
        <v>127207600</v>
      </c>
      <c r="M21" s="26">
        <v>85050200</v>
      </c>
      <c r="N21" s="26">
        <v>130823800</v>
      </c>
      <c r="O21" s="26">
        <v>134323000</v>
      </c>
      <c r="P21" s="26">
        <v>142570000</v>
      </c>
      <c r="Q21" s="26">
        <v>142390400</v>
      </c>
      <c r="R21" s="26">
        <v>104092800</v>
      </c>
      <c r="S21" s="26">
        <v>1513904417</v>
      </c>
    </row>
    <row r="22" spans="1:19">
      <c r="A22" s="10" t="s">
        <v>31</v>
      </c>
      <c r="B22" s="10" t="s">
        <v>32</v>
      </c>
      <c r="C22" s="11" t="s">
        <v>220</v>
      </c>
      <c r="D22" s="11" t="s">
        <v>33</v>
      </c>
      <c r="E22" s="11" t="s">
        <v>254</v>
      </c>
      <c r="F22" s="11" t="s">
        <v>216</v>
      </c>
      <c r="G22" s="25">
        <v>9.69</v>
      </c>
      <c r="H22" s="25">
        <v>13.79</v>
      </c>
      <c r="I22" s="25">
        <v>13.37</v>
      </c>
      <c r="J22" s="25">
        <v>9.06</v>
      </c>
      <c r="K22" s="25">
        <v>9.51</v>
      </c>
      <c r="L22" s="25">
        <v>9.5299999999999994</v>
      </c>
      <c r="M22" s="25">
        <v>10.1</v>
      </c>
      <c r="N22" s="25">
        <v>9.08</v>
      </c>
      <c r="O22" s="25">
        <v>12.21</v>
      </c>
      <c r="P22" s="25">
        <v>9.1999999999999993</v>
      </c>
      <c r="Q22" s="25">
        <v>10.16</v>
      </c>
      <c r="R22" s="25">
        <v>14.27</v>
      </c>
      <c r="S22" s="25">
        <v>138.72999999999999</v>
      </c>
    </row>
    <row r="23" spans="1:19">
      <c r="A23" s="10" t="s">
        <v>31</v>
      </c>
      <c r="B23" s="10" t="s">
        <v>32</v>
      </c>
      <c r="C23" s="11" t="s">
        <v>220</v>
      </c>
      <c r="D23" s="11" t="s">
        <v>33</v>
      </c>
      <c r="E23" s="11" t="s">
        <v>255</v>
      </c>
      <c r="F23" s="11" t="s">
        <v>33</v>
      </c>
      <c r="G23" s="25">
        <v>1541900</v>
      </c>
      <c r="H23" s="25">
        <v>2150500</v>
      </c>
      <c r="I23" s="25">
        <v>2144600</v>
      </c>
      <c r="J23" s="25">
        <v>1469100</v>
      </c>
      <c r="K23" s="25">
        <v>1452300</v>
      </c>
      <c r="L23" s="25">
        <v>1496300</v>
      </c>
      <c r="M23" s="25">
        <v>1697400</v>
      </c>
      <c r="N23" s="25">
        <v>1470600</v>
      </c>
      <c r="O23" s="25">
        <v>1831200</v>
      </c>
      <c r="P23" s="25">
        <v>1469100</v>
      </c>
      <c r="Q23" s="25">
        <v>1604000</v>
      </c>
      <c r="R23" s="25">
        <v>2253300</v>
      </c>
      <c r="S23" s="25">
        <v>22040728.75</v>
      </c>
    </row>
    <row r="24" spans="1:19">
      <c r="A24" s="12" t="s">
        <v>31</v>
      </c>
      <c r="B24" s="12" t="s">
        <v>32</v>
      </c>
      <c r="C24" s="12" t="s">
        <v>220</v>
      </c>
      <c r="D24" s="12" t="s">
        <v>33</v>
      </c>
      <c r="E24" s="12" t="s">
        <v>256</v>
      </c>
      <c r="F24" s="12" t="s">
        <v>225</v>
      </c>
      <c r="G24" s="26">
        <v>48671600</v>
      </c>
      <c r="H24" s="26">
        <v>72777800</v>
      </c>
      <c r="I24" s="26">
        <v>70862400</v>
      </c>
      <c r="J24" s="26">
        <v>44631100</v>
      </c>
      <c r="K24" s="26">
        <v>44083700</v>
      </c>
      <c r="L24" s="26">
        <v>45415900</v>
      </c>
      <c r="M24" s="26">
        <v>53015100</v>
      </c>
      <c r="N24" s="26">
        <v>45631600</v>
      </c>
      <c r="O24" s="26">
        <v>61411500</v>
      </c>
      <c r="P24" s="26">
        <v>46278000</v>
      </c>
      <c r="Q24" s="26">
        <v>46597500</v>
      </c>
      <c r="R24" s="26">
        <v>72585100</v>
      </c>
      <c r="S24" s="26">
        <v>687670737</v>
      </c>
    </row>
    <row r="25" spans="1:19">
      <c r="A25" s="13" t="s">
        <v>35</v>
      </c>
      <c r="B25" s="13" t="s">
        <v>36</v>
      </c>
      <c r="C25" s="14" t="s">
        <v>215</v>
      </c>
      <c r="D25" s="14" t="s">
        <v>37</v>
      </c>
      <c r="E25" s="14" t="s">
        <v>254</v>
      </c>
      <c r="F25" s="14" t="s">
        <v>216</v>
      </c>
      <c r="G25" s="27">
        <v>17.23</v>
      </c>
      <c r="H25" s="27">
        <v>20.83</v>
      </c>
      <c r="I25" s="27">
        <v>16.29</v>
      </c>
      <c r="J25" s="27">
        <v>18.77</v>
      </c>
      <c r="K25" s="27">
        <v>21.39</v>
      </c>
      <c r="L25" s="27">
        <v>19.71</v>
      </c>
      <c r="M25" s="27">
        <v>15.35</v>
      </c>
      <c r="N25" s="27">
        <v>20.32</v>
      </c>
      <c r="O25" s="27">
        <v>25.95</v>
      </c>
      <c r="P25" s="27">
        <v>17.29</v>
      </c>
      <c r="Q25" s="27">
        <v>19.760000000000002</v>
      </c>
      <c r="R25" s="27">
        <v>17.100000000000001</v>
      </c>
      <c r="S25" s="27">
        <v>243.76</v>
      </c>
    </row>
    <row r="26" spans="1:19">
      <c r="A26" s="15" t="s">
        <v>35</v>
      </c>
      <c r="B26" s="15" t="s">
        <v>36</v>
      </c>
      <c r="C26" s="16" t="s">
        <v>215</v>
      </c>
      <c r="D26" s="16" t="s">
        <v>37</v>
      </c>
      <c r="E26" s="16" t="s">
        <v>255</v>
      </c>
      <c r="F26" s="16" t="s">
        <v>37</v>
      </c>
      <c r="G26" s="28">
        <v>27000</v>
      </c>
      <c r="H26" s="28">
        <v>30800</v>
      </c>
      <c r="I26" s="28">
        <v>23300</v>
      </c>
      <c r="J26" s="28">
        <v>26700</v>
      </c>
      <c r="K26" s="28">
        <v>31200</v>
      </c>
      <c r="L26" s="28">
        <v>29700</v>
      </c>
      <c r="M26" s="28">
        <v>24200</v>
      </c>
      <c r="N26" s="28">
        <v>30300</v>
      </c>
      <c r="O26" s="28">
        <v>37300</v>
      </c>
      <c r="P26" s="28">
        <v>26100</v>
      </c>
      <c r="Q26" s="28">
        <v>29900</v>
      </c>
      <c r="R26" s="28">
        <v>24600</v>
      </c>
      <c r="S26" s="28">
        <v>362288.27999999997</v>
      </c>
    </row>
    <row r="27" spans="1:19">
      <c r="A27" s="17" t="s">
        <v>35</v>
      </c>
      <c r="B27" s="17" t="s">
        <v>36</v>
      </c>
      <c r="C27" s="17" t="s">
        <v>215</v>
      </c>
      <c r="D27" s="17" t="s">
        <v>37</v>
      </c>
      <c r="E27" s="17" t="s">
        <v>256</v>
      </c>
      <c r="F27" s="17" t="s">
        <v>225</v>
      </c>
      <c r="G27" s="29">
        <v>124344400</v>
      </c>
      <c r="H27" s="29">
        <v>136532100</v>
      </c>
      <c r="I27" s="29">
        <v>111881900</v>
      </c>
      <c r="J27" s="29">
        <v>119234000</v>
      </c>
      <c r="K27" s="29">
        <v>147026500</v>
      </c>
      <c r="L27" s="29">
        <v>127775800</v>
      </c>
      <c r="M27" s="29">
        <v>109159600</v>
      </c>
      <c r="N27" s="29">
        <v>129327100</v>
      </c>
      <c r="O27" s="29">
        <v>164011800</v>
      </c>
      <c r="P27" s="29">
        <v>120083100</v>
      </c>
      <c r="Q27" s="29">
        <v>145050300</v>
      </c>
      <c r="R27" s="29">
        <v>113127900</v>
      </c>
      <c r="S27" s="29">
        <v>1652034556</v>
      </c>
    </row>
    <row r="28" spans="1:19">
      <c r="A28" s="15" t="s">
        <v>35</v>
      </c>
      <c r="B28" s="15" t="s">
        <v>36</v>
      </c>
      <c r="C28" s="16" t="s">
        <v>217</v>
      </c>
      <c r="D28" s="16" t="s">
        <v>37</v>
      </c>
      <c r="E28" s="16" t="s">
        <v>254</v>
      </c>
      <c r="F28" s="16" t="s">
        <v>216</v>
      </c>
      <c r="G28" s="28">
        <v>21.23</v>
      </c>
      <c r="H28" s="28">
        <v>12.58</v>
      </c>
      <c r="I28" s="28">
        <v>19.309999999999999</v>
      </c>
      <c r="J28" s="28">
        <v>19.53</v>
      </c>
      <c r="K28" s="28">
        <v>14.76</v>
      </c>
      <c r="L28" s="28">
        <v>15.68</v>
      </c>
      <c r="M28" s="28">
        <v>17.63</v>
      </c>
      <c r="N28" s="28">
        <v>14.27</v>
      </c>
      <c r="O28" s="28">
        <v>12.68</v>
      </c>
      <c r="P28" s="28">
        <v>20.25</v>
      </c>
      <c r="Q28" s="28">
        <v>17.14</v>
      </c>
      <c r="R28" s="28">
        <v>16.14</v>
      </c>
      <c r="S28" s="28">
        <v>213.48</v>
      </c>
    </row>
    <row r="29" spans="1:19">
      <c r="A29" s="15" t="s">
        <v>35</v>
      </c>
      <c r="B29" s="15" t="s">
        <v>36</v>
      </c>
      <c r="C29" s="16" t="s">
        <v>217</v>
      </c>
      <c r="D29" s="16" t="s">
        <v>37</v>
      </c>
      <c r="E29" s="16" t="s">
        <v>255</v>
      </c>
      <c r="F29" s="16" t="s">
        <v>37</v>
      </c>
      <c r="G29" s="28">
        <v>28500</v>
      </c>
      <c r="H29" s="28">
        <v>17200</v>
      </c>
      <c r="I29" s="28">
        <v>27300</v>
      </c>
      <c r="J29" s="28">
        <v>25600</v>
      </c>
      <c r="K29" s="28">
        <v>21100</v>
      </c>
      <c r="L29" s="28">
        <v>21300</v>
      </c>
      <c r="M29" s="28">
        <v>22700</v>
      </c>
      <c r="N29" s="28">
        <v>19300</v>
      </c>
      <c r="O29" s="28">
        <v>18400</v>
      </c>
      <c r="P29" s="28">
        <v>26400</v>
      </c>
      <c r="Q29" s="28">
        <v>24200</v>
      </c>
      <c r="R29" s="28">
        <v>20700</v>
      </c>
      <c r="S29" s="28">
        <v>288838.44</v>
      </c>
    </row>
    <row r="30" spans="1:19">
      <c r="A30" s="17" t="s">
        <v>35</v>
      </c>
      <c r="B30" s="17" t="s">
        <v>36</v>
      </c>
      <c r="C30" s="17" t="s">
        <v>217</v>
      </c>
      <c r="D30" s="17" t="s">
        <v>37</v>
      </c>
      <c r="E30" s="17" t="s">
        <v>256</v>
      </c>
      <c r="F30" s="17" t="s">
        <v>225</v>
      </c>
      <c r="G30" s="29">
        <v>122747200</v>
      </c>
      <c r="H30" s="29">
        <v>83356400</v>
      </c>
      <c r="I30" s="29">
        <v>122906600</v>
      </c>
      <c r="J30" s="29">
        <v>118036300</v>
      </c>
      <c r="K30" s="29">
        <v>94980500</v>
      </c>
      <c r="L30" s="29">
        <v>97525900</v>
      </c>
      <c r="M30" s="29">
        <v>104267500</v>
      </c>
      <c r="N30" s="29">
        <v>93360100</v>
      </c>
      <c r="O30" s="29">
        <v>79753000</v>
      </c>
      <c r="P30" s="29">
        <v>118443300</v>
      </c>
      <c r="Q30" s="29">
        <v>111497700</v>
      </c>
      <c r="R30" s="29">
        <v>93676600</v>
      </c>
      <c r="S30" s="29">
        <v>1317103285</v>
      </c>
    </row>
    <row r="31" spans="1:19">
      <c r="A31" s="15" t="s">
        <v>35</v>
      </c>
      <c r="B31" s="15" t="s">
        <v>36</v>
      </c>
      <c r="C31" s="16" t="s">
        <v>218</v>
      </c>
      <c r="D31" s="16" t="s">
        <v>37</v>
      </c>
      <c r="E31" s="16" t="s">
        <v>254</v>
      </c>
      <c r="F31" s="16" t="s">
        <v>216</v>
      </c>
      <c r="G31" s="28">
        <v>12.73</v>
      </c>
      <c r="H31" s="28">
        <v>12.83</v>
      </c>
      <c r="I31" s="28">
        <v>11.18</v>
      </c>
      <c r="J31" s="28">
        <v>11.5</v>
      </c>
      <c r="K31" s="28">
        <v>16.23</v>
      </c>
      <c r="L31" s="28">
        <v>13.46</v>
      </c>
      <c r="M31" s="28">
        <v>16.23</v>
      </c>
      <c r="N31" s="28">
        <v>13.42</v>
      </c>
      <c r="O31" s="28">
        <v>15.84</v>
      </c>
      <c r="P31" s="28">
        <v>14.29</v>
      </c>
      <c r="Q31" s="28">
        <v>14.89</v>
      </c>
      <c r="R31" s="28">
        <v>17.920000000000002</v>
      </c>
      <c r="S31" s="28">
        <v>179.87</v>
      </c>
    </row>
    <row r="32" spans="1:19">
      <c r="A32" s="15" t="s">
        <v>35</v>
      </c>
      <c r="B32" s="15" t="s">
        <v>36</v>
      </c>
      <c r="C32" s="16" t="s">
        <v>218</v>
      </c>
      <c r="D32" s="16" t="s">
        <v>37</v>
      </c>
      <c r="E32" s="16" t="s">
        <v>255</v>
      </c>
      <c r="F32" s="16" t="s">
        <v>37</v>
      </c>
      <c r="G32" s="28">
        <v>16100</v>
      </c>
      <c r="H32" s="28">
        <v>15500</v>
      </c>
      <c r="I32" s="28">
        <v>14700</v>
      </c>
      <c r="J32" s="28">
        <v>15400</v>
      </c>
      <c r="K32" s="28">
        <v>21200</v>
      </c>
      <c r="L32" s="28">
        <v>18600</v>
      </c>
      <c r="M32" s="28">
        <v>20700</v>
      </c>
      <c r="N32" s="28">
        <v>17900</v>
      </c>
      <c r="O32" s="28">
        <v>20800</v>
      </c>
      <c r="P32" s="28">
        <v>18600</v>
      </c>
      <c r="Q32" s="28">
        <v>19400</v>
      </c>
      <c r="R32" s="28">
        <v>23100</v>
      </c>
      <c r="S32" s="28">
        <v>234145.77</v>
      </c>
    </row>
    <row r="33" spans="1:19">
      <c r="A33" s="17" t="s">
        <v>35</v>
      </c>
      <c r="B33" s="17" t="s">
        <v>36</v>
      </c>
      <c r="C33" s="17" t="s">
        <v>218</v>
      </c>
      <c r="D33" s="17" t="s">
        <v>37</v>
      </c>
      <c r="E33" s="17" t="s">
        <v>256</v>
      </c>
      <c r="F33" s="17" t="s">
        <v>225</v>
      </c>
      <c r="G33" s="29">
        <v>76022100</v>
      </c>
      <c r="H33" s="29">
        <v>72360500</v>
      </c>
      <c r="I33" s="29">
        <v>65616100</v>
      </c>
      <c r="J33" s="29">
        <v>72415300</v>
      </c>
      <c r="K33" s="29">
        <v>98646300</v>
      </c>
      <c r="L33" s="29">
        <v>81819900</v>
      </c>
      <c r="M33" s="29">
        <v>96475600</v>
      </c>
      <c r="N33" s="29">
        <v>77563900</v>
      </c>
      <c r="O33" s="29">
        <v>94583600</v>
      </c>
      <c r="P33" s="29">
        <v>81685800</v>
      </c>
      <c r="Q33" s="29">
        <v>88527500</v>
      </c>
      <c r="R33" s="29">
        <v>103508600</v>
      </c>
      <c r="S33" s="29">
        <v>1067704712</v>
      </c>
    </row>
    <row r="34" spans="1:19">
      <c r="A34" s="15" t="s">
        <v>35</v>
      </c>
      <c r="B34" s="15" t="s">
        <v>36</v>
      </c>
      <c r="C34" s="16" t="s">
        <v>219</v>
      </c>
      <c r="D34" s="16" t="s">
        <v>37</v>
      </c>
      <c r="E34" s="16" t="s">
        <v>254</v>
      </c>
      <c r="F34" s="16" t="s">
        <v>216</v>
      </c>
      <c r="G34" s="28">
        <v>14.8</v>
      </c>
      <c r="H34" s="28">
        <v>20.07</v>
      </c>
      <c r="I34" s="28">
        <v>14.33</v>
      </c>
      <c r="J34" s="28">
        <v>20.149999999999999</v>
      </c>
      <c r="K34" s="28">
        <v>25.15</v>
      </c>
      <c r="L34" s="28">
        <v>15.24</v>
      </c>
      <c r="M34" s="28">
        <v>15.88</v>
      </c>
      <c r="N34" s="28">
        <v>16.47</v>
      </c>
      <c r="O34" s="28">
        <v>23.16</v>
      </c>
      <c r="P34" s="28">
        <v>24.08</v>
      </c>
      <c r="Q34" s="28">
        <v>24.61</v>
      </c>
      <c r="R34" s="28">
        <v>24.81</v>
      </c>
      <c r="S34" s="28">
        <v>248.73999999999998</v>
      </c>
    </row>
    <row r="35" spans="1:19">
      <c r="A35" s="15" t="s">
        <v>35</v>
      </c>
      <c r="B35" s="15" t="s">
        <v>36</v>
      </c>
      <c r="C35" s="16" t="s">
        <v>219</v>
      </c>
      <c r="D35" s="16" t="s">
        <v>37</v>
      </c>
      <c r="E35" s="16" t="s">
        <v>255</v>
      </c>
      <c r="F35" s="16" t="s">
        <v>37</v>
      </c>
      <c r="G35" s="28">
        <v>19700</v>
      </c>
      <c r="H35" s="28">
        <v>28400</v>
      </c>
      <c r="I35" s="28">
        <v>20200</v>
      </c>
      <c r="J35" s="28">
        <v>29300</v>
      </c>
      <c r="K35" s="28">
        <v>35400</v>
      </c>
      <c r="L35" s="28">
        <v>21200</v>
      </c>
      <c r="M35" s="28">
        <v>21000</v>
      </c>
      <c r="N35" s="28">
        <v>21800</v>
      </c>
      <c r="O35" s="28">
        <v>31700</v>
      </c>
      <c r="P35" s="28">
        <v>34400</v>
      </c>
      <c r="Q35" s="28">
        <v>34100</v>
      </c>
      <c r="R35" s="28">
        <v>34400</v>
      </c>
      <c r="S35" s="28">
        <v>354392.3</v>
      </c>
    </row>
    <row r="36" spans="1:19">
      <c r="A36" s="17" t="s">
        <v>35</v>
      </c>
      <c r="B36" s="17" t="s">
        <v>36</v>
      </c>
      <c r="C36" s="17" t="s">
        <v>219</v>
      </c>
      <c r="D36" s="17" t="s">
        <v>37</v>
      </c>
      <c r="E36" s="17" t="s">
        <v>256</v>
      </c>
      <c r="F36" s="17" t="s">
        <v>225</v>
      </c>
      <c r="G36" s="29">
        <v>93652000</v>
      </c>
      <c r="H36" s="29">
        <v>126976800</v>
      </c>
      <c r="I36" s="29">
        <v>97811300</v>
      </c>
      <c r="J36" s="29">
        <v>136271200</v>
      </c>
      <c r="K36" s="29">
        <v>159708100</v>
      </c>
      <c r="L36" s="29">
        <v>94008900</v>
      </c>
      <c r="M36" s="29">
        <v>99338600</v>
      </c>
      <c r="N36" s="29">
        <v>106395500</v>
      </c>
      <c r="O36" s="29">
        <v>143155900</v>
      </c>
      <c r="P36" s="29">
        <v>167139600</v>
      </c>
      <c r="Q36" s="29">
        <v>151410800</v>
      </c>
      <c r="R36" s="29">
        <v>150912700</v>
      </c>
      <c r="S36" s="29">
        <v>1616028887</v>
      </c>
    </row>
    <row r="37" spans="1:19">
      <c r="A37" s="15" t="s">
        <v>35</v>
      </c>
      <c r="B37" s="15" t="s">
        <v>36</v>
      </c>
      <c r="C37" s="16" t="s">
        <v>220</v>
      </c>
      <c r="D37" s="16" t="s">
        <v>37</v>
      </c>
      <c r="E37" s="16" t="s">
        <v>254</v>
      </c>
      <c r="F37" s="16" t="s">
        <v>216</v>
      </c>
      <c r="G37" s="28">
        <v>10.49</v>
      </c>
      <c r="H37" s="28">
        <v>13.72</v>
      </c>
      <c r="I37" s="28">
        <v>14.14</v>
      </c>
      <c r="J37" s="28">
        <v>9.43</v>
      </c>
      <c r="K37" s="28">
        <v>10.210000000000001</v>
      </c>
      <c r="L37" s="28">
        <v>10.35</v>
      </c>
      <c r="M37" s="28">
        <v>8.92</v>
      </c>
      <c r="N37" s="28">
        <v>14.09</v>
      </c>
      <c r="O37" s="28">
        <v>13.57</v>
      </c>
      <c r="P37" s="28">
        <v>11.65</v>
      </c>
      <c r="Q37" s="28">
        <v>13.21</v>
      </c>
      <c r="R37" s="28">
        <v>14.11</v>
      </c>
      <c r="S37" s="28">
        <v>153.12</v>
      </c>
    </row>
    <row r="38" spans="1:19">
      <c r="A38" s="15" t="s">
        <v>35</v>
      </c>
      <c r="B38" s="15" t="s">
        <v>36</v>
      </c>
      <c r="C38" s="16" t="s">
        <v>220</v>
      </c>
      <c r="D38" s="16" t="s">
        <v>37</v>
      </c>
      <c r="E38" s="16" t="s">
        <v>255</v>
      </c>
      <c r="F38" s="16" t="s">
        <v>37</v>
      </c>
      <c r="G38" s="28">
        <v>12700</v>
      </c>
      <c r="H38" s="28">
        <v>16500</v>
      </c>
      <c r="I38" s="28">
        <v>17500</v>
      </c>
      <c r="J38" s="28">
        <v>11500</v>
      </c>
      <c r="K38" s="28">
        <v>12000</v>
      </c>
      <c r="L38" s="28">
        <v>12700</v>
      </c>
      <c r="M38" s="28">
        <v>10700</v>
      </c>
      <c r="N38" s="28">
        <v>17100</v>
      </c>
      <c r="O38" s="28">
        <v>15800</v>
      </c>
      <c r="P38" s="28">
        <v>13700</v>
      </c>
      <c r="Q38" s="28">
        <v>15800</v>
      </c>
      <c r="R38" s="28">
        <v>16800</v>
      </c>
      <c r="S38" s="28">
        <v>185198.65</v>
      </c>
    </row>
    <row r="39" spans="1:19">
      <c r="A39" s="17" t="s">
        <v>35</v>
      </c>
      <c r="B39" s="17" t="s">
        <v>36</v>
      </c>
      <c r="C39" s="17" t="s">
        <v>220</v>
      </c>
      <c r="D39" s="17" t="s">
        <v>37</v>
      </c>
      <c r="E39" s="17" t="s">
        <v>256</v>
      </c>
      <c r="F39" s="17" t="s">
        <v>225</v>
      </c>
      <c r="G39" s="29">
        <v>60873000</v>
      </c>
      <c r="H39" s="29">
        <v>81337700</v>
      </c>
      <c r="I39" s="29">
        <v>78847800</v>
      </c>
      <c r="J39" s="29">
        <v>50179200</v>
      </c>
      <c r="K39" s="29">
        <v>57616500</v>
      </c>
      <c r="L39" s="29">
        <v>59015400</v>
      </c>
      <c r="M39" s="29">
        <v>48993500</v>
      </c>
      <c r="N39" s="29">
        <v>78091800</v>
      </c>
      <c r="O39" s="29">
        <v>71106000</v>
      </c>
      <c r="P39" s="29">
        <v>60247000</v>
      </c>
      <c r="Q39" s="29">
        <v>75606900</v>
      </c>
      <c r="R39" s="29">
        <v>74769800</v>
      </c>
      <c r="S39" s="29">
        <v>844505844</v>
      </c>
    </row>
    <row r="40" spans="1:19">
      <c r="A40" s="18" t="s">
        <v>38</v>
      </c>
      <c r="B40" s="18" t="s">
        <v>39</v>
      </c>
      <c r="C40" s="19" t="s">
        <v>215</v>
      </c>
      <c r="D40" s="19" t="s">
        <v>37</v>
      </c>
      <c r="E40" s="19" t="s">
        <v>254</v>
      </c>
      <c r="F40" s="19" t="s">
        <v>216</v>
      </c>
      <c r="G40" s="30">
        <v>25.17</v>
      </c>
      <c r="H40" s="30">
        <v>14.93</v>
      </c>
      <c r="I40" s="30">
        <v>17.12</v>
      </c>
      <c r="J40" s="30">
        <v>23.03</v>
      </c>
      <c r="K40" s="30">
        <v>16.88</v>
      </c>
      <c r="L40" s="30">
        <v>25.17</v>
      </c>
      <c r="M40" s="30">
        <v>25.81</v>
      </c>
      <c r="N40" s="30">
        <v>19.88</v>
      </c>
      <c r="O40" s="30">
        <v>20.82</v>
      </c>
      <c r="P40" s="30">
        <v>25.02</v>
      </c>
      <c r="Q40" s="30">
        <v>25.83</v>
      </c>
      <c r="R40" s="30">
        <v>15.2</v>
      </c>
      <c r="S40" s="30">
        <v>268.60000000000002</v>
      </c>
    </row>
    <row r="41" spans="1:19">
      <c r="A41" s="20" t="s">
        <v>38</v>
      </c>
      <c r="B41" s="20" t="s">
        <v>39</v>
      </c>
      <c r="C41" s="21" t="s">
        <v>215</v>
      </c>
      <c r="D41" s="21" t="s">
        <v>37</v>
      </c>
      <c r="E41" s="21" t="s">
        <v>255</v>
      </c>
      <c r="F41" s="21" t="s">
        <v>37</v>
      </c>
      <c r="G41" s="31">
        <v>38100</v>
      </c>
      <c r="H41" s="31">
        <v>23200</v>
      </c>
      <c r="I41" s="31">
        <v>23900</v>
      </c>
      <c r="J41" s="31">
        <v>32300</v>
      </c>
      <c r="K41" s="31">
        <v>25200</v>
      </c>
      <c r="L41" s="31">
        <v>39000</v>
      </c>
      <c r="M41" s="31">
        <v>36200</v>
      </c>
      <c r="N41" s="31">
        <v>30000</v>
      </c>
      <c r="O41" s="31">
        <v>31800</v>
      </c>
      <c r="P41" s="31">
        <v>35000</v>
      </c>
      <c r="Q41" s="31">
        <v>38300</v>
      </c>
      <c r="R41" s="31">
        <v>23800</v>
      </c>
      <c r="S41" s="31">
        <v>399206.74</v>
      </c>
    </row>
    <row r="42" spans="1:19">
      <c r="A42" s="22" t="s">
        <v>38</v>
      </c>
      <c r="B42" s="22" t="s">
        <v>39</v>
      </c>
      <c r="C42" s="22" t="s">
        <v>215</v>
      </c>
      <c r="D42" s="22" t="s">
        <v>37</v>
      </c>
      <c r="E42" s="22" t="s">
        <v>256</v>
      </c>
      <c r="F42" s="22" t="s">
        <v>225</v>
      </c>
      <c r="G42" s="32">
        <v>176836000</v>
      </c>
      <c r="H42" s="32">
        <v>107289400</v>
      </c>
      <c r="I42" s="32">
        <v>111838000</v>
      </c>
      <c r="J42" s="32">
        <v>151899400</v>
      </c>
      <c r="K42" s="32">
        <v>114294300</v>
      </c>
      <c r="L42" s="32">
        <v>168085800</v>
      </c>
      <c r="M42" s="32">
        <v>176668000</v>
      </c>
      <c r="N42" s="32">
        <v>133019400</v>
      </c>
      <c r="O42" s="32">
        <v>141891200</v>
      </c>
      <c r="P42" s="32">
        <v>165220500</v>
      </c>
      <c r="Q42" s="32">
        <v>170136900</v>
      </c>
      <c r="R42" s="32">
        <v>105500300</v>
      </c>
      <c r="S42" s="32">
        <v>1820382735</v>
      </c>
    </row>
    <row r="43" spans="1:19">
      <c r="A43" s="20" t="s">
        <v>38</v>
      </c>
      <c r="B43" s="20" t="s">
        <v>39</v>
      </c>
      <c r="C43" s="21" t="s">
        <v>217</v>
      </c>
      <c r="D43" s="21" t="s">
        <v>37</v>
      </c>
      <c r="E43" s="21" t="s">
        <v>254</v>
      </c>
      <c r="F43" s="21" t="s">
        <v>216</v>
      </c>
      <c r="G43" s="31">
        <v>20.29</v>
      </c>
      <c r="H43" s="31">
        <v>16.75</v>
      </c>
      <c r="I43" s="31">
        <v>12.32</v>
      </c>
      <c r="J43" s="31">
        <v>20.239999999999998</v>
      </c>
      <c r="K43" s="31">
        <v>21.57</v>
      </c>
      <c r="L43" s="31">
        <v>12.18</v>
      </c>
      <c r="M43" s="31">
        <v>17.52</v>
      </c>
      <c r="N43" s="31">
        <v>21.05</v>
      </c>
      <c r="O43" s="31">
        <v>13.75</v>
      </c>
      <c r="P43" s="31">
        <v>16.329999999999998</v>
      </c>
      <c r="Q43" s="31">
        <v>16.11</v>
      </c>
      <c r="R43" s="31">
        <v>16.59</v>
      </c>
      <c r="S43" s="31">
        <v>217.74</v>
      </c>
    </row>
    <row r="44" spans="1:19">
      <c r="A44" s="20" t="s">
        <v>38</v>
      </c>
      <c r="B44" s="20" t="s">
        <v>39</v>
      </c>
      <c r="C44" s="21" t="s">
        <v>217</v>
      </c>
      <c r="D44" s="21" t="s">
        <v>37</v>
      </c>
      <c r="E44" s="21" t="s">
        <v>255</v>
      </c>
      <c r="F44" s="21" t="s">
        <v>37</v>
      </c>
      <c r="G44" s="31">
        <v>29100</v>
      </c>
      <c r="H44" s="31">
        <v>22500</v>
      </c>
      <c r="I44" s="31">
        <v>15900</v>
      </c>
      <c r="J44" s="31">
        <v>26400</v>
      </c>
      <c r="K44" s="31">
        <v>28600</v>
      </c>
      <c r="L44" s="31">
        <v>16900</v>
      </c>
      <c r="M44" s="31">
        <v>24400</v>
      </c>
      <c r="N44" s="31">
        <v>28400</v>
      </c>
      <c r="O44" s="31">
        <v>18900</v>
      </c>
      <c r="P44" s="31">
        <v>22100</v>
      </c>
      <c r="Q44" s="31">
        <v>21400</v>
      </c>
      <c r="R44" s="31">
        <v>23300</v>
      </c>
      <c r="S44" s="31">
        <v>294602.21999999997</v>
      </c>
    </row>
    <row r="45" spans="1:19">
      <c r="A45" s="22" t="s">
        <v>38</v>
      </c>
      <c r="B45" s="22" t="s">
        <v>39</v>
      </c>
      <c r="C45" s="22" t="s">
        <v>217</v>
      </c>
      <c r="D45" s="22" t="s">
        <v>37</v>
      </c>
      <c r="E45" s="22" t="s">
        <v>256</v>
      </c>
      <c r="F45" s="22" t="s">
        <v>225</v>
      </c>
      <c r="G45" s="32">
        <v>133402000</v>
      </c>
      <c r="H45" s="32">
        <v>99197900</v>
      </c>
      <c r="I45" s="32">
        <v>75137300</v>
      </c>
      <c r="J45" s="32">
        <v>126220400</v>
      </c>
      <c r="K45" s="32">
        <v>130354300</v>
      </c>
      <c r="L45" s="32">
        <v>77987100</v>
      </c>
      <c r="M45" s="32">
        <v>107720100</v>
      </c>
      <c r="N45" s="32">
        <v>131954300</v>
      </c>
      <c r="O45" s="32">
        <v>84532200</v>
      </c>
      <c r="P45" s="32">
        <v>105417600</v>
      </c>
      <c r="Q45" s="32">
        <v>100872900</v>
      </c>
      <c r="R45" s="32">
        <v>103033200</v>
      </c>
      <c r="S45" s="32">
        <v>1343386124</v>
      </c>
    </row>
    <row r="46" spans="1:19">
      <c r="A46" s="20" t="s">
        <v>38</v>
      </c>
      <c r="B46" s="20" t="s">
        <v>39</v>
      </c>
      <c r="C46" s="21" t="s">
        <v>218</v>
      </c>
      <c r="D46" s="21" t="s">
        <v>37</v>
      </c>
      <c r="E46" s="21" t="s">
        <v>254</v>
      </c>
      <c r="F46" s="21" t="s">
        <v>216</v>
      </c>
      <c r="G46" s="31">
        <v>11.6</v>
      </c>
      <c r="H46" s="31">
        <v>11.77</v>
      </c>
      <c r="I46" s="31">
        <v>13.02</v>
      </c>
      <c r="J46" s="31">
        <v>10.97</v>
      </c>
      <c r="K46" s="31">
        <v>17.510000000000002</v>
      </c>
      <c r="L46" s="31">
        <v>13.67</v>
      </c>
      <c r="M46" s="31">
        <v>17.96</v>
      </c>
      <c r="N46" s="31">
        <v>19.350000000000001</v>
      </c>
      <c r="O46" s="31">
        <v>10.97</v>
      </c>
      <c r="P46" s="31">
        <v>11.26</v>
      </c>
      <c r="Q46" s="31">
        <v>10.58</v>
      </c>
      <c r="R46" s="31">
        <v>15.34</v>
      </c>
      <c r="S46" s="31">
        <v>173.01</v>
      </c>
    </row>
    <row r="47" spans="1:19">
      <c r="A47" s="20" t="s">
        <v>38</v>
      </c>
      <c r="B47" s="20" t="s">
        <v>39</v>
      </c>
      <c r="C47" s="21" t="s">
        <v>218</v>
      </c>
      <c r="D47" s="21" t="s">
        <v>37</v>
      </c>
      <c r="E47" s="21" t="s">
        <v>255</v>
      </c>
      <c r="F47" s="21" t="s">
        <v>37</v>
      </c>
      <c r="G47" s="31">
        <v>15600</v>
      </c>
      <c r="H47" s="31">
        <v>14900</v>
      </c>
      <c r="I47" s="31">
        <v>15800</v>
      </c>
      <c r="J47" s="31">
        <v>13800</v>
      </c>
      <c r="K47" s="31">
        <v>21300</v>
      </c>
      <c r="L47" s="31">
        <v>17600</v>
      </c>
      <c r="M47" s="31">
        <v>23700</v>
      </c>
      <c r="N47" s="31">
        <v>23500</v>
      </c>
      <c r="O47" s="31">
        <v>13700</v>
      </c>
      <c r="P47" s="31">
        <v>14200</v>
      </c>
      <c r="Q47" s="31">
        <v>14300</v>
      </c>
      <c r="R47" s="31">
        <v>20900</v>
      </c>
      <c r="S47" s="31">
        <v>225215.77</v>
      </c>
    </row>
    <row r="48" spans="1:19">
      <c r="A48" s="22" t="s">
        <v>38</v>
      </c>
      <c r="B48" s="22" t="s">
        <v>39</v>
      </c>
      <c r="C48" s="22" t="s">
        <v>218</v>
      </c>
      <c r="D48" s="22" t="s">
        <v>37</v>
      </c>
      <c r="E48" s="22" t="s">
        <v>256</v>
      </c>
      <c r="F48" s="22" t="s">
        <v>225</v>
      </c>
      <c r="G48" s="32">
        <v>72150300</v>
      </c>
      <c r="H48" s="32">
        <v>69393100</v>
      </c>
      <c r="I48" s="32">
        <v>77077700</v>
      </c>
      <c r="J48" s="32">
        <v>64282000</v>
      </c>
      <c r="K48" s="32">
        <v>97922800</v>
      </c>
      <c r="L48" s="32">
        <v>81383200</v>
      </c>
      <c r="M48" s="32">
        <v>111634600</v>
      </c>
      <c r="N48" s="32">
        <v>109696000</v>
      </c>
      <c r="O48" s="32">
        <v>61759700</v>
      </c>
      <c r="P48" s="32">
        <v>65152100</v>
      </c>
      <c r="Q48" s="32">
        <v>65760400</v>
      </c>
      <c r="R48" s="32">
        <v>91351300</v>
      </c>
      <c r="S48" s="32">
        <v>1026983912</v>
      </c>
    </row>
    <row r="49" spans="1:19">
      <c r="A49" s="20" t="s">
        <v>38</v>
      </c>
      <c r="B49" s="20" t="s">
        <v>39</v>
      </c>
      <c r="C49" s="21" t="s">
        <v>219</v>
      </c>
      <c r="D49" s="21" t="s">
        <v>37</v>
      </c>
      <c r="E49" s="21" t="s">
        <v>254</v>
      </c>
      <c r="F49" s="21" t="s">
        <v>216</v>
      </c>
      <c r="G49" s="31">
        <v>18.809999999999999</v>
      </c>
      <c r="H49" s="31">
        <v>16.28</v>
      </c>
      <c r="I49" s="31">
        <v>21.75</v>
      </c>
      <c r="J49" s="31">
        <v>18.22</v>
      </c>
      <c r="K49" s="31">
        <v>23.01</v>
      </c>
      <c r="L49" s="31">
        <v>16.809999999999999</v>
      </c>
      <c r="M49" s="31">
        <v>20.350000000000001</v>
      </c>
      <c r="N49" s="31">
        <v>23.18</v>
      </c>
      <c r="O49" s="31">
        <v>16.329999999999998</v>
      </c>
      <c r="P49" s="31">
        <v>20.29</v>
      </c>
      <c r="Q49" s="31">
        <v>15.8</v>
      </c>
      <c r="R49" s="31">
        <v>20.61</v>
      </c>
      <c r="S49" s="31">
        <v>249.25</v>
      </c>
    </row>
    <row r="50" spans="1:19">
      <c r="A50" s="20" t="s">
        <v>38</v>
      </c>
      <c r="B50" s="20" t="s">
        <v>39</v>
      </c>
      <c r="C50" s="21" t="s">
        <v>219</v>
      </c>
      <c r="D50" s="21" t="s">
        <v>37</v>
      </c>
      <c r="E50" s="21" t="s">
        <v>255</v>
      </c>
      <c r="F50" s="21" t="s">
        <v>37</v>
      </c>
      <c r="G50" s="31">
        <v>27700</v>
      </c>
      <c r="H50" s="31">
        <v>23200</v>
      </c>
      <c r="I50" s="31">
        <v>32600</v>
      </c>
      <c r="J50" s="31">
        <v>26800</v>
      </c>
      <c r="K50" s="31">
        <v>34500</v>
      </c>
      <c r="L50" s="31">
        <v>24900</v>
      </c>
      <c r="M50" s="31">
        <v>27200</v>
      </c>
      <c r="N50" s="31">
        <v>33700</v>
      </c>
      <c r="O50" s="31">
        <v>22800</v>
      </c>
      <c r="P50" s="31">
        <v>29700</v>
      </c>
      <c r="Q50" s="31">
        <v>22700</v>
      </c>
      <c r="R50" s="31">
        <v>30000</v>
      </c>
      <c r="S50" s="31">
        <v>355118.93</v>
      </c>
    </row>
    <row r="51" spans="1:19">
      <c r="A51" s="22" t="s">
        <v>38</v>
      </c>
      <c r="B51" s="22" t="s">
        <v>39</v>
      </c>
      <c r="C51" s="22" t="s">
        <v>219</v>
      </c>
      <c r="D51" s="22" t="s">
        <v>37</v>
      </c>
      <c r="E51" s="22" t="s">
        <v>256</v>
      </c>
      <c r="F51" s="22" t="s">
        <v>225</v>
      </c>
      <c r="G51" s="32">
        <v>127641200</v>
      </c>
      <c r="H51" s="32">
        <v>101469600</v>
      </c>
      <c r="I51" s="32">
        <v>151416500</v>
      </c>
      <c r="J51" s="32">
        <v>121307100</v>
      </c>
      <c r="K51" s="32">
        <v>156803200</v>
      </c>
      <c r="L51" s="32">
        <v>113760100</v>
      </c>
      <c r="M51" s="32">
        <v>127426400</v>
      </c>
      <c r="N51" s="32">
        <v>163725500</v>
      </c>
      <c r="O51" s="32">
        <v>103500500</v>
      </c>
      <c r="P51" s="32">
        <v>130977900</v>
      </c>
      <c r="Q51" s="32">
        <v>108286500</v>
      </c>
      <c r="R51" s="32">
        <v>136091600</v>
      </c>
      <c r="S51" s="32">
        <v>1619342319</v>
      </c>
    </row>
    <row r="52" spans="1:19">
      <c r="A52" s="20" t="s">
        <v>38</v>
      </c>
      <c r="B52" s="20" t="s">
        <v>39</v>
      </c>
      <c r="C52" s="21" t="s">
        <v>220</v>
      </c>
      <c r="D52" s="21" t="s">
        <v>37</v>
      </c>
      <c r="E52" s="21" t="s">
        <v>254</v>
      </c>
      <c r="F52" s="21" t="s">
        <v>216</v>
      </c>
      <c r="G52" s="31">
        <v>9.2899999999999991</v>
      </c>
      <c r="H52" s="31">
        <v>13.28</v>
      </c>
      <c r="I52" s="31">
        <v>12.94</v>
      </c>
      <c r="J52" s="31">
        <v>12.64</v>
      </c>
      <c r="K52" s="31">
        <v>12.77</v>
      </c>
      <c r="L52" s="31">
        <v>10.35</v>
      </c>
      <c r="M52" s="31">
        <v>12.49</v>
      </c>
      <c r="N52" s="31">
        <v>14.04</v>
      </c>
      <c r="O52" s="31">
        <v>9.82</v>
      </c>
      <c r="P52" s="31">
        <v>9.73</v>
      </c>
      <c r="Q52" s="31">
        <v>13.16</v>
      </c>
      <c r="R52" s="31">
        <v>11.93</v>
      </c>
      <c r="S52" s="31">
        <v>150.68</v>
      </c>
    </row>
    <row r="53" spans="1:19">
      <c r="A53" s="20" t="s">
        <v>38</v>
      </c>
      <c r="B53" s="20" t="s">
        <v>39</v>
      </c>
      <c r="C53" s="21" t="s">
        <v>220</v>
      </c>
      <c r="D53" s="21" t="s">
        <v>37</v>
      </c>
      <c r="E53" s="21" t="s">
        <v>255</v>
      </c>
      <c r="F53" s="21" t="s">
        <v>37</v>
      </c>
      <c r="G53" s="31">
        <v>11400</v>
      </c>
      <c r="H53" s="31">
        <v>16000</v>
      </c>
      <c r="I53" s="31">
        <v>16300</v>
      </c>
      <c r="J53" s="31">
        <v>14600</v>
      </c>
      <c r="K53" s="31">
        <v>15100</v>
      </c>
      <c r="L53" s="31">
        <v>12400</v>
      </c>
      <c r="M53" s="31">
        <v>16300</v>
      </c>
      <c r="N53" s="31">
        <v>15800</v>
      </c>
      <c r="O53" s="31">
        <v>12300</v>
      </c>
      <c r="P53" s="31">
        <v>11100</v>
      </c>
      <c r="Q53" s="31">
        <v>15700</v>
      </c>
      <c r="R53" s="31">
        <v>13700</v>
      </c>
      <c r="S53" s="31">
        <v>182247.47</v>
      </c>
    </row>
    <row r="54" spans="1:19">
      <c r="A54" s="22" t="s">
        <v>38</v>
      </c>
      <c r="B54" s="22" t="s">
        <v>39</v>
      </c>
      <c r="C54" s="22" t="s">
        <v>220</v>
      </c>
      <c r="D54" s="22" t="s">
        <v>37</v>
      </c>
      <c r="E54" s="22" t="s">
        <v>256</v>
      </c>
      <c r="F54" s="22" t="s">
        <v>225</v>
      </c>
      <c r="G54" s="32">
        <v>54275800</v>
      </c>
      <c r="H54" s="32">
        <v>68144400</v>
      </c>
      <c r="I54" s="32">
        <v>75497900</v>
      </c>
      <c r="J54" s="32">
        <v>68882000</v>
      </c>
      <c r="K54" s="32">
        <v>70413300</v>
      </c>
      <c r="L54" s="32">
        <v>56771000</v>
      </c>
      <c r="M54" s="32">
        <v>72008600</v>
      </c>
      <c r="N54" s="32">
        <v>71325900</v>
      </c>
      <c r="O54" s="32">
        <v>53041600</v>
      </c>
      <c r="P54" s="32">
        <v>50947900</v>
      </c>
      <c r="Q54" s="32">
        <v>78066500</v>
      </c>
      <c r="R54" s="32">
        <v>61503500</v>
      </c>
      <c r="S54" s="32">
        <v>831048463</v>
      </c>
    </row>
  </sheetData>
  <mergeCells count="15">
    <mergeCell ref="A1:S1"/>
    <mergeCell ref="A2:S2"/>
    <mergeCell ref="A4:C4"/>
    <mergeCell ref="D4:F4"/>
    <mergeCell ref="G4:I4"/>
    <mergeCell ref="J4:L4"/>
    <mergeCell ref="M4:O4"/>
    <mergeCell ref="P4:S4"/>
    <mergeCell ref="P5:S5"/>
    <mergeCell ref="A7:S7"/>
    <mergeCell ref="A5:C5"/>
    <mergeCell ref="D5:F5"/>
    <mergeCell ref="G5:I5"/>
    <mergeCell ref="J5:L5"/>
    <mergeCell ref="M5:O5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5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27</v>
      </c>
      <c r="B1" s="1" t="s">
        <v>28</v>
      </c>
      <c r="C1" s="1" t="s">
        <v>257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</row>
    <row r="2" spans="1:17">
      <c r="A2" t="s">
        <v>31</v>
      </c>
      <c r="B2" t="s">
        <v>32</v>
      </c>
      <c r="C2" t="s">
        <v>258</v>
      </c>
      <c r="D2" t="s">
        <v>225</v>
      </c>
      <c r="E2" s="4">
        <v>13588600</v>
      </c>
      <c r="F2" s="4">
        <v>13187500</v>
      </c>
      <c r="G2" s="4">
        <v>15650700</v>
      </c>
      <c r="H2" s="4">
        <v>14347000</v>
      </c>
      <c r="I2" s="4">
        <v>15027100</v>
      </c>
      <c r="J2" s="4">
        <v>14906400</v>
      </c>
      <c r="K2" s="4">
        <v>13882900</v>
      </c>
      <c r="L2" s="4">
        <v>14841200</v>
      </c>
      <c r="M2" s="4">
        <v>15698600</v>
      </c>
      <c r="N2" s="4">
        <v>12650200</v>
      </c>
      <c r="O2" s="4">
        <v>12337700</v>
      </c>
      <c r="P2" s="4">
        <v>16030600</v>
      </c>
      <c r="Q2" s="4">
        <v>177840800</v>
      </c>
    </row>
    <row r="3" spans="1:17">
      <c r="A3" t="s">
        <v>31</v>
      </c>
      <c r="B3" t="s">
        <v>32</v>
      </c>
      <c r="C3" t="s">
        <v>259</v>
      </c>
      <c r="D3" t="s">
        <v>225</v>
      </c>
      <c r="E3" s="4">
        <v>7320100</v>
      </c>
      <c r="F3" s="4">
        <v>7314800</v>
      </c>
      <c r="G3" s="4">
        <v>7172300</v>
      </c>
      <c r="H3" s="4">
        <v>7257300</v>
      </c>
      <c r="I3" s="4">
        <v>7116400</v>
      </c>
      <c r="J3" s="4">
        <v>6289700</v>
      </c>
      <c r="K3" s="4">
        <v>6415200</v>
      </c>
      <c r="L3" s="4">
        <v>6957100</v>
      </c>
      <c r="M3" s="4">
        <v>6357300</v>
      </c>
      <c r="N3" s="4">
        <v>6435200</v>
      </c>
      <c r="O3" s="4">
        <v>5922700</v>
      </c>
      <c r="P3" s="4">
        <v>7598000</v>
      </c>
      <c r="Q3" s="4">
        <v>81615300</v>
      </c>
    </row>
    <row r="4" spans="1:17">
      <c r="A4" t="s">
        <v>31</v>
      </c>
      <c r="B4" t="s">
        <v>32</v>
      </c>
      <c r="C4" t="s">
        <v>260</v>
      </c>
      <c r="D4" t="s">
        <v>225</v>
      </c>
      <c r="E4" s="4">
        <v>7675800</v>
      </c>
      <c r="F4" s="4">
        <v>9646400</v>
      </c>
      <c r="G4" s="4">
        <v>7931000</v>
      </c>
      <c r="H4" s="4">
        <v>9017200</v>
      </c>
      <c r="I4" s="4">
        <v>8272500</v>
      </c>
      <c r="J4" s="4">
        <v>7565900</v>
      </c>
      <c r="K4" s="4">
        <v>10211200</v>
      </c>
      <c r="L4" s="4">
        <v>7839100</v>
      </c>
      <c r="M4" s="4">
        <v>7678400</v>
      </c>
      <c r="N4" s="4">
        <v>9330700</v>
      </c>
      <c r="O4" s="4">
        <v>8396900</v>
      </c>
      <c r="P4" s="4">
        <v>7707500</v>
      </c>
      <c r="Q4" s="4">
        <v>105124000</v>
      </c>
    </row>
    <row r="5" spans="1:17">
      <c r="A5" t="s">
        <v>31</v>
      </c>
      <c r="B5" t="s">
        <v>32</v>
      </c>
      <c r="C5" t="s">
        <v>261</v>
      </c>
      <c r="D5" t="s">
        <v>225</v>
      </c>
      <c r="E5" s="4">
        <v>53004200</v>
      </c>
      <c r="F5" s="4">
        <v>44224300</v>
      </c>
      <c r="G5" s="4">
        <v>49740100</v>
      </c>
      <c r="H5" s="4">
        <v>53945100</v>
      </c>
      <c r="I5" s="4">
        <v>51002400</v>
      </c>
      <c r="J5" s="4">
        <v>52067900</v>
      </c>
      <c r="K5" s="4">
        <v>43779300</v>
      </c>
      <c r="L5" s="4">
        <v>51663000</v>
      </c>
      <c r="M5" s="4">
        <v>48481900</v>
      </c>
      <c r="N5" s="4">
        <v>45440200</v>
      </c>
      <c r="O5" s="4">
        <v>40902000</v>
      </c>
      <c r="P5" s="4">
        <v>54124200</v>
      </c>
      <c r="Q5" s="4">
        <v>589811900</v>
      </c>
    </row>
    <row r="6" spans="1:17">
      <c r="A6" t="s">
        <v>31</v>
      </c>
      <c r="B6" t="s">
        <v>32</v>
      </c>
      <c r="C6" t="s">
        <v>262</v>
      </c>
      <c r="D6" t="s">
        <v>225</v>
      </c>
      <c r="E6" s="4">
        <v>4425600</v>
      </c>
      <c r="F6" s="4">
        <v>4586800</v>
      </c>
      <c r="G6" s="4">
        <v>4053700</v>
      </c>
      <c r="H6" s="4">
        <v>4219300</v>
      </c>
      <c r="I6" s="4">
        <v>4125400</v>
      </c>
      <c r="J6" s="4">
        <v>4480300</v>
      </c>
      <c r="K6" s="4">
        <v>4427100</v>
      </c>
      <c r="L6" s="4">
        <v>4682000</v>
      </c>
      <c r="M6" s="4">
        <v>4297700</v>
      </c>
      <c r="N6" s="4">
        <v>4073800</v>
      </c>
      <c r="O6" s="4">
        <v>4483900</v>
      </c>
      <c r="P6" s="4">
        <v>4999900</v>
      </c>
      <c r="Q6" s="4">
        <v>51868200</v>
      </c>
    </row>
    <row r="7" spans="1:17">
      <c r="A7" t="s">
        <v>31</v>
      </c>
      <c r="B7" t="s">
        <v>32</v>
      </c>
      <c r="C7" t="s">
        <v>263</v>
      </c>
      <c r="D7" t="s">
        <v>225</v>
      </c>
      <c r="E7" s="4">
        <v>3830300</v>
      </c>
      <c r="F7" s="4">
        <v>3114000</v>
      </c>
      <c r="G7" s="4">
        <v>2863800</v>
      </c>
      <c r="H7" s="4">
        <v>3036400</v>
      </c>
      <c r="I7" s="4">
        <v>2812700</v>
      </c>
      <c r="J7" s="4">
        <v>3501800</v>
      </c>
      <c r="K7" s="4">
        <v>3358500</v>
      </c>
      <c r="L7" s="4">
        <v>2920300</v>
      </c>
      <c r="M7" s="4">
        <v>3930900</v>
      </c>
      <c r="N7" s="4">
        <v>3556500</v>
      </c>
      <c r="O7" s="4">
        <v>3726500</v>
      </c>
      <c r="P7" s="4">
        <v>3490600</v>
      </c>
      <c r="Q7" s="4">
        <v>39117200</v>
      </c>
    </row>
    <row r="8" spans="1:17">
      <c r="A8" t="s">
        <v>35</v>
      </c>
      <c r="B8" t="s">
        <v>36</v>
      </c>
      <c r="C8" t="s">
        <v>258</v>
      </c>
      <c r="D8" t="s">
        <v>225</v>
      </c>
      <c r="E8" s="4">
        <v>15247400</v>
      </c>
      <c r="F8" s="4">
        <v>13922200</v>
      </c>
      <c r="G8" s="4">
        <v>14833200</v>
      </c>
      <c r="H8" s="4">
        <v>16016000</v>
      </c>
      <c r="I8" s="4">
        <v>13334500</v>
      </c>
      <c r="J8" s="4">
        <v>13963300</v>
      </c>
      <c r="K8" s="4">
        <v>13186500</v>
      </c>
      <c r="L8" s="4">
        <v>17053800</v>
      </c>
      <c r="M8" s="4">
        <v>15174900</v>
      </c>
      <c r="N8" s="4">
        <v>14715800</v>
      </c>
      <c r="O8" s="4">
        <v>14892800</v>
      </c>
      <c r="P8" s="4">
        <v>13446700</v>
      </c>
      <c r="Q8" s="4">
        <v>175267500</v>
      </c>
    </row>
    <row r="9" spans="1:17">
      <c r="A9" t="s">
        <v>35</v>
      </c>
      <c r="B9" t="s">
        <v>36</v>
      </c>
      <c r="C9" t="s">
        <v>259</v>
      </c>
      <c r="D9" t="s">
        <v>225</v>
      </c>
      <c r="E9" s="4">
        <v>7634500</v>
      </c>
      <c r="F9" s="4">
        <v>6363300</v>
      </c>
      <c r="G9" s="4">
        <v>6099200</v>
      </c>
      <c r="H9" s="4">
        <v>6759000</v>
      </c>
      <c r="I9" s="4">
        <v>6582500</v>
      </c>
      <c r="J9" s="4">
        <v>6361600</v>
      </c>
      <c r="K9" s="4">
        <v>7064800</v>
      </c>
      <c r="L9" s="4">
        <v>6269600</v>
      </c>
      <c r="M9" s="4">
        <v>6151000</v>
      </c>
      <c r="N9" s="4">
        <v>7405900</v>
      </c>
      <c r="O9" s="4">
        <v>8026900</v>
      </c>
      <c r="P9" s="4">
        <v>6500100</v>
      </c>
      <c r="Q9" s="4">
        <v>80545100</v>
      </c>
    </row>
    <row r="10" spans="1:17">
      <c r="A10" t="s">
        <v>35</v>
      </c>
      <c r="B10" t="s">
        <v>36</v>
      </c>
      <c r="C10" t="s">
        <v>260</v>
      </c>
      <c r="D10" t="s">
        <v>225</v>
      </c>
      <c r="E10" s="4">
        <v>10196100</v>
      </c>
      <c r="F10" s="4">
        <v>8767200</v>
      </c>
      <c r="G10" s="4">
        <v>9004300</v>
      </c>
      <c r="H10" s="4">
        <v>8272800</v>
      </c>
      <c r="I10" s="4">
        <v>8517500</v>
      </c>
      <c r="J10" s="4">
        <v>10460200</v>
      </c>
      <c r="K10" s="4">
        <v>10599100</v>
      </c>
      <c r="L10" s="4">
        <v>10566300</v>
      </c>
      <c r="M10" s="4">
        <v>10277600</v>
      </c>
      <c r="N10" s="4">
        <v>10203400</v>
      </c>
      <c r="O10" s="4">
        <v>8290400</v>
      </c>
      <c r="P10" s="4">
        <v>8479400</v>
      </c>
      <c r="Q10" s="4">
        <v>114725000</v>
      </c>
    </row>
    <row r="11" spans="1:17">
      <c r="A11" t="s">
        <v>35</v>
      </c>
      <c r="B11" t="s">
        <v>36</v>
      </c>
      <c r="C11" t="s">
        <v>261</v>
      </c>
      <c r="D11" t="s">
        <v>225</v>
      </c>
      <c r="E11" s="4">
        <v>60212700</v>
      </c>
      <c r="F11" s="4">
        <v>47884600</v>
      </c>
      <c r="G11" s="4">
        <v>53296600</v>
      </c>
      <c r="H11" s="4">
        <v>48386000</v>
      </c>
      <c r="I11" s="4">
        <v>51180200</v>
      </c>
      <c r="J11" s="4">
        <v>61666200</v>
      </c>
      <c r="K11" s="4">
        <v>47248600</v>
      </c>
      <c r="L11" s="4">
        <v>57219900</v>
      </c>
      <c r="M11" s="4">
        <v>47646500</v>
      </c>
      <c r="N11" s="4">
        <v>54615000</v>
      </c>
      <c r="O11" s="4">
        <v>52665500</v>
      </c>
      <c r="P11" s="4">
        <v>52042300</v>
      </c>
      <c r="Q11" s="4">
        <v>660243400</v>
      </c>
    </row>
    <row r="12" spans="1:17">
      <c r="A12" t="s">
        <v>35</v>
      </c>
      <c r="B12" t="s">
        <v>36</v>
      </c>
      <c r="C12" t="s">
        <v>262</v>
      </c>
      <c r="D12" t="s">
        <v>225</v>
      </c>
      <c r="E12" s="4">
        <v>5567300</v>
      </c>
      <c r="F12" s="4">
        <v>5355300</v>
      </c>
      <c r="G12" s="4">
        <v>5428800</v>
      </c>
      <c r="H12" s="4">
        <v>5251200</v>
      </c>
      <c r="I12" s="4">
        <v>4677400</v>
      </c>
      <c r="J12" s="4">
        <v>5870600</v>
      </c>
      <c r="K12" s="4">
        <v>5063800</v>
      </c>
      <c r="L12" s="4">
        <v>4848300</v>
      </c>
      <c r="M12" s="4">
        <v>5437600</v>
      </c>
      <c r="N12" s="4">
        <v>5691800</v>
      </c>
      <c r="O12" s="4">
        <v>5738100</v>
      </c>
      <c r="P12" s="4">
        <v>4939100</v>
      </c>
      <c r="Q12" s="4">
        <v>62356100</v>
      </c>
    </row>
    <row r="13" spans="1:17">
      <c r="A13" t="s">
        <v>35</v>
      </c>
      <c r="B13" t="s">
        <v>36</v>
      </c>
      <c r="C13" t="s">
        <v>263</v>
      </c>
      <c r="D13" t="s">
        <v>225</v>
      </c>
      <c r="E13" s="4">
        <v>4053200</v>
      </c>
      <c r="F13" s="4">
        <v>3662700</v>
      </c>
      <c r="G13" s="4">
        <v>3934100</v>
      </c>
      <c r="H13" s="4">
        <v>4107900</v>
      </c>
      <c r="I13" s="4">
        <v>3688600</v>
      </c>
      <c r="J13" s="4">
        <v>2921100</v>
      </c>
      <c r="K13" s="4">
        <v>3863700</v>
      </c>
      <c r="L13" s="4">
        <v>4019400</v>
      </c>
      <c r="M13" s="4">
        <v>3333300</v>
      </c>
      <c r="N13" s="4">
        <v>3908600</v>
      </c>
      <c r="O13" s="4">
        <v>3223700</v>
      </c>
      <c r="P13" s="4">
        <v>4154700</v>
      </c>
      <c r="Q13" s="4">
        <v>45417700</v>
      </c>
    </row>
    <row r="14" spans="1:17">
      <c r="A14" t="s">
        <v>38</v>
      </c>
      <c r="B14" t="s">
        <v>39</v>
      </c>
      <c r="C14" t="s">
        <v>258</v>
      </c>
      <c r="D14" t="s">
        <v>225</v>
      </c>
      <c r="E14" s="4">
        <v>10707600</v>
      </c>
      <c r="F14" s="4">
        <v>12852000</v>
      </c>
      <c r="G14" s="4">
        <v>11548800</v>
      </c>
      <c r="H14" s="4">
        <v>13484100</v>
      </c>
      <c r="I14" s="4">
        <v>12934300</v>
      </c>
      <c r="J14" s="4">
        <v>13839400</v>
      </c>
      <c r="K14" s="4">
        <v>12339600</v>
      </c>
      <c r="L14" s="4">
        <v>12706200</v>
      </c>
      <c r="M14" s="4">
        <v>11493000</v>
      </c>
      <c r="N14" s="4">
        <v>12915200</v>
      </c>
      <c r="O14" s="4">
        <v>10910500</v>
      </c>
      <c r="P14" s="4">
        <v>13922500</v>
      </c>
      <c r="Q14" s="4">
        <v>144644900</v>
      </c>
    </row>
    <row r="15" spans="1:17">
      <c r="A15" t="s">
        <v>38</v>
      </c>
      <c r="B15" t="s">
        <v>39</v>
      </c>
      <c r="C15" t="s">
        <v>259</v>
      </c>
      <c r="D15" t="s">
        <v>225</v>
      </c>
      <c r="E15" s="4">
        <v>5204700</v>
      </c>
      <c r="F15" s="4">
        <v>6717500</v>
      </c>
      <c r="G15" s="4">
        <v>6007500</v>
      </c>
      <c r="H15" s="4">
        <v>6487500</v>
      </c>
      <c r="I15" s="4">
        <v>5353400</v>
      </c>
      <c r="J15" s="4">
        <v>6083100</v>
      </c>
      <c r="K15" s="4">
        <v>5406300</v>
      </c>
      <c r="L15" s="4">
        <v>6426500</v>
      </c>
      <c r="M15" s="4">
        <v>5164900</v>
      </c>
      <c r="N15" s="4">
        <v>4964700</v>
      </c>
      <c r="O15" s="4">
        <v>5999600</v>
      </c>
      <c r="P15" s="4">
        <v>5526200</v>
      </c>
      <c r="Q15" s="4">
        <v>72099000</v>
      </c>
    </row>
    <row r="16" spans="1:17">
      <c r="A16" t="s">
        <v>38</v>
      </c>
      <c r="B16" t="s">
        <v>39</v>
      </c>
      <c r="C16" t="s">
        <v>260</v>
      </c>
      <c r="D16" t="s">
        <v>225</v>
      </c>
      <c r="E16" s="4">
        <v>6586500</v>
      </c>
      <c r="F16" s="4">
        <v>8811700</v>
      </c>
      <c r="G16" s="4">
        <v>8657000</v>
      </c>
      <c r="H16" s="4">
        <v>8076200</v>
      </c>
      <c r="I16" s="4">
        <v>8269300</v>
      </c>
      <c r="J16" s="4">
        <v>8500900</v>
      </c>
      <c r="K16" s="4">
        <v>8363100</v>
      </c>
      <c r="L16" s="4">
        <v>7282300</v>
      </c>
      <c r="M16" s="4">
        <v>7959500</v>
      </c>
      <c r="N16" s="4">
        <v>7709500</v>
      </c>
      <c r="O16" s="4">
        <v>8286800</v>
      </c>
      <c r="P16" s="4">
        <v>7569000</v>
      </c>
      <c r="Q16" s="4">
        <v>92523500</v>
      </c>
    </row>
    <row r="17" spans="1:17">
      <c r="A17" t="s">
        <v>38</v>
      </c>
      <c r="B17" t="s">
        <v>39</v>
      </c>
      <c r="C17" t="s">
        <v>261</v>
      </c>
      <c r="D17" t="s">
        <v>225</v>
      </c>
      <c r="E17" s="4">
        <v>36656500</v>
      </c>
      <c r="F17" s="4">
        <v>45136600</v>
      </c>
      <c r="G17" s="4">
        <v>40280800</v>
      </c>
      <c r="H17" s="4">
        <v>42833900</v>
      </c>
      <c r="I17" s="4">
        <v>41883200</v>
      </c>
      <c r="J17" s="4">
        <v>42680600</v>
      </c>
      <c r="K17" s="4">
        <v>44985400</v>
      </c>
      <c r="L17" s="4">
        <v>45099000</v>
      </c>
      <c r="M17" s="4">
        <v>44385900</v>
      </c>
      <c r="N17" s="4">
        <v>47116800</v>
      </c>
      <c r="O17" s="4">
        <v>50375800</v>
      </c>
      <c r="P17" s="4">
        <v>49028900</v>
      </c>
      <c r="Q17" s="4">
        <v>551956900</v>
      </c>
    </row>
    <row r="18" spans="1:17">
      <c r="A18" t="s">
        <v>38</v>
      </c>
      <c r="B18" t="s">
        <v>39</v>
      </c>
      <c r="C18" t="s">
        <v>262</v>
      </c>
      <c r="D18" t="s">
        <v>225</v>
      </c>
      <c r="E18" s="4">
        <v>4222900</v>
      </c>
      <c r="F18" s="4">
        <v>4493000</v>
      </c>
      <c r="G18" s="4">
        <v>4490600</v>
      </c>
      <c r="H18" s="4">
        <v>4020100</v>
      </c>
      <c r="I18" s="4">
        <v>4810900</v>
      </c>
      <c r="J18" s="4">
        <v>4032300</v>
      </c>
      <c r="K18" s="4">
        <v>4006500</v>
      </c>
      <c r="L18" s="4">
        <v>4354300</v>
      </c>
      <c r="M18" s="4">
        <v>4481100</v>
      </c>
      <c r="N18" s="4">
        <v>3617800</v>
      </c>
      <c r="O18" s="4">
        <v>4234800</v>
      </c>
      <c r="P18" s="4">
        <v>4425300</v>
      </c>
      <c r="Q18" s="4">
        <v>52290000</v>
      </c>
    </row>
    <row r="19" spans="1:17">
      <c r="A19" t="s">
        <v>38</v>
      </c>
      <c r="B19" t="s">
        <v>39</v>
      </c>
      <c r="C19" t="s">
        <v>263</v>
      </c>
      <c r="D19" t="s">
        <v>225</v>
      </c>
      <c r="E19" s="4">
        <v>2550400</v>
      </c>
      <c r="F19" s="4">
        <v>2577600</v>
      </c>
      <c r="G19" s="4">
        <v>3252900</v>
      </c>
      <c r="H19" s="4">
        <v>2829500</v>
      </c>
      <c r="I19" s="4">
        <v>3401400</v>
      </c>
      <c r="J19" s="4">
        <v>3247200</v>
      </c>
      <c r="K19" s="4">
        <v>2863000</v>
      </c>
      <c r="L19" s="4">
        <v>2512900</v>
      </c>
      <c r="M19" s="4">
        <v>3250200</v>
      </c>
      <c r="N19" s="4">
        <v>2996000</v>
      </c>
      <c r="O19" s="4">
        <v>2574500</v>
      </c>
      <c r="P19" s="4">
        <v>3043100</v>
      </c>
      <c r="Q19" s="4">
        <v>35706300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abSelected="1" workbookViewId="0">
      <selection activeCell="G20" sqref="G20"/>
    </sheetView>
  </sheetViews>
  <sheetFormatPr baseColWidth="10" defaultColWidth="8.83203125" defaultRowHeight="15"/>
  <cols>
    <col min="1" max="1" width="26" customWidth="1"/>
    <col min="2" max="2" width="4.6640625" customWidth="1"/>
    <col min="3" max="14" width="11.1640625" customWidth="1"/>
    <col min="15" max="15" width="12.1640625" customWidth="1"/>
  </cols>
  <sheetData>
    <row r="1" spans="1:15" ht="32">
      <c r="A1" s="1" t="s">
        <v>253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</row>
    <row r="2" spans="1:15">
      <c r="A2" t="s">
        <v>264</v>
      </c>
      <c r="B2" t="s">
        <v>225</v>
      </c>
      <c r="C2" s="4">
        <f>SUMIF(Exportations!$E$2:$E$54,"Chiffre d'affaires MGA",Exportations!$G$2:$G$54)</f>
        <v>1464046700</v>
      </c>
      <c r="D2" s="4">
        <f>SUMIF(Exportations!$E$2:$E$54,"Chiffre d'affaires MGA",Exportations!$H$2:$H$54)</f>
        <v>1462171600</v>
      </c>
      <c r="E2" s="4">
        <f>SUMIF(Exportations!$E$2:$E$54,"Chiffre d'affaires MGA",Exportations!$I$2:$I$54)</f>
        <v>1418207900</v>
      </c>
      <c r="F2" s="4">
        <f>SUMIF(Exportations!$E$2:$E$54,"Chiffre d'affaires MGA",Exportations!$J$2:$J$54)</f>
        <v>1500051200</v>
      </c>
      <c r="G2" s="4">
        <f>SUMIF(Exportations!$E$2:$E$54,"Chiffre d'affaires MGA",Exportations!$K$2:$K$54)</f>
        <v>1541117400</v>
      </c>
      <c r="H2" s="4">
        <f>SUMIF(Exportations!$E$2:$E$54,"Chiffre d'affaires MGA",Exportations!$L$2:$L$54)</f>
        <v>1450331400</v>
      </c>
      <c r="I2" s="4">
        <f>SUMIF(Exportations!$E$2:$E$54,"Chiffre d'affaires MGA",Exportations!$M$2:$M$54)</f>
        <v>1499600000</v>
      </c>
      <c r="J2" s="4">
        <f>SUMIF(Exportations!$E$2:$E$54,"Chiffre d'affaires MGA",Exportations!$N$2:$N$54)</f>
        <v>1553690100</v>
      </c>
      <c r="K2" s="4">
        <f>SUMIF(Exportations!$E$2:$E$54,"Chiffre d'affaires MGA",Exportations!$O$2:$O$54)</f>
        <v>1492158600</v>
      </c>
      <c r="L2" s="4">
        <f>SUMIF(Exportations!$E$2:$E$54,"Chiffre d'affaires MGA",Exportations!$P$2:$P$54)</f>
        <v>1515879800</v>
      </c>
      <c r="M2" s="4">
        <f>SUMIF(Exportations!$E$2:$E$54,"Chiffre d'affaires MGA",Exportations!$Q$2:$Q$54)</f>
        <v>1539513500</v>
      </c>
      <c r="N2" s="4">
        <f>SUMIF(Exportations!$E$2:$E$54,"Chiffre d'affaires MGA",Exportations!$R$2:$R$54)</f>
        <v>1529086300</v>
      </c>
      <c r="O2" s="4">
        <f>SUM(C2:N2)</f>
        <v>17965854500</v>
      </c>
    </row>
    <row r="3" spans="1:15">
      <c r="A3" t="s">
        <v>265</v>
      </c>
      <c r="B3" t="s">
        <v>225</v>
      </c>
      <c r="C3" s="4">
        <f>SUM(Charges!$E$2:$E$14)</f>
        <v>487079400</v>
      </c>
      <c r="D3" s="4">
        <f>SUM(Charges!$F$2:$F$14)</f>
        <v>448803800</v>
      </c>
      <c r="E3" s="4">
        <f>SUM(Charges!$G$2:$G$14)</f>
        <v>491291900</v>
      </c>
      <c r="F3" s="4">
        <f>SUM(Charges!$H$2:$H$14)</f>
        <v>473905800</v>
      </c>
      <c r="G3" s="4">
        <f>SUM(Charges!$I$2:$I$14)</f>
        <v>474061200</v>
      </c>
      <c r="H3" s="4">
        <f>SUM(Charges!$J$2:$J$14)</f>
        <v>496817000</v>
      </c>
      <c r="I3" s="4">
        <f>SUM(Charges!$K$2:$K$14)</f>
        <v>464799600</v>
      </c>
      <c r="J3" s="4">
        <f>SUM(Charges!$L$2:$L$14)</f>
        <v>497822800</v>
      </c>
      <c r="K3" s="4">
        <f>SUM(Charges!$M$2:$M$14)</f>
        <v>470617100</v>
      </c>
      <c r="L3" s="4">
        <f>SUM(Charges!$N$2:$N$14)</f>
        <v>475371200</v>
      </c>
      <c r="M3" s="4">
        <f>SUM(Charges!$O$2:$O$14)</f>
        <v>471121700</v>
      </c>
      <c r="N3" s="4">
        <f>SUM(Charges!$P$2:$P$14)</f>
        <v>486274600</v>
      </c>
      <c r="O3" s="4">
        <f>SUM(C3:N3)</f>
        <v>5737966100</v>
      </c>
    </row>
    <row r="4" spans="1:15">
      <c r="A4" t="s">
        <v>266</v>
      </c>
      <c r="B4" t="s">
        <v>225</v>
      </c>
      <c r="C4" s="4">
        <f>SUM('Frais Export'!$E$2:$E$19)</f>
        <v>258684400</v>
      </c>
      <c r="D4" s="4">
        <f>SUM('Frais Export'!$F$2:$F$19)</f>
        <v>248617500</v>
      </c>
      <c r="E4" s="4">
        <f>SUM('Frais Export'!$G$2:$G$19)</f>
        <v>254245400</v>
      </c>
      <c r="F4" s="4">
        <f>SUM('Frais Export'!$H$2:$H$19)</f>
        <v>258346500</v>
      </c>
      <c r="G4" s="4">
        <f>SUM('Frais Export'!$I$2:$I$19)</f>
        <v>252989700</v>
      </c>
      <c r="H4" s="4">
        <f>SUM('Frais Export'!$J$2:$J$19)</f>
        <v>268438500</v>
      </c>
      <c r="I4" s="4">
        <f>SUM('Frais Export'!$K$2:$K$19)</f>
        <v>247064600</v>
      </c>
      <c r="J4" s="4">
        <f>SUM('Frais Export'!$L$2:$L$19)</f>
        <v>267261200</v>
      </c>
      <c r="K4" s="4">
        <f>SUM('Frais Export'!$M$2:$M$19)</f>
        <v>251200300</v>
      </c>
      <c r="L4" s="4">
        <f>SUM('Frais Export'!$N$2:$N$19)</f>
        <v>257347100</v>
      </c>
      <c r="M4" s="4">
        <f>SUM('Frais Export'!$O$2:$O$19)</f>
        <v>250989100</v>
      </c>
      <c r="N4" s="4">
        <f>SUM('Frais Export'!$P$2:$P$19)</f>
        <v>267028100</v>
      </c>
      <c r="O4" s="4">
        <f>SUM(C4:N4)</f>
        <v>3082212400</v>
      </c>
    </row>
    <row r="5" spans="1:15">
      <c r="A5" t="s">
        <v>267</v>
      </c>
      <c r="B5" t="s">
        <v>225</v>
      </c>
      <c r="C5" s="4">
        <v>240945120</v>
      </c>
      <c r="D5" s="4">
        <v>240945120</v>
      </c>
      <c r="E5" s="4">
        <v>240945120</v>
      </c>
      <c r="F5" s="4">
        <v>240945120</v>
      </c>
      <c r="G5" s="4">
        <v>240945120</v>
      </c>
      <c r="H5" s="4">
        <v>240945120</v>
      </c>
      <c r="I5" s="4">
        <v>240945120</v>
      </c>
      <c r="J5" s="4">
        <v>240945120</v>
      </c>
      <c r="K5" s="4">
        <v>240945120</v>
      </c>
      <c r="L5" s="4">
        <v>240945120</v>
      </c>
      <c r="M5" s="4">
        <v>240945120</v>
      </c>
      <c r="N5" s="4">
        <v>240945120</v>
      </c>
      <c r="O5" s="4">
        <v>2891341440</v>
      </c>
    </row>
    <row r="6" spans="1:15">
      <c r="A6" t="s">
        <v>268</v>
      </c>
      <c r="B6" t="s">
        <v>225</v>
      </c>
      <c r="C6" s="4">
        <v>259998928</v>
      </c>
      <c r="D6" s="4">
        <v>324834677</v>
      </c>
      <c r="E6" s="4">
        <v>156849912</v>
      </c>
      <c r="F6" s="4">
        <v>329768962</v>
      </c>
      <c r="G6" s="4">
        <v>286600954</v>
      </c>
      <c r="H6" s="4">
        <v>265234046</v>
      </c>
      <c r="I6" s="4">
        <v>294916292</v>
      </c>
      <c r="J6" s="4">
        <v>249782973</v>
      </c>
      <c r="K6" s="4">
        <v>365495957</v>
      </c>
      <c r="L6" s="4">
        <v>348457303</v>
      </c>
      <c r="M6" s="4">
        <v>374829124</v>
      </c>
      <c r="N6" s="4">
        <v>309532626</v>
      </c>
      <c r="O6" s="4">
        <v>4690712314</v>
      </c>
    </row>
    <row r="7" spans="1:15">
      <c r="A7" t="s">
        <v>269</v>
      </c>
      <c r="B7" t="s">
        <v>9</v>
      </c>
      <c r="C7" s="6">
        <v>0.20482272406699492</v>
      </c>
      <c r="D7" s="6">
        <v>0.25155964872104014</v>
      </c>
      <c r="E7" s="6">
        <v>0.13414641564099949</v>
      </c>
      <c r="F7" s="6">
        <v>0.24982095855760353</v>
      </c>
      <c r="G7" s="6">
        <v>0.22380852061253292</v>
      </c>
      <c r="H7" s="6">
        <v>0.20554830829007104</v>
      </c>
      <c r="I7" s="6">
        <v>0.23227232293543687</v>
      </c>
      <c r="J7" s="6">
        <v>0.19577014426765699</v>
      </c>
      <c r="K7" s="6">
        <v>0.26959025060057018</v>
      </c>
      <c r="L7" s="6">
        <v>0.26017080183318247</v>
      </c>
      <c r="M7" s="6">
        <v>0.27436183542660175</v>
      </c>
      <c r="N7" s="6">
        <v>0.23462934933066271</v>
      </c>
      <c r="O7" s="6">
        <v>0.30171207007987449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2026-10-14T18:48:50Z</dcterms:modified>
</cp:coreProperties>
</file>