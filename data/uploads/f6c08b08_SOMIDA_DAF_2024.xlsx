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78364beab145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nnees SOMIDA" sheetId="1" r:id="Reb5a3c9909f340c0"/>
    <x:sheet xmlns:r="http://schemas.openxmlformats.org/officeDocument/2006/relationships" name="Employes" sheetId="2" r:id="R7a490ae285d3460e"/>
    <x:sheet xmlns:r="http://schemas.openxmlformats.org/officeDocument/2006/relationships" name="Production" sheetId="3" r:id="Rf1ba2851a0ed4864"/>
    <x:sheet xmlns:r="http://schemas.openxmlformats.org/officeDocument/2006/relationships" name="Charges" sheetId="4" r:id="R8aa6b87b99694f0c"/>
    <x:sheet xmlns:r="http://schemas.openxmlformats.org/officeDocument/2006/relationships" name="Exportations" sheetId="5" r:id="Rd5d03bdf1e2545e3"/>
    <x:sheet xmlns:r="http://schemas.openxmlformats.org/officeDocument/2006/relationships" name="Frais Export" sheetId="6" r:id="Rce9da7664fe24c55"/>
    <x:sheet xmlns:r="http://schemas.openxmlformats.org/officeDocument/2006/relationships" name="Synthese" sheetId="7" r:id="Redf1ccf174ed43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%"/>
    <x:numFmt numFmtId="201" formatCode="#,##0;[Red](#,##0);-"/>
    <x:numFmt numFmtId="202" formatCode="#,##0.00;[Red](#,##0.00);-"/>
    <x:numFmt numFmtId="203" formatCode="0.0%;[Red](0.0%);-"/>
    <x:numFmt numFmtId="204" formatCode="#,##0.00 &quot;t&quot;;[Red](#,##0.00);-"/>
  </x:numFmts>
  <x:fonts count="11">
    <x:font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b/>
      <x:sz val="16"/>
      <x:color rgb="FFFFFFFF"/>
      <x:name val="Carlito"/>
    </x:font>
    <x:font>
      <x:i/>
      <x:sz val="10"/>
      <x:color rgb="FF404040"/>
      <x:name val="Carlito"/>
    </x:font>
    <x:font>
      <x:b/>
      <x:sz val="9"/>
      <x:color rgb="FFFFFFFF"/>
      <x:name val="Carlito"/>
    </x:font>
    <x:font>
      <x:b/>
      <x:sz val="12"/>
      <x:color rgb="FF000000"/>
      <x:name val="Carlito"/>
    </x:font>
    <x:font>
      <x:b/>
      <x:sz val="10"/>
      <x:color rgb="FFFFFFFF"/>
      <x:name val="Carlito"/>
    </x:font>
    <x:font>
      <x:sz val="9"/>
      <x:name val="Carlito"/>
    </x:font>
    <x:font>
      <x:b/>
      <x:sz val="9"/>
      <x:name val="Carlito"/>
    </x:font>
    <x:font>
      <x:b/>
      <x:sz val="9"/>
      <x:color rgb="FF000000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  <x:fill>
      <x:patternFill patternType="solid">
        <x:fgColor rgb="FFF7FBFF"/>
      </x:patternFill>
    </x:fill>
    <x:fill>
      <x:patternFill patternType="solid">
        <x:fgColor rgb="FFF9F9F9"/>
      </x:patternFill>
    </x:fill>
    <x:fill>
      <x:patternFill patternType="solid">
        <x:fgColor rgb="FFFFF9E8"/>
      </x:patternFill>
    </x:fill>
  </x:fills>
  <x:borders count="3">
    <x:border/>
    <x:border/>
    <x:border>
      <x:top style="medium">
        <x:color rgb="FF17365D"/>
      </x:top>
    </x:border>
  </x:borders>
  <x:cellStyleXfs count="1">
    <x:xf numFmtId="0" fontId="0" fillId="0" borderId="0"/>
  </x:cellStyleXfs>
  <x:cellXfs count="1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200" fontId="2" fillId="0" borderId="0" xfId="0" applyNumberFormat="1" applyFont="1" applyFill="1" applyBorder="1"/>
    <x:xf numFmtId="200" fontId="2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202" fontId="0" fillId="4" borderId="0" xfId="0" applyNumberFormat="1" applyFont="1" applyFill="1" applyBorder="1"/>
    <x:xf numFmtId="0" fontId="4" fillId="4" borderId="0" xfId="0" applyNumberFormat="1" applyFont="1" applyFill="1" applyBorder="1"/>
    <x:xf numFmtId="202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left"/>
    </x:xf>
    <x:xf numFmtId="202" fontId="4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202" fontId="0" fillId="5" borderId="0" xfId="0" applyNumberFormat="1" applyFont="1" applyFill="1" applyBorder="1"/>
    <x:xf numFmtId="0" fontId="5" fillId="5" borderId="0" xfId="0" applyNumberFormat="1" applyFont="1" applyFill="1" applyBorder="1"/>
    <x:xf numFmtId="202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202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horizontal="center" wrapText="1"/>
    </x:xf>
    <x:xf numFmtId="202" fontId="5" fillId="5" borderId="0" xfId="0" applyNumberFormat="1" applyFont="1" applyFill="1" applyBorder="1" applyAlignment="1">
      <x:alignment horizont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202" fontId="5" fillId="5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202" fontId="0" fillId="6" borderId="0" xfId="0" applyNumberFormat="1" applyFont="1" applyFill="1" applyBorder="1"/>
    <x:xf numFmtId="0" fontId="6" fillId="6" borderId="0" xfId="0" applyNumberFormat="1" applyFont="1" applyFill="1" applyBorder="1"/>
    <x:xf numFmtId="202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202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vertical="center"/>
    </x:xf>
    <x:xf numFmtId="202" fontId="6" fillId="6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202" fontId="0" fillId="3" borderId="0" xfId="0" applyNumberFormat="1" applyFont="1" applyFill="1" applyBorder="1"/>
    <x:xf numFmtId="0" fontId="7" fillId="3" borderId="0" xfId="0" applyNumberFormat="1" applyFont="1" applyFill="1" applyBorder="1"/>
    <x:xf numFmtId="202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horizontal="left"/>
    </x:xf>
    <x:xf numFmtId="202" fontId="7" fillId="3" borderId="0" xfId="0" applyNumberFormat="1" applyFont="1" applyFill="1" applyBorder="1" applyAlignment="1">
      <x:alignment horizontal="left"/>
    </x:xf>
    <x:xf numFmtId="0" fontId="0" fillId="7" borderId="0" xfId="0" applyNumberFormat="1" applyFont="1" applyFill="1" applyBorder="1"/>
    <x:xf numFmtId="202" fontId="0" fillId="7" borderId="0" xfId="0" applyNumberFormat="1" applyFont="1" applyFill="1" applyBorder="1"/>
    <x:xf numFmtId="0" fontId="5" fillId="7" borderId="0" xfId="0" applyNumberFormat="1" applyFont="1" applyFill="1" applyBorder="1"/>
    <x:xf numFmtId="202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202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horizontal="center" wrapText="1"/>
    </x:xf>
    <x:xf numFmtId="202" fontId="5" fillId="7" borderId="0" xfId="0" applyNumberFormat="1" applyFont="1" applyFill="1" applyBorder="1" applyAlignment="1">
      <x:alignment horizontal="center" wrapText="1"/>
    </x:xf>
    <x:xf numFmtId="0" fontId="5" fillId="7" borderId="0" xfId="0" applyNumberFormat="1" applyFont="1" applyFill="1" applyBorder="1" applyAlignment="1">
      <x:alignment horizontal="center" vertical="center" wrapText="1"/>
    </x:xf>
    <x:xf numFmtId="202" fontId="5" fillId="7" borderId="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202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vertical="center"/>
    </x:xf>
    <x:xf numFmtId="202" fontId="8" fillId="0" borderId="0" xfId="0" applyNumberFormat="1" applyFont="1" applyFill="1" applyBorder="1" applyAlignment="1">
      <x:alignment vertical="center"/>
    </x:xf>
    <x:xf numFmtId="0" fontId="8" fillId="8" borderId="0" xfId="0" applyNumberFormat="1" applyFont="1" applyFill="1" applyBorder="1" applyAlignment="1">
      <x:alignment vertical="center"/>
    </x:xf>
    <x:xf numFmtId="202" fontId="8" fillId="8" borderId="0" xfId="0" applyNumberFormat="1" applyFont="1" applyFill="1" applyBorder="1" applyAlignment="1">
      <x:alignment vertical="center"/>
    </x:xf>
    <x:xf numFmtId="0" fontId="9" fillId="8" borderId="0" xfId="0" applyNumberFormat="1" applyFont="1" applyFill="1" applyBorder="1" applyAlignment="1">
      <x:alignment vertical="center"/>
    </x:xf>
    <x:xf numFmtId="0" fontId="9" fillId="8" borderId="2" xfId="0" applyNumberFormat="1" applyFont="1" applyFill="1" applyBorder="1" applyAlignment="1">
      <x:alignment vertical="center"/>
    </x:xf>
    <x:xf numFmtId="0" fontId="8" fillId="8" borderId="2" xfId="0" applyNumberFormat="1" applyFont="1" applyFill="1" applyBorder="1" applyAlignment="1">
      <x:alignment vertical="center"/>
    </x:xf>
    <x:xf numFmtId="202" fontId="8" fillId="8" borderId="2" xfId="0" applyNumberFormat="1" applyFont="1" applyFill="1" applyBorder="1" applyAlignment="1">
      <x:alignment vertical="center"/>
    </x:xf>
    <x:xf numFmtId="0" fontId="8" fillId="9" borderId="0" xfId="0" applyNumberFormat="1" applyFont="1" applyFill="1" applyBorder="1" applyAlignment="1">
      <x:alignment vertical="center"/>
    </x:xf>
    <x:xf numFmtId="202" fontId="8" fillId="9" borderId="0" xfId="0" applyNumberFormat="1" applyFont="1" applyFill="1" applyBorder="1" applyAlignment="1">
      <x:alignment vertical="center"/>
    </x:xf>
    <x:xf numFmtId="0" fontId="9" fillId="9" borderId="0" xfId="0" applyNumberFormat="1" applyFont="1" applyFill="1" applyBorder="1" applyAlignment="1">
      <x:alignment vertical="center"/>
    </x:xf>
    <x:xf numFmtId="0" fontId="9" fillId="9" borderId="2" xfId="0" applyNumberFormat="1" applyFont="1" applyFill="1" applyBorder="1" applyAlignment="1">
      <x:alignment vertical="center"/>
    </x:xf>
    <x:xf numFmtId="0" fontId="8" fillId="9" borderId="2" xfId="0" applyNumberFormat="1" applyFont="1" applyFill="1" applyBorder="1" applyAlignment="1">
      <x:alignment vertical="center"/>
    </x:xf>
    <x:xf numFmtId="202" fontId="8" fillId="9" borderId="2" xfId="0" applyNumberFormat="1" applyFont="1" applyFill="1" applyBorder="1" applyAlignment="1">
      <x:alignment vertical="center"/>
    </x:xf>
    <x:xf numFmtId="0" fontId="8" fillId="10" borderId="0" xfId="0" applyNumberFormat="1" applyFont="1" applyFill="1" applyBorder="1" applyAlignment="1">
      <x:alignment vertical="center"/>
    </x:xf>
    <x:xf numFmtId="202" fontId="8" fillId="10" borderId="0" xfId="0" applyNumberFormat="1" applyFont="1" applyFill="1" applyBorder="1" applyAlignment="1">
      <x:alignment vertical="center"/>
    </x:xf>
    <x:xf numFmtId="0" fontId="9" fillId="10" borderId="0" xfId="0" applyNumberFormat="1" applyFont="1" applyFill="1" applyBorder="1" applyAlignment="1">
      <x:alignment vertical="center"/>
    </x:xf>
    <x:xf numFmtId="0" fontId="9" fillId="10" borderId="2" xfId="0" applyNumberFormat="1" applyFont="1" applyFill="1" applyBorder="1" applyAlignment="1">
      <x:alignment vertical="center"/>
    </x:xf>
    <x:xf numFmtId="0" fontId="8" fillId="10" borderId="2" xfId="0" applyNumberFormat="1" applyFont="1" applyFill="1" applyBorder="1" applyAlignment="1">
      <x:alignment vertical="center"/>
    </x:xf>
    <x:xf numFmtId="202" fontId="8" fillId="10" borderId="2" xfId="0" applyNumberFormat="1" applyFont="1" applyFill="1" applyBorder="1" applyAlignment="1">
      <x:alignment vertical="center"/>
    </x:xf>
    <x:xf numFmtId="0" fontId="10" fillId="8" borderId="0" xfId="0" applyNumberFormat="1" applyFont="1" applyFill="1" applyBorder="1" applyAlignment="1">
      <x:alignment vertical="center"/>
    </x:xf>
    <x:xf numFmtId="202" fontId="10" fillId="8" borderId="0" xfId="0" applyNumberFormat="1" applyFont="1" applyFill="1" applyBorder="1" applyAlignment="1">
      <x:alignment vertical="center"/>
    </x:xf>
    <x:xf numFmtId="0" fontId="10" fillId="9" borderId="0" xfId="0" applyNumberFormat="1" applyFont="1" applyFill="1" applyBorder="1" applyAlignment="1">
      <x:alignment vertical="center"/>
    </x:xf>
    <x:xf numFmtId="202" fontId="10" fillId="9" borderId="0" xfId="0" applyNumberFormat="1" applyFont="1" applyFill="1" applyBorder="1" applyAlignment="1">
      <x:alignment vertical="center"/>
    </x:xf>
    <x:xf numFmtId="0" fontId="10" fillId="10" borderId="0" xfId="0" applyNumberFormat="1" applyFont="1" applyFill="1" applyBorder="1" applyAlignment="1">
      <x:alignment vertical="center"/>
    </x:xf>
    <x:xf numFmtId="202" fontId="10" fillId="10" borderId="0" xfId="0" applyNumberFormat="1" applyFont="1" applyFill="1" applyBorder="1" applyAlignment="1">
      <x:alignment vertical="center"/>
    </x:xf>
    <x:xf numFmtId="204" fontId="6" fillId="6" borderId="0" xfId="0" applyNumberFormat="1" applyFont="1" applyFill="1" applyBorder="1" applyAlignment="1">
      <x:alignment horizontal="center" vertical="center"/>
    </x:xf>
    <x:xf numFmtId="201" fontId="6" fillId="6" borderId="0" xfId="0" applyNumberFormat="1" applyFont="1" applyFill="1" applyBorder="1" applyAlignment="1">
      <x:alignment horizontal="center" vertical="center"/>
    </x:xf>
    <x:xf numFmtId="0" fontId="9" fillId="8" borderId="2" xfId="0" applyNumberFormat="1" applyFont="1" applyFill="1" applyBorder="1" applyAlignment="1">
      <x:alignment horizontal="left" vertical="center"/>
    </x:xf>
    <x:xf numFmtId="0" fontId="8" fillId="8" borderId="2" xfId="0" applyNumberFormat="1" applyFont="1" applyFill="1" applyBorder="1" applyAlignment="1">
      <x:alignment horizontal="left" vertical="center"/>
    </x:xf>
    <x:xf numFmtId="0" fontId="9" fillId="8" borderId="0" xfId="0" applyNumberFormat="1" applyFont="1" applyFill="1" applyBorder="1" applyAlignment="1">
      <x:alignment horizontal="left" vertical="center"/>
    </x:xf>
    <x:xf numFmtId="0" fontId="8" fillId="8" borderId="0" xfId="0" applyNumberFormat="1" applyFont="1" applyFill="1" applyBorder="1" applyAlignment="1">
      <x:alignment horizontal="left" vertical="center"/>
    </x:xf>
    <x:xf numFmtId="0" fontId="10" fillId="8" borderId="0" xfId="0" applyNumberFormat="1" applyFont="1" applyFill="1" applyBorder="1" applyAlignment="1">
      <x:alignment horizontal="left" vertical="center"/>
    </x:xf>
    <x:xf numFmtId="0" fontId="9" fillId="9" borderId="2" xfId="0" applyNumberFormat="1" applyFont="1" applyFill="1" applyBorder="1" applyAlignment="1">
      <x:alignment horizontal="left" vertical="center"/>
    </x:xf>
    <x:xf numFmtId="0" fontId="8" fillId="9" borderId="2" xfId="0" applyNumberFormat="1" applyFont="1" applyFill="1" applyBorder="1" applyAlignment="1">
      <x:alignment horizontal="left" vertical="center"/>
    </x:xf>
    <x:xf numFmtId="0" fontId="9" fillId="9" borderId="0" xfId="0" applyNumberFormat="1" applyFont="1" applyFill="1" applyBorder="1" applyAlignment="1">
      <x:alignment horizontal="left" vertical="center"/>
    </x:xf>
    <x:xf numFmtId="0" fontId="8" fillId="9" borderId="0" xfId="0" applyNumberFormat="1" applyFont="1" applyFill="1" applyBorder="1" applyAlignment="1">
      <x:alignment horizontal="left" vertical="center"/>
    </x:xf>
    <x:xf numFmtId="0" fontId="10" fillId="9" borderId="0" xfId="0" applyNumberFormat="1" applyFont="1" applyFill="1" applyBorder="1" applyAlignment="1">
      <x:alignment horizontal="left" vertical="center"/>
    </x:xf>
    <x:xf numFmtId="0" fontId="9" fillId="10" borderId="2" xfId="0" applyNumberFormat="1" applyFont="1" applyFill="1" applyBorder="1" applyAlignment="1">
      <x:alignment horizontal="left" vertical="center"/>
    </x:xf>
    <x:xf numFmtId="0" fontId="8" fillId="10" borderId="2" xfId="0" applyNumberFormat="1" applyFont="1" applyFill="1" applyBorder="1" applyAlignment="1">
      <x:alignment horizontal="left" vertical="center"/>
    </x:xf>
    <x:xf numFmtId="0" fontId="9" fillId="10" borderId="0" xfId="0" applyNumberFormat="1" applyFont="1" applyFill="1" applyBorder="1" applyAlignment="1">
      <x:alignment horizontal="left" vertical="center"/>
    </x:xf>
    <x:xf numFmtId="0" fontId="8" fillId="10" borderId="0" xfId="0" applyNumberFormat="1" applyFont="1" applyFill="1" applyBorder="1" applyAlignment="1">
      <x:alignment horizontal="left" vertical="center"/>
    </x:xf>
    <x:xf numFmtId="0" fontId="10" fillId="10" borderId="0" xfId="0" applyNumberFormat="1" applyFont="1" applyFill="1" applyBorder="1" applyAlignment="1">
      <x:alignment horizontal="left" vertical="center"/>
    </x:xf>
    <x:xf numFmtId="202" fontId="5" fillId="7" borderId="0" xfId="0" applyNumberFormat="1" applyFont="1" applyFill="1" applyBorder="1" applyAlignment="1">
      <x:alignment horizontal="right" vertical="center" wrapText="1"/>
    </x:xf>
    <x:xf numFmtId="202" fontId="8" fillId="8" borderId="2" xfId="0" applyNumberFormat="1" applyFont="1" applyFill="1" applyBorder="1" applyAlignment="1">
      <x:alignment horizontal="right" vertical="center"/>
    </x:xf>
    <x:xf numFmtId="202" fontId="8" fillId="8" borderId="0" xfId="0" applyNumberFormat="1" applyFont="1" applyFill="1" applyBorder="1" applyAlignment="1">
      <x:alignment horizontal="right" vertical="center"/>
    </x:xf>
    <x:xf numFmtId="202" fontId="10" fillId="8" borderId="0" xfId="0" applyNumberFormat="1" applyFont="1" applyFill="1" applyBorder="1" applyAlignment="1">
      <x:alignment horizontal="right" vertical="center"/>
    </x:xf>
    <x:xf numFmtId="202" fontId="8" fillId="9" borderId="2" xfId="0" applyNumberFormat="1" applyFont="1" applyFill="1" applyBorder="1" applyAlignment="1">
      <x:alignment horizontal="right" vertical="center"/>
    </x:xf>
    <x:xf numFmtId="202" fontId="8" fillId="9" borderId="0" xfId="0" applyNumberFormat="1" applyFont="1" applyFill="1" applyBorder="1" applyAlignment="1">
      <x:alignment horizontal="right" vertical="center"/>
    </x:xf>
    <x:xf numFmtId="202" fontId="10" fillId="9" borderId="0" xfId="0" applyNumberFormat="1" applyFont="1" applyFill="1" applyBorder="1" applyAlignment="1">
      <x:alignment horizontal="right" vertical="center"/>
    </x:xf>
    <x:xf numFmtId="202" fontId="8" fillId="10" borderId="2" xfId="0" applyNumberFormat="1" applyFont="1" applyFill="1" applyBorder="1" applyAlignment="1">
      <x:alignment horizontal="right" vertical="center"/>
    </x:xf>
    <x:xf numFmtId="202" fontId="8" fillId="10" borderId="0" xfId="0" applyNumberFormat="1" applyFont="1" applyFill="1" applyBorder="1" applyAlignment="1">
      <x:alignment horizontal="right" vertical="center"/>
    </x:xf>
    <x:xf numFmtId="202" fontId="10" fillId="1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c8023bd2084d7f" /><Relationship Type="http://schemas.openxmlformats.org/officeDocument/2006/relationships/theme" Target="/xl/theme/theme1.xml" Id="Rcdb59a584c094b88" /><Relationship Type="http://schemas.openxmlformats.org/officeDocument/2006/relationships/sharedStrings" Target="/xl/sharedStrings.xml" Id="Rf2cb80d7f32945cd" /><Relationship Type="http://schemas.openxmlformats.org/officeDocument/2006/relationships/worksheet" Target="/xl/worksheets/sheet1.xml" Id="Reb5a3c9909f340c0" /><Relationship Type="http://schemas.openxmlformats.org/officeDocument/2006/relationships/worksheet" Target="/xl/worksheets/sheet2.xml" Id="R7a490ae285d3460e" /><Relationship Type="http://schemas.openxmlformats.org/officeDocument/2006/relationships/worksheet" Target="/xl/worksheets/sheet3.xml" Id="Rf1ba2851a0ed4864" /><Relationship Type="http://schemas.openxmlformats.org/officeDocument/2006/relationships/worksheet" Target="/xl/worksheets/sheet4.xml" Id="R8aa6b87b99694f0c" /><Relationship Type="http://schemas.openxmlformats.org/officeDocument/2006/relationships/worksheet" Target="/xl/worksheets/sheet5.xml" Id="Rd5d03bdf1e2545e3" /><Relationship Type="http://schemas.openxmlformats.org/officeDocument/2006/relationships/worksheet" Target="/xl/worksheets/sheet6.xml" Id="Rce9da7664fe24c55" /><Relationship Type="http://schemas.openxmlformats.org/officeDocument/2006/relationships/worksheet" Target="/xl/worksheets/sheet7.xml" Id="Redf1ccf174ed434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6.25" hidden="0" customWidth="1"/>
    <x:col min="3" max="3" width="11.25" hidden="0" customWidth="1"/>
    <x:col min="4" max="4" width="40" hidden="0" customWidth="1"/>
  </x:cols>
  <x:sheetData>
    <x:row r="1">
      <x:c r="A1" s="6" t="str">
        <x:v>DONNEES SOMIDA - PARAMETRES ET REFERENTIELS</x:v>
      </x:c>
      <x:c r="B1" s="6"/>
      <x:c r="C1" s="6"/>
      <x:c r="D1" s="6"/>
    </x:row>
    <x:row r="2">
      <x:c r="A2" s="6" t="str">
        <x:v>Paramètre</x:v>
      </x:c>
      <x:c r="B2" s="6" t="str">
        <x:v>Valeur</x:v>
      </x:c>
      <x:c r="C2" s="6" t="str">
        <x:v>Unité / devise</x:v>
      </x:c>
      <x:c r="D2" s="6" t="str">
        <x:v>Commentaire</x:v>
      </x:c>
    </x:row>
    <x:row r="3">
      <x:c r="A3" t="str">
        <x:v>Exercice</x:v>
      </x:c>
      <x:c r="B3" s="12" t="n">
        <x:v>2024</x:v>
      </x:c>
      <x:c r="C3" t="str">
        <x:v>année</x:v>
      </x:c>
      <x:c r="D3" t="str">
        <x:v>Exercice budgétaire</x:v>
      </x:c>
    </x:row>
    <x:row r="4">
      <x:c r="A4" t="str">
        <x:v>Inflation annuelle</x:v>
      </x:c>
      <x:c r="B4" s="14" t="n">
        <x:v>0.065</x:v>
      </x:c>
      <x:c r="C4" t="str">
        <x:v>%</x:v>
      </x:c>
      <x:c r="D4" t="str">
        <x:v>Hypothèse budgétaire</x:v>
      </x:c>
    </x:row>
    <x:row r="5">
      <x:c r="A5" t="str">
        <x:v>Taux USD/MGA</x:v>
      </x:c>
      <x:c r="B5" s="12" t="n">
        <x:v>4450</x:v>
      </x:c>
      <x:c r="C5" t="str">
        <x:v>MGA/USD</x:v>
      </x:c>
      <x:c r="D5" t="str">
        <x:v>Hypothèse de change</x:v>
      </x:c>
    </x:row>
    <x:row r="6">
      <x:c r="A6" t="str">
        <x:v>Taux JPY/MGA</x:v>
      </x:c>
      <x:c r="B6" s="12" t="n">
        <x:v>30.5</x:v>
      </x:c>
      <x:c r="C6" t="str">
        <x:v>MGA/JPY</x:v>
      </x:c>
      <x:c r="D6" t="str">
        <x:v>Hypothèse de change</x:v>
      </x:c>
    </x:row>
    <x:row r="7">
      <x:c r="A7" t="str">
        <x:v>Augmentation salariale</x:v>
      </x:c>
      <x:c r="B7" s="14" t="n">
        <x:v>0.07</x:v>
      </x:c>
      <x:c r="C7" t="str">
        <x:v>%</x:v>
      </x:c>
      <x:c r="D7" t="str">
        <x:v>Hypothèse RH</x:v>
      </x:c>
    </x:row>
    <x:row r="8">
      <x:c r="A8" t="str">
        <x:v>TVA</x:v>
      </x:c>
      <x:c r="B8" s="14" t="n">
        <x:v>0.2</x:v>
      </x:c>
      <x:c r="C8" t="str">
        <x:v>%</x:v>
      </x:c>
      <x:c r="D8" t="str">
        <x:v>Paramètre fiscal</x:v>
      </x:c>
    </x:row>
    <x:row r="9">
      <x:c r="A9" t="str">
        <x:v>Site principal</x:v>
      </x:c>
      <x:c r="B9" t="str">
        <x:v>FORT DAUPHIN</x:v>
      </x:c>
      <x:c r="C9" t="str"/>
      <x:c r="D9" t="str">
        <x:v>Administration / export</x:v>
      </x:c>
    </x:row>
    <x:row r="10">
      <x:c r="A10" t="str">
        <x:v>Site production</x:v>
      </x:c>
      <x:c r="B10" t="str">
        <x:v>AMPANDRANDAVA</x:v>
      </x:c>
      <x:c r="C10" t="str"/>
      <x:c r="D10" t="str">
        <x:v>Production</x:v>
      </x:c>
    </x:row>
    <x:row r="11">
      <x:c r="A11"/>
      <x:c r="B11"/>
      <x:c r="C11"/>
      <x:c r="D11"/>
    </x:row>
    <x:row r="12">
      <x:c r="A12" s="6" t="str">
        <x:v>MARCHES EXPORT</x:v>
      </x:c>
      <x:c r="B12" s="6"/>
      <x:c r="C12" s="6"/>
      <x:c r="D12" s="6"/>
    </x:row>
    <x:row r="13">
      <x:c r="A13" s="6" t="str">
        <x:v>Pays</x:v>
      </x:c>
      <x:c r="B13" s="6" t="str">
        <x:v>Entité représentatrice</x:v>
      </x:c>
      <x:c r="C13" s="6" t="str">
        <x:v>Devise</x:v>
      </x:c>
      <x:c r="D13" s="6" t="str">
        <x:v>Observation</x:v>
      </x:c>
    </x:row>
    <x:row r="14">
      <x:c r="A14" t="str">
        <x:v>Japon</x:v>
      </x:c>
      <x:c r="B14" t="str">
        <x:v>GOODEIS</x:v>
      </x:c>
      <x:c r="C14" t="str">
        <x:v>JPY</x:v>
      </x:c>
      <x:c r="D14" t="str">
        <x:v>Relation export issue de la correction utilisateur</x:v>
      </x:c>
    </x:row>
    <x:row r="15">
      <x:c r="A15" t="str">
        <x:v>Russie</x:v>
      </x:c>
      <x:c r="B15" t="str">
        <x:v>ELINAR</x:v>
      </x:c>
      <x:c r="C15" t="str">
        <x:v>USD</x:v>
      </x:c>
      <x:c r="D15" t="str">
        <x:v>Relation export issue de la correction utilisateur</x:v>
      </x:c>
    </x:row>
    <x:row r="16">
      <x:c r="A16" t="str">
        <x:v>Chine</x:v>
      </x:c>
      <x:c r="B16" t="str">
        <x:v>REPRESENTANT CHINE - A VALIDER</x:v>
      </x:c>
      <x:c r="C16" t="str">
        <x:v>USD</x:v>
      </x:c>
      <x:c r="D16" t="str">
        <x:v>Nom exact à confirmer depuis Données SOMIDA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.880000114440918" hidden="0" customWidth="1"/>
    <x:col min="2" max="2" width="18" hidden="0" customWidth="1"/>
    <x:col min="3" max="3" width="14.75" hidden="0" customWidth="1"/>
    <x:col min="4" max="4" width="11.630000114440918" hidden="0" customWidth="1"/>
    <x:col min="5" max="5" width="26" hidden="0" customWidth="1"/>
    <x:col min="6" max="6" width="22" hidden="0" customWidth="1"/>
    <x:col min="7" max="7" width="18.75" hidden="0" customWidth="1"/>
    <x:col min="8" max="8" width="20.5" hidden="0" customWidth="1"/>
    <x:col min="9" max="9" width="20.5" hidden="0" customWidth="1"/>
    <x:col min="10" max="10" width="5.130000114440918" hidden="0" customWidth="1"/>
  </x:cols>
  <x:sheetData>
    <x:row r="1">
      <x:c r="A1" s="6" t="str">
        <x:v>Matricule</x:v>
      </x:c>
      <x:c r="B1" s="6" t="str">
        <x:v>Nom simulé</x:v>
      </x:c>
      <x:c r="C1" s="6" t="str">
        <x:v>Site</x:v>
      </x:c>
      <x:c r="D1" s="6" t="str">
        <x:v>Département</x:v>
      </x:c>
      <x:c r="E1" s="6" t="str">
        <x:v>Poste</x:v>
      </x:c>
      <x:c r="F1" s="6" t="str">
        <x:v>Salaire base mensuel (MGA)</x:v>
      </x:c>
      <x:c r="G1" s="6" t="str">
        <x:v>Prime mensuelle (MGA)</x:v>
      </x:c>
      <x:c r="H1" s="6" t="str">
        <x:v>Charges patronales (MGA)</x:v>
      </x:c>
      <x:c r="I1" s="6" t="str">
        <x:v>Coût mensuel total (MGA)</x:v>
      </x:c>
      <x:c r="J1" s="6" t="str">
        <x:v>Statut</x:v>
      </x:c>
    </x:row>
    <x:row r="2">
      <x:c r="A2" t="str">
        <x:v>EMP-001</x:v>
      </x:c>
      <x:c r="B2" t="str">
        <x:v>RABE Hery</x:v>
      </x:c>
      <x:c r="C2" t="str">
        <x:v>FORT DAUPHIN</x:v>
      </x:c>
      <x:c r="D2" t="str">
        <x:v>Direction</x:v>
      </x:c>
      <x:c r="E2" t="str">
        <x:v>Directeur Général</x:v>
      </x:c>
      <x:c r="F2" s="16" t="n">
        <x:v>12440000</x:v>
      </x:c>
      <x:c r="G2" s="16" t="n">
        <x:v>1244000</x:v>
      </x:c>
      <x:c r="H2" s="16" t="n">
        <x:v>2239000</x:v>
      </x:c>
      <x:c r="I2" s="16" t="n">
        <x:v>15923000</x:v>
      </x:c>
      <x:c r="J2" t="str">
        <x:v>Actif</x:v>
      </x:c>
    </x:row>
    <x:row r="3">
      <x:c r="A3" t="str">
        <x:v>EMP-002</x:v>
      </x:c>
      <x:c r="B3" t="str">
        <x:v>RAKOTO Miora</x:v>
      </x:c>
      <x:c r="C3" t="str">
        <x:v>AMPANDRANDAVA</x:v>
      </x:c>
      <x:c r="D3" t="str">
        <x:v>Direction</x:v>
      </x:c>
      <x:c r="E3" t="str">
        <x:v>DAF</x:v>
      </x:c>
      <x:c r="F3" s="16" t="n">
        <x:v>9320000</x:v>
      </x:c>
      <x:c r="G3" s="16" t="n">
        <x:v>932000</x:v>
      </x:c>
      <x:c r="H3" s="16" t="n">
        <x:v>1678000</x:v>
      </x:c>
      <x:c r="I3" s="16" t="n">
        <x:v>11930000</x:v>
      </x:c>
      <x:c r="J3" t="str">
        <x:v>Actif</x:v>
      </x:c>
    </x:row>
    <x:row r="4">
      <x:c r="A4" t="str">
        <x:v>EMP-003</x:v>
      </x:c>
      <x:c r="B4" t="str">
        <x:v>ANDRIA Fanja</x:v>
      </x:c>
      <x:c r="C4" t="str">
        <x:v>FORT DAUPHIN</x:v>
      </x:c>
      <x:c r="D4" t="str">
        <x:v>Finance</x:v>
      </x:c>
      <x:c r="E4" t="str">
        <x:v>Chef comptable</x:v>
      </x:c>
      <x:c r="F4" s="16" t="n">
        <x:v>5310000</x:v>
      </x:c>
      <x:c r="G4" s="16" t="n">
        <x:v>637000</x:v>
      </x:c>
      <x:c r="H4" s="16" t="n">
        <x:v>956000</x:v>
      </x:c>
      <x:c r="I4" s="16" t="n">
        <x:v>6903000</x:v>
      </x:c>
      <x:c r="J4" t="str">
        <x:v>Actif</x:v>
      </x:c>
    </x:row>
    <x:row r="5">
      <x:c r="A5" t="str">
        <x:v>EMP-004</x:v>
      </x:c>
      <x:c r="B5" t="str">
        <x:v>RAZAFY Toky</x:v>
      </x:c>
      <x:c r="C5" t="str">
        <x:v>FORT DAUPHIN</x:v>
      </x:c>
      <x:c r="D5" t="str">
        <x:v>Finance</x:v>
      </x:c>
      <x:c r="E5" t="str">
        <x:v>Comptable</x:v>
      </x:c>
      <x:c r="F5" s="16" t="n">
        <x:v>3410000</x:v>
      </x:c>
      <x:c r="G5" s="16" t="n">
        <x:v>273000</x:v>
      </x:c>
      <x:c r="H5" s="16" t="n">
        <x:v>614000</x:v>
      </x:c>
      <x:c r="I5" s="16" t="n">
        <x:v>4297000</x:v>
      </x:c>
      <x:c r="J5" t="str">
        <x:v>Actif</x:v>
      </x:c>
    </x:row>
    <x:row r="6">
      <x:c r="A6" t="str">
        <x:v>EMP-005</x:v>
      </x:c>
      <x:c r="B6" t="str">
        <x:v>RANDRIA Nirina</x:v>
      </x:c>
      <x:c r="C6" t="str">
        <x:v>AMPANDRANDAVA</x:v>
      </x:c>
      <x:c r="D6" t="str">
        <x:v>Finance</x:v>
      </x:c>
      <x:c r="E6" t="str">
        <x:v>Assistant comptable</x:v>
      </x:c>
      <x:c r="F6" s="16" t="n">
        <x:v>2270000</x:v>
      </x:c>
      <x:c r="G6" s="16" t="n">
        <x:v>114000</x:v>
      </x:c>
      <x:c r="H6" s="16" t="n">
        <x:v>409000</x:v>
      </x:c>
      <x:c r="I6" s="16" t="n">
        <x:v>2793000</x:v>
      </x:c>
      <x:c r="J6" t="str">
        <x:v>Actif</x:v>
      </x:c>
    </x:row>
    <x:row r="7">
      <x:c r="A7" t="str">
        <x:v>EMP-006</x:v>
      </x:c>
      <x:c r="B7" t="str">
        <x:v>RATSIM Lova</x:v>
      </x:c>
      <x:c r="C7" t="str">
        <x:v>AMPANDRANDAVA</x:v>
      </x:c>
      <x:c r="D7" t="str">
        <x:v>RH</x:v>
      </x:c>
      <x:c r="E7" t="str">
        <x:v>Responsable RH</x:v>
      </x:c>
      <x:c r="F7" s="16" t="n">
        <x:v>4750000</x:v>
      </x:c>
      <x:c r="G7" s="16" t="n">
        <x:v>380000</x:v>
      </x:c>
      <x:c r="H7" s="16" t="n">
        <x:v>855000</x:v>
      </x:c>
      <x:c r="I7" s="16" t="n">
        <x:v>5985000</x:v>
      </x:c>
      <x:c r="J7" t="str">
        <x:v>Actif</x:v>
      </x:c>
    </x:row>
    <x:row r="8">
      <x:c r="A8" t="str">
        <x:v>EMP-007</x:v>
      </x:c>
      <x:c r="B8" t="str">
        <x:v>RAJAO Aina</x:v>
      </x:c>
      <x:c r="C8" t="str">
        <x:v>AMPANDRANDAVA</x:v>
      </x:c>
      <x:c r="D8" t="str">
        <x:v>Commercial</x:v>
      </x:c>
      <x:c r="E8" t="str">
        <x:v>Responsable commercial export</x:v>
      </x:c>
      <x:c r="F8" s="16" t="n">
        <x:v>5390000</x:v>
      </x:c>
      <x:c r="G8" s="16" t="n">
        <x:v>431000</x:v>
      </x:c>
      <x:c r="H8" s="16" t="n">
        <x:v>970000</x:v>
      </x:c>
      <x:c r="I8" s="16" t="n">
        <x:v>6791000</x:v>
      </x:c>
      <x:c r="J8" t="str">
        <x:v>Actif</x:v>
      </x:c>
    </x:row>
    <x:row r="9">
      <x:c r="A9" t="str">
        <x:v>EMP-008</x:v>
      </x:c>
      <x:c r="B9" t="str">
        <x:v>RAMAN Tiana</x:v>
      </x:c>
      <x:c r="C9" t="str">
        <x:v>AMPANDRANDAVA</x:v>
      </x:c>
      <x:c r="D9" t="str">
        <x:v>Commercial</x:v>
      </x:c>
      <x:c r="E9" t="str">
        <x:v>Agent export</x:v>
      </x:c>
      <x:c r="F9" s="16" t="n">
        <x:v>3070000</x:v>
      </x:c>
      <x:c r="G9" s="16" t="n">
        <x:v>154000</x:v>
      </x:c>
      <x:c r="H9" s="16" t="n">
        <x:v>553000</x:v>
      </x:c>
      <x:c r="I9" s="16" t="n">
        <x:v>3777000</x:v>
      </x:c>
      <x:c r="J9" t="str">
        <x:v>Actif</x:v>
      </x:c>
    </x:row>
    <x:row r="10">
      <x:c r="A10" t="str">
        <x:v>EMP-009</x:v>
      </x:c>
      <x:c r="B10" t="str">
        <x:v>RAKOTON Zo</x:v>
      </x:c>
      <x:c r="C10" t="str">
        <x:v>FORT DAUPHIN</x:v>
      </x:c>
      <x:c r="D10" t="str">
        <x:v>Production</x:v>
      </x:c>
      <x:c r="E10" t="str">
        <x:v>Responsable production</x:v>
      </x:c>
      <x:c r="F10" s="16" t="n">
        <x:v>5310000</x:v>
      </x:c>
      <x:c r="G10" s="16" t="n">
        <x:v>637000</x:v>
      </x:c>
      <x:c r="H10" s="16" t="n">
        <x:v>956000</x:v>
      </x:c>
      <x:c r="I10" s="16" t="n">
        <x:v>6903000</x:v>
      </x:c>
      <x:c r="J10" t="str">
        <x:v>Actif</x:v>
      </x:c>
    </x:row>
    <x:row r="11">
      <x:c r="A11" t="str">
        <x:v>EMP-010</x:v>
      </x:c>
      <x:c r="B11" t="str">
        <x:v>RAZAN Mamy</x:v>
      </x:c>
      <x:c r="C11" t="str">
        <x:v>FORT DAUPHIN</x:v>
      </x:c>
      <x:c r="D11" t="str">
        <x:v>Production</x:v>
      </x:c>
      <x:c r="E11" t="str">
        <x:v>Chef d'atelier</x:v>
      </x:c>
      <x:c r="F11" s="16" t="n">
        <x:v>3320000</x:v>
      </x:c>
      <x:c r="G11" s="16" t="n">
        <x:v>332000</x:v>
      </x:c>
      <x:c r="H11" s="16" t="n">
        <x:v>598000</x:v>
      </x:c>
      <x:c r="I11" s="16" t="n">
        <x:v>4250000</x:v>
      </x:c>
      <x:c r="J11" t="str">
        <x:v>Actif</x:v>
      </x:c>
    </x:row>
    <x:row r="12">
      <x:c r="A12" t="str">
        <x:v>EMP-011</x:v>
      </x:c>
      <x:c r="B12" t="str">
        <x:v>RABE Hery</x:v>
      </x:c>
      <x:c r="C12" t="str">
        <x:v>FORT DAUPHIN</x:v>
      </x:c>
      <x:c r="D12" t="str">
        <x:v>Production</x:v>
      </x:c>
      <x:c r="E12" t="str">
        <x:v>Contrôleur qualité</x:v>
      </x:c>
      <x:c r="F12" s="16" t="n">
        <x:v>2540000</x:v>
      </x:c>
      <x:c r="G12" s="16" t="n">
        <x:v>203000</x:v>
      </x:c>
      <x:c r="H12" s="16" t="n">
        <x:v>457000</x:v>
      </x:c>
      <x:c r="I12" s="16" t="n">
        <x:v>3200000</x:v>
      </x:c>
      <x:c r="J12" t="str">
        <x:v>Actif</x:v>
      </x:c>
    </x:row>
    <x:row r="13">
      <x:c r="A13" t="str">
        <x:v>EMP-012</x:v>
      </x:c>
      <x:c r="B13" t="str">
        <x:v>RAKOTO Miora</x:v>
      </x:c>
      <x:c r="C13" t="str">
        <x:v>TRANOMARO</x:v>
      </x:c>
      <x:c r="D13" t="str">
        <x:v>Production</x:v>
      </x:c>
      <x:c r="E13" t="str">
        <x:v>Opérateur traitement</x:v>
      </x:c>
      <x:c r="F13" s="16" t="n">
        <x:v>1680000</x:v>
      </x:c>
      <x:c r="G13" s="16" t="n">
        <x:v>134000</x:v>
      </x:c>
      <x:c r="H13" s="16" t="n">
        <x:v>302000</x:v>
      </x:c>
      <x:c r="I13" s="16" t="n">
        <x:v>2116000</x:v>
      </x:c>
      <x:c r="J13" t="str">
        <x:v>Actif</x:v>
      </x:c>
    </x:row>
    <x:row r="14">
      <x:c r="A14" t="str">
        <x:v>EMP-013</x:v>
      </x:c>
      <x:c r="B14" t="str">
        <x:v>ANDRIA Fanja</x:v>
      </x:c>
      <x:c r="C14" t="str">
        <x:v>FORT DAUPHIN</x:v>
      </x:c>
      <x:c r="D14" t="str">
        <x:v>Production</x:v>
      </x:c>
      <x:c r="E14" t="str">
        <x:v>Coupeuse / trieuse</x:v>
      </x:c>
      <x:c r="F14" s="16" t="n">
        <x:v>1280000</x:v>
      </x:c>
      <x:c r="G14" s="16" t="n">
        <x:v>102000</x:v>
      </x:c>
      <x:c r="H14" s="16" t="n">
        <x:v>230000</x:v>
      </x:c>
      <x:c r="I14" s="16" t="n">
        <x:v>1612000</x:v>
      </x:c>
      <x:c r="J14" t="str">
        <x:v>Actif</x:v>
      </x:c>
    </x:row>
    <x:row r="15">
      <x:c r="A15" t="str">
        <x:v>EMP-014</x:v>
      </x:c>
      <x:c r="B15" t="str">
        <x:v>RAZAFY Toky</x:v>
      </x:c>
      <x:c r="C15" t="str">
        <x:v>AMBOASARY</x:v>
      </x:c>
      <x:c r="D15" t="str">
        <x:v>Logistique</x:v>
      </x:c>
      <x:c r="E15" t="str">
        <x:v>Responsable logistique</x:v>
      </x:c>
      <x:c r="F15" s="16" t="n">
        <x:v>3820000</x:v>
      </x:c>
      <x:c r="G15" s="16" t="n">
        <x:v>191000</x:v>
      </x:c>
      <x:c r="H15" s="16" t="n">
        <x:v>688000</x:v>
      </x:c>
      <x:c r="I15" s="16" t="n">
        <x:v>4699000</x:v>
      </x:c>
      <x:c r="J15" t="str">
        <x:v>Actif</x:v>
      </x:c>
    </x:row>
    <x:row r="16">
      <x:c r="A16" t="str">
        <x:v>EMP-015</x:v>
      </x:c>
      <x:c r="B16" t="str">
        <x:v>RANDRIA Nirina</x:v>
      </x:c>
      <x:c r="C16" t="str">
        <x:v>AMPANDRANDAVA</x:v>
      </x:c>
      <x:c r="D16" t="str">
        <x:v>Logistique</x:v>
      </x:c>
      <x:c r="E16" t="str">
        <x:v>Magasinier</x:v>
      </x:c>
      <x:c r="F16" s="16" t="n">
        <x:v>1590000</x:v>
      </x:c>
      <x:c r="G16" s="16" t="n">
        <x:v>159000</x:v>
      </x:c>
      <x:c r="H16" s="16" t="n">
        <x:v>286000</x:v>
      </x:c>
      <x:c r="I16" s="16" t="n">
        <x:v>2035000</x:v>
      </x:c>
      <x:c r="J16" t="str">
        <x:v>Actif</x:v>
      </x:c>
    </x:row>
    <x:row r="17">
      <x:c r="A17" t="str">
        <x:v>EMP-016</x:v>
      </x:c>
      <x:c r="B17" t="str">
        <x:v>RATSIM Lova</x:v>
      </x:c>
      <x:c r="C17" t="str">
        <x:v>AMPANDRANDAVA</x:v>
      </x:c>
      <x:c r="D17" t="str">
        <x:v>Maintenance</x:v>
      </x:c>
      <x:c r="E17" t="str">
        <x:v>Technicien maintenance</x:v>
      </x:c>
      <x:c r="F17" s="16" t="n">
        <x:v>2330000</x:v>
      </x:c>
      <x:c r="G17" s="16" t="n">
        <x:v>280000</x:v>
      </x:c>
      <x:c r="H17" s="16" t="n">
        <x:v>419000</x:v>
      </x:c>
      <x:c r="I17" s="16" t="n">
        <x:v>3029000</x:v>
      </x:c>
      <x:c r="J17" t="str">
        <x:v>Actif</x:v>
      </x:c>
    </x:row>
    <x:row r="18">
      <x:c r="A18" t="str">
        <x:v>EMP-017</x:v>
      </x:c>
      <x:c r="B18" t="str">
        <x:v>RAJAO Aina</x:v>
      </x:c>
      <x:c r="C18" t="str">
        <x:v>FORT DAUPHIN</x:v>
      </x:c>
      <x:c r="D18" t="str">
        <x:v>Sécurité</x:v>
      </x:c>
      <x:c r="E18" t="str">
        <x:v>Agent de sécurité</x:v>
      </x:c>
      <x:c r="F18" s="16" t="n">
        <x:v>1170000</x:v>
      </x:c>
      <x:c r="G18" s="16" t="n">
        <x:v>94000</x:v>
      </x:c>
      <x:c r="H18" s="16" t="n">
        <x:v>211000</x:v>
      </x:c>
      <x:c r="I18" s="16" t="n">
        <x:v>1475000</x:v>
      </x:c>
      <x:c r="J18" t="str">
        <x:v>Actif</x:v>
      </x:c>
    </x:row>
    <x:row r="19">
      <x:c r="A19" t="str">
        <x:v>EMP-018</x:v>
      </x:c>
      <x:c r="B19" t="str">
        <x:v>RAMAN Tiana</x:v>
      </x:c>
      <x:c r="C19" t="str">
        <x:v>FORT DAUPHIN</x:v>
      </x:c>
      <x:c r="D19" t="str">
        <x:v>Administration</x:v>
      </x:c>
      <x:c r="E19" t="str">
        <x:v>Assistant administratif</x:v>
      </x:c>
      <x:c r="F19" s="16" t="n">
        <x:v>1890000</x:v>
      </x:c>
      <x:c r="G19" s="16" t="n">
        <x:v>151000</x:v>
      </x:c>
      <x:c r="H19" s="16" t="n">
        <x:v>340000</x:v>
      </x:c>
      <x:c r="I19" s="16" t="n">
        <x:v>2381000</x:v>
      </x:c>
      <x:c r="J19" t="str">
        <x:v>Actif</x:v>
      </x:c>
    </x:row>
    <x:row r="20">
      <x:c r="A20" t="str">
        <x:v>EMP-019</x:v>
      </x:c>
      <x:c r="B20" t="str">
        <x:v>RAKOTON Zo</x:v>
      </x:c>
      <x:c r="C20" t="str">
        <x:v>FORT DAUPHIN</x:v>
      </x:c>
      <x:c r="D20" t="str">
        <x:v>Direction</x:v>
      </x:c>
      <x:c r="E20" t="str">
        <x:v>Directeur Général</x:v>
      </x:c>
      <x:c r="F20" s="16" t="n">
        <x:v>12490000</x:v>
      </x:c>
      <x:c r="G20" s="16" t="n">
        <x:v>999000</x:v>
      </x:c>
      <x:c r="H20" s="16" t="n">
        <x:v>2248000</x:v>
      </x:c>
      <x:c r="I20" s="16" t="n">
        <x:v>15737000</x:v>
      </x:c>
      <x:c r="J20" t="str">
        <x:v>Actif</x:v>
      </x:c>
    </x:row>
    <x:row r="21">
      <x:c r="A21" t="str">
        <x:v>EMP-020</x:v>
      </x:c>
      <x:c r="B21" t="str">
        <x:v>RAZAN Mamy</x:v>
      </x:c>
      <x:c r="C21" t="str">
        <x:v>AMBOASARY</x:v>
      </x:c>
      <x:c r="D21" t="str">
        <x:v>Direction</x:v>
      </x:c>
      <x:c r="E21" t="str">
        <x:v>DAF</x:v>
      </x:c>
      <x:c r="F21" s="16" t="n">
        <x:v>9180000</x:v>
      </x:c>
      <x:c r="G21" s="16" t="n">
        <x:v>918000</x:v>
      </x:c>
      <x:c r="H21" s="16" t="n">
        <x:v>1652000</x:v>
      </x:c>
      <x:c r="I21" s="16" t="n">
        <x:v>11750000</x:v>
      </x:c>
      <x:c r="J21" t="str">
        <x:v>Actif</x:v>
      </x:c>
    </x:row>
    <x:row r="22">
      <x:c r="A22" t="str">
        <x:v>EMP-021</x:v>
      </x:c>
      <x:c r="B22" t="str">
        <x:v>RABE Hery</x:v>
      </x:c>
      <x:c r="C22" t="str">
        <x:v>TRANOMARO</x:v>
      </x:c>
      <x:c r="D22" t="str">
        <x:v>Finance</x:v>
      </x:c>
      <x:c r="E22" t="str">
        <x:v>Chef comptable</x:v>
      </x:c>
      <x:c r="F22" s="16" t="n">
        <x:v>5620000</x:v>
      </x:c>
      <x:c r="G22" s="16" t="n">
        <x:v>674000</x:v>
      </x:c>
      <x:c r="H22" s="16" t="n">
        <x:v>1012000</x:v>
      </x:c>
      <x:c r="I22" s="16" t="n">
        <x:v>7306000</x:v>
      </x:c>
      <x:c r="J22" t="str">
        <x:v>Actif</x:v>
      </x:c>
    </x:row>
    <x:row r="23">
      <x:c r="A23" t="str">
        <x:v>EMP-022</x:v>
      </x:c>
      <x:c r="B23" t="str">
        <x:v>RAKOTO Miora</x:v>
      </x:c>
      <x:c r="C23" t="str">
        <x:v>FORT DAUPHIN</x:v>
      </x:c>
      <x:c r="D23" t="str">
        <x:v>Finance</x:v>
      </x:c>
      <x:c r="E23" t="str">
        <x:v>Comptable</x:v>
      </x:c>
      <x:c r="F23" s="16" t="n">
        <x:v>3500000</x:v>
      </x:c>
      <x:c r="G23" s="16" t="n">
        <x:v>280000</x:v>
      </x:c>
      <x:c r="H23" s="16" t="n">
        <x:v>630000</x:v>
      </x:c>
      <x:c r="I23" s="16" t="n">
        <x:v>4410000</x:v>
      </x:c>
      <x:c r="J23" t="str">
        <x:v>Actif</x:v>
      </x:c>
    </x:row>
    <x:row r="24">
      <x:c r="A24" t="str">
        <x:v>EMP-023</x:v>
      </x:c>
      <x:c r="B24" t="str">
        <x:v>ANDRIA Fanja</x:v>
      </x:c>
      <x:c r="C24" t="str">
        <x:v>FORT DAUPHIN</x:v>
      </x:c>
      <x:c r="D24" t="str">
        <x:v>Finance</x:v>
      </x:c>
      <x:c r="E24" t="str">
        <x:v>Assistant comptable</x:v>
      </x:c>
      <x:c r="F24" s="16" t="n">
        <x:v>2100000</x:v>
      </x:c>
      <x:c r="G24" s="16" t="n">
        <x:v>105000</x:v>
      </x:c>
      <x:c r="H24" s="16" t="n">
        <x:v>378000</x:v>
      </x:c>
      <x:c r="I24" s="16" t="n">
        <x:v>2583000</x:v>
      </x:c>
      <x:c r="J24" t="str">
        <x:v>Actif</x:v>
      </x:c>
    </x:row>
    <x:row r="25">
      <x:c r="A25" t="str">
        <x:v>EMP-024</x:v>
      </x:c>
      <x:c r="B25" t="str">
        <x:v>RAZAFY Toky</x:v>
      </x:c>
      <x:c r="C25" t="str">
        <x:v>TRANOMARO</x:v>
      </x:c>
      <x:c r="D25" t="str">
        <x:v>RH</x:v>
      </x:c>
      <x:c r="E25" t="str">
        <x:v>Responsable RH</x:v>
      </x:c>
      <x:c r="F25" s="16" t="n">
        <x:v>4640000</x:v>
      </x:c>
      <x:c r="G25" s="16" t="n">
        <x:v>232000</x:v>
      </x:c>
      <x:c r="H25" s="16" t="n">
        <x:v>835000</x:v>
      </x:c>
      <x:c r="I25" s="16" t="n">
        <x:v>5707000</x:v>
      </x:c>
      <x:c r="J25" t="str">
        <x:v>Actif</x:v>
      </x:c>
    </x:row>
    <x:row r="26">
      <x:c r="A26" t="str">
        <x:v>EMP-025</x:v>
      </x:c>
      <x:c r="B26" t="str">
        <x:v>RANDRIA Nirina</x:v>
      </x:c>
      <x:c r="C26" t="str">
        <x:v>FORT DAUPHIN</x:v>
      </x:c>
      <x:c r="D26" t="str">
        <x:v>Commercial</x:v>
      </x:c>
      <x:c r="E26" t="str">
        <x:v>Responsable commercial export</x:v>
      </x:c>
      <x:c r="F26" s="16" t="n">
        <x:v>5150000</x:v>
      </x:c>
      <x:c r="G26" s="16" t="n">
        <x:v>412000</x:v>
      </x:c>
      <x:c r="H26" s="16" t="n">
        <x:v>927000</x:v>
      </x:c>
      <x:c r="I26" s="16" t="n">
        <x:v>6489000</x:v>
      </x:c>
      <x:c r="J26" t="str">
        <x:v>Actif</x:v>
      </x:c>
    </x:row>
    <x:row r="27">
      <x:c r="A27" t="str">
        <x:v>EMP-026</x:v>
      </x:c>
      <x:c r="B27" t="str">
        <x:v>RATSIM Lova</x:v>
      </x:c>
      <x:c r="C27" t="str">
        <x:v>FORT DAUPHIN</x:v>
      </x:c>
      <x:c r="D27" t="str">
        <x:v>Commercial</x:v>
      </x:c>
      <x:c r="E27" t="str">
        <x:v>Agent export</x:v>
      </x:c>
      <x:c r="F27" s="16" t="n">
        <x:v>2710000</x:v>
      </x:c>
      <x:c r="G27" s="16" t="n">
        <x:v>271000</x:v>
      </x:c>
      <x:c r="H27" s="16" t="n">
        <x:v>488000</x:v>
      </x:c>
      <x:c r="I27" s="16" t="n">
        <x:v>3469000</x:v>
      </x:c>
      <x:c r="J27" t="str">
        <x:v>Actif</x:v>
      </x:c>
    </x:row>
    <x:row r="28">
      <x:c r="A28" t="str">
        <x:v>EMP-027</x:v>
      </x:c>
      <x:c r="B28" t="str">
        <x:v>RAJAO Aina</x:v>
      </x:c>
      <x:c r="C28" t="str">
        <x:v>AMPANDRANDAVA</x:v>
      </x:c>
      <x:c r="D28" t="str">
        <x:v>Production</x:v>
      </x:c>
      <x:c r="E28" t="str">
        <x:v>Responsable production</x:v>
      </x:c>
      <x:c r="F28" s="16" t="n">
        <x:v>5170000</x:v>
      </x:c>
      <x:c r="G28" s="16" t="n">
        <x:v>517000</x:v>
      </x:c>
      <x:c r="H28" s="16" t="n">
        <x:v>931000</x:v>
      </x:c>
      <x:c r="I28" s="16" t="n">
        <x:v>6618000</x:v>
      </x:c>
      <x:c r="J28" t="str">
        <x:v>Actif</x:v>
      </x:c>
    </x:row>
    <x:row r="29">
      <x:c r="A29" t="str">
        <x:v>EMP-028</x:v>
      </x:c>
      <x:c r="B29" t="str">
        <x:v>RAMAN Tiana</x:v>
      </x:c>
      <x:c r="C29" t="str">
        <x:v>FORT DAUPHIN</x:v>
      </x:c>
      <x:c r="D29" t="str">
        <x:v>Production</x:v>
      </x:c>
      <x:c r="E29" t="str">
        <x:v>Chef d'atelier</x:v>
      </x:c>
      <x:c r="F29" s="16" t="n">
        <x:v>3390000</x:v>
      </x:c>
      <x:c r="G29" s="16" t="n">
        <x:v>407000</x:v>
      </x:c>
      <x:c r="H29" s="16" t="n">
        <x:v>610000</x:v>
      </x:c>
      <x:c r="I29" s="16" t="n">
        <x:v>4407000</x:v>
      </x:c>
      <x:c r="J29" t="str">
        <x:v>Actif</x:v>
      </x:c>
    </x:row>
    <x:row r="30">
      <x:c r="A30" t="str">
        <x:v>EMP-029</x:v>
      </x:c>
      <x:c r="B30" t="str">
        <x:v>RAKOTON Zo</x:v>
      </x:c>
      <x:c r="C30" t="str">
        <x:v>FORT DAUPHIN</x:v>
      </x:c>
      <x:c r="D30" t="str">
        <x:v>Production</x:v>
      </x:c>
      <x:c r="E30" t="str">
        <x:v>Contrôleur qualité</x:v>
      </x:c>
      <x:c r="F30" s="16" t="n">
        <x:v>2420000</x:v>
      </x:c>
      <x:c r="G30" s="16" t="n">
        <x:v>242000</x:v>
      </x:c>
      <x:c r="H30" s="16" t="n">
        <x:v>436000</x:v>
      </x:c>
      <x:c r="I30" s="16" t="n">
        <x:v>3098000</x:v>
      </x:c>
      <x:c r="J30" t="str">
        <x:v>Actif</x:v>
      </x:c>
    </x:row>
    <x:row r="31">
      <x:c r="A31" t="str">
        <x:v>EMP-030</x:v>
      </x:c>
      <x:c r="B31" t="str">
        <x:v>RAZAN Mamy</x:v>
      </x:c>
      <x:c r="C31" t="str">
        <x:v>AMPANDRANDAVA</x:v>
      </x:c>
      <x:c r="D31" t="str">
        <x:v>Production</x:v>
      </x:c>
      <x:c r="E31" t="str">
        <x:v>Opérateur traitement</x:v>
      </x:c>
      <x:c r="F31" s="16" t="n">
        <x:v>1720000</x:v>
      </x:c>
      <x:c r="G31" s="16" t="n">
        <x:v>172000</x:v>
      </x:c>
      <x:c r="H31" s="16" t="n">
        <x:v>310000</x:v>
      </x:c>
      <x:c r="I31" s="16" t="n">
        <x:v>2202000</x:v>
      </x:c>
      <x:c r="J31" t="str">
        <x:v>Actif</x:v>
      </x:c>
    </x:row>
    <x:row r="32">
      <x:c r="A32" t="str">
        <x:v>EMP-031</x:v>
      </x:c>
      <x:c r="B32" t="str">
        <x:v>RABE Hery</x:v>
      </x:c>
      <x:c r="C32" t="str">
        <x:v>AMPANDRANDAVA</x:v>
      </x:c>
      <x:c r="D32" t="str">
        <x:v>Production</x:v>
      </x:c>
      <x:c r="E32" t="str">
        <x:v>Coupeuse / trieuse</x:v>
      </x:c>
      <x:c r="F32" s="16" t="n">
        <x:v>1300000</x:v>
      </x:c>
      <x:c r="G32" s="16" t="n">
        <x:v>104000</x:v>
      </x:c>
      <x:c r="H32" s="16" t="n">
        <x:v>234000</x:v>
      </x:c>
      <x:c r="I32" s="16" t="n">
        <x:v>1638000</x:v>
      </x:c>
      <x:c r="J32" t="str">
        <x:v>Actif</x:v>
      </x:c>
    </x:row>
    <x:row r="33">
      <x:c r="A33" t="str">
        <x:v>EMP-032</x:v>
      </x:c>
      <x:c r="B33" t="str">
        <x:v>RAKOTO Miora</x:v>
      </x:c>
      <x:c r="C33" t="str">
        <x:v>FORT DAUPHIN</x:v>
      </x:c>
      <x:c r="D33" t="str">
        <x:v>Logistique</x:v>
      </x:c>
      <x:c r="E33" t="str">
        <x:v>Responsable logistique</x:v>
      </x:c>
      <x:c r="F33" s="16" t="n">
        <x:v>3790000</x:v>
      </x:c>
      <x:c r="G33" s="16" t="n">
        <x:v>303000</x:v>
      </x:c>
      <x:c r="H33" s="16" t="n">
        <x:v>682000</x:v>
      </x:c>
      <x:c r="I33" s="16" t="n">
        <x:v>4775000</x:v>
      </x:c>
      <x:c r="J33" t="str">
        <x:v>Actif</x:v>
      </x:c>
    </x:row>
    <x:row r="34">
      <x:c r="A34" t="str">
        <x:v>EMP-033</x:v>
      </x:c>
      <x:c r="B34" t="str">
        <x:v>ANDRIA Fanja</x:v>
      </x:c>
      <x:c r="C34" t="str">
        <x:v>AMPANDRANDAVA</x:v>
      </x:c>
      <x:c r="D34" t="str">
        <x:v>Logistique</x:v>
      </x:c>
      <x:c r="E34" t="str">
        <x:v>Magasinier</x:v>
      </x:c>
      <x:c r="F34" s="16" t="n">
        <x:v>1720000</x:v>
      </x:c>
      <x:c r="G34" s="16" t="n">
        <x:v>86000</x:v>
      </x:c>
      <x:c r="H34" s="16" t="n">
        <x:v>310000</x:v>
      </x:c>
      <x:c r="I34" s="16" t="n">
        <x:v>2116000</x:v>
      </x:c>
      <x:c r="J34" t="str">
        <x:v>Actif</x:v>
      </x:c>
    </x:row>
    <x:row r="35">
      <x:c r="A35" t="str">
        <x:v>EMP-034</x:v>
      </x:c>
      <x:c r="B35" t="str">
        <x:v>RAZAFY Toky</x:v>
      </x:c>
      <x:c r="C35" t="str">
        <x:v>AMBOASARY</x:v>
      </x:c>
      <x:c r="D35" t="str">
        <x:v>Maintenance</x:v>
      </x:c>
      <x:c r="E35" t="str">
        <x:v>Technicien maintenance</x:v>
      </x:c>
      <x:c r="F35" s="16" t="n">
        <x:v>2460000</x:v>
      </x:c>
      <x:c r="G35" s="16" t="n">
        <x:v>295000</x:v>
      </x:c>
      <x:c r="H35" s="16" t="n">
        <x:v>443000</x:v>
      </x:c>
      <x:c r="I35" s="16" t="n">
        <x:v>3198000</x:v>
      </x:c>
      <x:c r="J35" t="str">
        <x:v>Actif</x:v>
      </x:c>
    </x:row>
    <x:row r="36">
      <x:c r="A36" t="str">
        <x:v>EMP-035</x:v>
      </x:c>
      <x:c r="B36" t="str">
        <x:v>RANDRIA Nirina</x:v>
      </x:c>
      <x:c r="C36" t="str">
        <x:v>FORT DAUPHIN</x:v>
      </x:c>
      <x:c r="D36" t="str">
        <x:v>Sécurité</x:v>
      </x:c>
      <x:c r="E36" t="str">
        <x:v>Agent de sécurité</x:v>
      </x:c>
      <x:c r="F36" s="16" t="n">
        <x:v>1240000</x:v>
      </x:c>
      <x:c r="G36" s="16" t="n">
        <x:v>62000</x:v>
      </x:c>
      <x:c r="H36" s="16" t="n">
        <x:v>223000</x:v>
      </x:c>
      <x:c r="I36" s="16" t="n">
        <x:v>1525000</x:v>
      </x:c>
      <x:c r="J36" t="str">
        <x:v>Actif</x:v>
      </x:c>
    </x:row>
    <x:row r="37">
      <x:c r="A37" t="str">
        <x:v>EMP-036</x:v>
      </x:c>
      <x:c r="B37" t="str">
        <x:v>RATSIM Lova</x:v>
      </x:c>
      <x:c r="C37" t="str">
        <x:v>AMBOASARY</x:v>
      </x:c>
      <x:c r="D37" t="str">
        <x:v>Administration</x:v>
      </x:c>
      <x:c r="E37" t="str">
        <x:v>Assistant administratif</x:v>
      </x:c>
      <x:c r="F37" s="16" t="n">
        <x:v>1760000</x:v>
      </x:c>
      <x:c r="G37" s="16" t="n">
        <x:v>141000</x:v>
      </x:c>
      <x:c r="H37" s="16" t="n">
        <x:v>317000</x:v>
      </x:c>
      <x:c r="I37" s="16" t="n">
        <x:v>2218000</x:v>
      </x:c>
      <x:c r="J37" t="str">
        <x:v>Actif</x:v>
      </x:c>
    </x:row>
    <x:row r="38">
      <x:c r="A38" t="str">
        <x:v>EMP-037</x:v>
      </x:c>
      <x:c r="B38" t="str">
        <x:v>RAJAO Aina</x:v>
      </x:c>
      <x:c r="C38" t="str">
        <x:v>AMBOASARY</x:v>
      </x:c>
      <x:c r="D38" t="str">
        <x:v>Direction</x:v>
      </x:c>
      <x:c r="E38" t="str">
        <x:v>Directeur Général</x:v>
      </x:c>
      <x:c r="F38" s="16" t="n">
        <x:v>11920000</x:v>
      </x:c>
      <x:c r="G38" s="16" t="n">
        <x:v>596000</x:v>
      </x:c>
      <x:c r="H38" s="16" t="n">
        <x:v>2146000</x:v>
      </x:c>
      <x:c r="I38" s="16" t="n">
        <x:v>14662000</x:v>
      </x:c>
      <x:c r="J38" t="str">
        <x:v>Actif</x:v>
      </x:c>
    </x:row>
    <x:row r="39">
      <x:c r="A39" t="str">
        <x:v>EMP-038</x:v>
      </x:c>
      <x:c r="B39" t="str">
        <x:v>RAMAN Tiana</x:v>
      </x:c>
      <x:c r="C39" t="str">
        <x:v>AMPANDRANDAVA</x:v>
      </x:c>
      <x:c r="D39" t="str">
        <x:v>Direction</x:v>
      </x:c>
      <x:c r="E39" t="str">
        <x:v>DAF</x:v>
      </x:c>
      <x:c r="F39" s="16" t="n">
        <x:v>8530000</x:v>
      </x:c>
      <x:c r="G39" s="16" t="n">
        <x:v>1024000</x:v>
      </x:c>
      <x:c r="H39" s="16" t="n">
        <x:v>1535000</x:v>
      </x:c>
      <x:c r="I39" s="16" t="n">
        <x:v>11089000</x:v>
      </x:c>
      <x:c r="J39" t="str">
        <x:v>Actif</x:v>
      </x:c>
    </x:row>
    <x:row r="40">
      <x:c r="A40" t="str">
        <x:v>EMP-039</x:v>
      </x:c>
      <x:c r="B40" t="str">
        <x:v>RAKOTON Zo</x:v>
      </x:c>
      <x:c r="C40" t="str">
        <x:v>FORT DAUPHIN</x:v>
      </x:c>
      <x:c r="D40" t="str">
        <x:v>Finance</x:v>
      </x:c>
      <x:c r="E40" t="str">
        <x:v>Chef comptable</x:v>
      </x:c>
      <x:c r="F40" s="16" t="n">
        <x:v>5390000</x:v>
      </x:c>
      <x:c r="G40" s="16" t="n">
        <x:v>431000</x:v>
      </x:c>
      <x:c r="H40" s="16" t="n">
        <x:v>970000</x:v>
      </x:c>
      <x:c r="I40" s="16" t="n">
        <x:v>6791000</x:v>
      </x:c>
      <x:c r="J40" t="str">
        <x:v>Actif</x:v>
      </x:c>
    </x:row>
    <x:row r="41">
      <x:c r="A41" t="str">
        <x:v>EMP-040</x:v>
      </x:c>
      <x:c r="B41" t="str">
        <x:v>RAZAN Mamy</x:v>
      </x:c>
      <x:c r="C41" t="str">
        <x:v>AMPANDRANDAVA</x:v>
      </x:c>
      <x:c r="D41" t="str">
        <x:v>Finance</x:v>
      </x:c>
      <x:c r="E41" t="str">
        <x:v>Comptable</x:v>
      </x:c>
      <x:c r="F41" s="16" t="n">
        <x:v>3460000</x:v>
      </x:c>
      <x:c r="G41" s="16" t="n">
        <x:v>173000</x:v>
      </x:c>
      <x:c r="H41" s="16" t="n">
        <x:v>623000</x:v>
      </x:c>
      <x:c r="I41" s="16" t="n">
        <x:v>4256000</x:v>
      </x:c>
      <x:c r="J41" t="str">
        <x:v>Actif</x:v>
      </x:c>
    </x:row>
    <x:row r="42">
      <x:c r="A42" t="str">
        <x:v>EMP-041</x:v>
      </x:c>
      <x:c r="B42" t="str">
        <x:v>RABE Hery</x:v>
      </x:c>
      <x:c r="C42" t="str">
        <x:v>FORT DAUPHIN</x:v>
      </x:c>
      <x:c r="D42" t="str">
        <x:v>Finance</x:v>
      </x:c>
      <x:c r="E42" t="str">
        <x:v>Assistant comptable</x:v>
      </x:c>
      <x:c r="F42" s="16" t="n">
        <x:v>2220000</x:v>
      </x:c>
      <x:c r="G42" s="16" t="n">
        <x:v>222000</x:v>
      </x:c>
      <x:c r="H42" s="16" t="n">
        <x:v>400000</x:v>
      </x:c>
      <x:c r="I42" s="16" t="n">
        <x:v>2842000</x:v>
      </x:c>
      <x:c r="J42" t="str">
        <x:v>Actif</x:v>
      </x:c>
    </x:row>
    <x:row r="43">
      <x:c r="A43" t="str">
        <x:v>EMP-042</x:v>
      </x:c>
      <x:c r="B43" t="str">
        <x:v>RAKOTO Miora</x:v>
      </x:c>
      <x:c r="C43" t="str">
        <x:v>FORT DAUPHIN</x:v>
      </x:c>
      <x:c r="D43" t="str">
        <x:v>RH</x:v>
      </x:c>
      <x:c r="E43" t="str">
        <x:v>Responsable RH</x:v>
      </x:c>
      <x:c r="F43" s="16" t="n">
        <x:v>4250000</x:v>
      </x:c>
      <x:c r="G43" s="16" t="n">
        <x:v>340000</x:v>
      </x:c>
      <x:c r="H43" s="16" t="n">
        <x:v>765000</x:v>
      </x:c>
      <x:c r="I43" s="16" t="n">
        <x:v>5355000</x:v>
      </x:c>
      <x:c r="J43" t="str">
        <x:v>Actif</x:v>
      </x:c>
    </x:row>
    <x:row r="44">
      <x:c r="A44" t="str">
        <x:v>EMP-043</x:v>
      </x:c>
      <x:c r="B44" t="str">
        <x:v>ANDRIA Fanja</x:v>
      </x:c>
      <x:c r="C44" t="str">
        <x:v>AMPANDRANDAVA</x:v>
      </x:c>
      <x:c r="D44" t="str">
        <x:v>Commercial</x:v>
      </x:c>
      <x:c r="E44" t="str">
        <x:v>Responsable commercial export</x:v>
      </x:c>
      <x:c r="F44" s="16" t="n">
        <x:v>5310000</x:v>
      </x:c>
      <x:c r="G44" s="16" t="n">
        <x:v>425000</x:v>
      </x:c>
      <x:c r="H44" s="16" t="n">
        <x:v>956000</x:v>
      </x:c>
      <x:c r="I44" s="16" t="n">
        <x:v>6691000</x:v>
      </x:c>
      <x:c r="J44" t="str">
        <x:v>Actif</x:v>
      </x:c>
    </x:row>
    <x:row r="45">
      <x:c r="A45" t="str">
        <x:v>EMP-044</x:v>
      </x:c>
      <x:c r="B45" t="str">
        <x:v>RAZAFY Toky</x:v>
      </x:c>
      <x:c r="C45" t="str">
        <x:v>FORT DAUPHIN</x:v>
      </x:c>
      <x:c r="D45" t="str">
        <x:v>Commercial</x:v>
      </x:c>
      <x:c r="E45" t="str">
        <x:v>Agent export</x:v>
      </x:c>
      <x:c r="F45" s="16" t="n">
        <x:v>2970000</x:v>
      </x:c>
      <x:c r="G45" s="16" t="n">
        <x:v>356000</x:v>
      </x:c>
      <x:c r="H45" s="16" t="n">
        <x:v>535000</x:v>
      </x:c>
      <x:c r="I45" s="16" t="n">
        <x:v>3861000</x:v>
      </x:c>
      <x:c r="J45" t="str">
        <x:v>Actif</x:v>
      </x:c>
    </x:row>
    <x:row r="46">
      <x:c r="A46" t="str">
        <x:v>EMP-045</x:v>
      </x:c>
      <x:c r="B46" t="str">
        <x:v>RANDRIA Nirina</x:v>
      </x:c>
      <x:c r="C46" t="str">
        <x:v>AMPANDRANDAVA</x:v>
      </x:c>
      <x:c r="D46" t="str">
        <x:v>Production</x:v>
      </x:c>
      <x:c r="E46" t="str">
        <x:v>Responsable production</x:v>
      </x:c>
      <x:c r="F46" s="16" t="n">
        <x:v>5040000</x:v>
      </x:c>
      <x:c r="G46" s="16" t="n">
        <x:v>605000</x:v>
      </x:c>
      <x:c r="H46" s="16" t="n">
        <x:v>907000</x:v>
      </x:c>
      <x:c r="I46" s="16" t="n">
        <x:v>6552000</x:v>
      </x:c>
      <x:c r="J46" t="str">
        <x:v>Actif</x:v>
      </x:c>
    </x:row>
    <x:row r="47">
      <x:c r="A47" t="str">
        <x:v>EMP-046</x:v>
      </x:c>
      <x:c r="B47" t="str">
        <x:v>RATSIM Lova</x:v>
      </x:c>
      <x:c r="C47" t="str">
        <x:v>FORT DAUPHIN</x:v>
      </x:c>
      <x:c r="D47" t="str">
        <x:v>Production</x:v>
      </x:c>
      <x:c r="E47" t="str">
        <x:v>Chef d'atelier</x:v>
      </x:c>
      <x:c r="F47" s="16" t="n">
        <x:v>3370000</x:v>
      </x:c>
      <x:c r="G47" s="16" t="n">
        <x:v>270000</x:v>
      </x:c>
      <x:c r="H47" s="16" t="n">
        <x:v>607000</x:v>
      </x:c>
      <x:c r="I47" s="16" t="n">
        <x:v>4247000</x:v>
      </x:c>
      <x:c r="J47" t="str">
        <x:v>Actif</x:v>
      </x:c>
    </x:row>
    <x:row r="48">
      <x:c r="A48" t="str">
        <x:v>EMP-047</x:v>
      </x:c>
      <x:c r="B48" t="str">
        <x:v>RAJAO Aina</x:v>
      </x:c>
      <x:c r="C48" t="str">
        <x:v>AMPANDRANDAVA</x:v>
      </x:c>
      <x:c r="D48" t="str">
        <x:v>Production</x:v>
      </x:c>
      <x:c r="E48" t="str">
        <x:v>Contrôleur qualité</x:v>
      </x:c>
      <x:c r="F48" s="16" t="n">
        <x:v>2750000</x:v>
      </x:c>
      <x:c r="G48" s="16" t="n">
        <x:v>330000</x:v>
      </x:c>
      <x:c r="H48" s="16" t="n">
        <x:v>495000</x:v>
      </x:c>
      <x:c r="I48" s="16" t="n">
        <x:v>3575000</x:v>
      </x:c>
      <x:c r="J48" t="str">
        <x:v>Actif</x:v>
      </x:c>
    </x:row>
    <x:row r="49">
      <x:c r="A49" t="str">
        <x:v>EMP-048</x:v>
      </x:c>
      <x:c r="B49" t="str">
        <x:v>RAMAN Tiana</x:v>
      </x:c>
      <x:c r="C49" t="str">
        <x:v>FORT DAUPHIN</x:v>
      </x:c>
      <x:c r="D49" t="str">
        <x:v>Production</x:v>
      </x:c>
      <x:c r="E49" t="str">
        <x:v>Opérateur traitement</x:v>
      </x:c>
      <x:c r="F49" s="16" t="n">
        <x:v>1600000</x:v>
      </x:c>
      <x:c r="G49" s="16" t="n">
        <x:v>128000</x:v>
      </x:c>
      <x:c r="H49" s="16" t="n">
        <x:v>288000</x:v>
      </x:c>
      <x:c r="I49" s="16" t="n">
        <x:v>2016000</x:v>
      </x:c>
      <x:c r="J49" t="str">
        <x:v>Actif</x:v>
      </x:c>
    </x:row>
    <x:row r="50">
      <x:c r="A50" t="str">
        <x:v>EMP-049</x:v>
      </x:c>
      <x:c r="B50" t="str">
        <x:v>RAKOTON Zo</x:v>
      </x:c>
      <x:c r="C50" t="str">
        <x:v>FORT DAUPHIN</x:v>
      </x:c>
      <x:c r="D50" t="str">
        <x:v>Production</x:v>
      </x:c>
      <x:c r="E50" t="str">
        <x:v>Coupeuse / trieuse</x:v>
      </x:c>
      <x:c r="F50" s="16" t="n">
        <x:v>1280000</x:v>
      </x:c>
      <x:c r="G50" s="16" t="n">
        <x:v>102000</x:v>
      </x:c>
      <x:c r="H50" s="16" t="n">
        <x:v>230000</x:v>
      </x:c>
      <x:c r="I50" s="16" t="n">
        <x:v>1612000</x:v>
      </x:c>
      <x:c r="J50" t="str">
        <x:v>Actif</x:v>
      </x:c>
    </x:row>
    <x:row r="51">
      <x:c r="A51" t="str">
        <x:v>EMP-050</x:v>
      </x:c>
      <x:c r="B51" t="str">
        <x:v>RAZAN Mamy</x:v>
      </x:c>
      <x:c r="C51" t="str">
        <x:v>FORT DAUPHIN</x:v>
      </x:c>
      <x:c r="D51" t="str">
        <x:v>Logistique</x:v>
      </x:c>
      <x:c r="E51" t="str">
        <x:v>Responsable logistique</x:v>
      </x:c>
      <x:c r="F51" s="16" t="n">
        <x:v>4120000</x:v>
      </x:c>
      <x:c r="G51" s="16" t="n">
        <x:v>206000</x:v>
      </x:c>
      <x:c r="H51" s="16" t="n">
        <x:v>742000</x:v>
      </x:c>
      <x:c r="I51" s="16" t="n">
        <x:v>5068000</x:v>
      </x:c>
      <x:c r="J51" t="str">
        <x:v>Actif</x:v>
      </x:c>
    </x:row>
    <x:row r="52">
      <x:c r="A52" t="str">
        <x:v>EMP-051</x:v>
      </x:c>
      <x:c r="B52" t="str">
        <x:v>RABE Hery</x:v>
      </x:c>
      <x:c r="C52" t="str">
        <x:v>AMPANDRANDAVA</x:v>
      </x:c>
      <x:c r="D52" t="str">
        <x:v>Logistique</x:v>
      </x:c>
      <x:c r="E52" t="str">
        <x:v>Magasinier</x:v>
      </x:c>
      <x:c r="F52" s="16" t="n">
        <x:v>1520000</x:v>
      </x:c>
      <x:c r="G52" s="16" t="n">
        <x:v>122000</x:v>
      </x:c>
      <x:c r="H52" s="16" t="n">
        <x:v>274000</x:v>
      </x:c>
      <x:c r="I52" s="16" t="n">
        <x:v>1916000</x:v>
      </x:c>
      <x:c r="J52" t="str">
        <x:v>Actif</x:v>
      </x:c>
    </x:row>
    <x:row r="53">
      <x:c r="A53" t="str">
        <x:v>EMP-052</x:v>
      </x:c>
      <x:c r="B53" t="str">
        <x:v>RAKOTO Miora</x:v>
      </x:c>
      <x:c r="C53" t="str">
        <x:v>FORT DAUPHIN</x:v>
      </x:c>
      <x:c r="D53" t="str">
        <x:v>Maintenance</x:v>
      </x:c>
      <x:c r="E53" t="str">
        <x:v>Technicien maintenance</x:v>
      </x:c>
      <x:c r="F53" s="16" t="n">
        <x:v>2270000</x:v>
      </x:c>
      <x:c r="G53" s="16" t="n">
        <x:v>114000</x:v>
      </x:c>
      <x:c r="H53" s="16" t="n">
        <x:v>409000</x:v>
      </x:c>
      <x:c r="I53" s="16" t="n">
        <x:v>2793000</x:v>
      </x:c>
      <x:c r="J53" t="str">
        <x:v>Actif</x:v>
      </x:c>
    </x:row>
    <x:row r="54">
      <x:c r="A54" t="str">
        <x:v>EMP-053</x:v>
      </x:c>
      <x:c r="B54" t="str">
        <x:v>ANDRIA Fanja</x:v>
      </x:c>
      <x:c r="C54" t="str">
        <x:v>AMPANDRANDAVA</x:v>
      </x:c>
      <x:c r="D54" t="str">
        <x:v>Sécurité</x:v>
      </x:c>
      <x:c r="E54" t="str">
        <x:v>Agent de sécurité</x:v>
      </x:c>
      <x:c r="F54" s="16" t="n">
        <x:v>1190000</x:v>
      </x:c>
      <x:c r="G54" s="16" t="n">
        <x:v>143000</x:v>
      </x:c>
      <x:c r="H54" s="16" t="n">
        <x:v>214000</x:v>
      </x:c>
      <x:c r="I54" s="16" t="n">
        <x:v>1547000</x:v>
      </x:c>
      <x:c r="J54" t="str">
        <x:v>Actif</x:v>
      </x:c>
    </x:row>
    <x:row r="55">
      <x:c r="A55" t="str">
        <x:v>EMP-054</x:v>
      </x:c>
      <x:c r="B55" t="str">
        <x:v>RAZAFY Toky</x:v>
      </x:c>
      <x:c r="C55" t="str">
        <x:v>FORT DAUPHIN</x:v>
      </x:c>
      <x:c r="D55" t="str">
        <x:v>Administration</x:v>
      </x:c>
      <x:c r="E55" t="str">
        <x:v>Assistant administratif</x:v>
      </x:c>
      <x:c r="F55" s="16" t="n">
        <x:v>1760000</x:v>
      </x:c>
      <x:c r="G55" s="16" t="n">
        <x:v>176000</x:v>
      </x:c>
      <x:c r="H55" s="16" t="n">
        <x:v>317000</x:v>
      </x:c>
      <x:c r="I55" s="16" t="n">
        <x:v>2253000</x:v>
      </x:c>
      <x:c r="J55" t="str">
        <x:v>Actif</x:v>
      </x:c>
    </x:row>
    <x:row r="56">
      <x:c r="A56" t="str">
        <x:v>EMP-055</x:v>
      </x:c>
      <x:c r="B56" t="str">
        <x:v>RANDRIA Nirina</x:v>
      </x:c>
      <x:c r="C56" t="str">
        <x:v>AMPANDRANDAVA</x:v>
      </x:c>
      <x:c r="D56" t="str">
        <x:v>Direction</x:v>
      </x:c>
      <x:c r="E56" t="str">
        <x:v>Directeur Général</x:v>
      </x:c>
      <x:c r="F56" s="16" t="n">
        <x:v>12180000</x:v>
      </x:c>
      <x:c r="G56" s="16" t="n">
        <x:v>1218000</x:v>
      </x:c>
      <x:c r="H56" s="16" t="n">
        <x:v>2192000</x:v>
      </x:c>
      <x:c r="I56" s="16" t="n">
        <x:v>15590000</x:v>
      </x:c>
      <x:c r="J56" t="str">
        <x:v>Actif</x:v>
      </x:c>
    </x:row>
    <x:row r="57">
      <x:c r="A57" t="str">
        <x:v>EMP-056</x:v>
      </x:c>
      <x:c r="B57" t="str">
        <x:v>RATSIM Lova</x:v>
      </x:c>
      <x:c r="C57" t="str">
        <x:v>TRANOMARO</x:v>
      </x:c>
      <x:c r="D57" t="str">
        <x:v>Direction</x:v>
      </x:c>
      <x:c r="E57" t="str">
        <x:v>DAF</x:v>
      </x:c>
      <x:c r="F57" s="16" t="n">
        <x:v>8510000</x:v>
      </x:c>
      <x:c r="G57" s="16" t="n">
        <x:v>426000</x:v>
      </x:c>
      <x:c r="H57" s="16" t="n">
        <x:v>1532000</x:v>
      </x:c>
      <x:c r="I57" s="16" t="n">
        <x:v>10468000</x:v>
      </x:c>
      <x:c r="J57" t="str">
        <x:v>Actif</x:v>
      </x:c>
    </x:row>
    <x:row r="58">
      <x:c r="A58" t="str">
        <x:v>EMP-057</x:v>
      </x:c>
      <x:c r="B58" t="str">
        <x:v>RAJAO Aina</x:v>
      </x:c>
      <x:c r="C58" t="str">
        <x:v>AMBOASARY</x:v>
      </x:c>
      <x:c r="D58" t="str">
        <x:v>Finance</x:v>
      </x:c>
      <x:c r="E58" t="str">
        <x:v>Chef comptable</x:v>
      </x:c>
      <x:c r="F58" s="16" t="n">
        <x:v>5490000</x:v>
      </x:c>
      <x:c r="G58" s="16" t="n">
        <x:v>274000</x:v>
      </x:c>
      <x:c r="H58" s="16" t="n">
        <x:v>988000</x:v>
      </x:c>
      <x:c r="I58" s="16" t="n">
        <x:v>6752000</x:v>
      </x:c>
      <x:c r="J58" t="str">
        <x:v>Actif</x:v>
      </x:c>
    </x:row>
    <x:row r="59">
      <x:c r="A59" t="str">
        <x:v>EMP-058</x:v>
      </x:c>
      <x:c r="B59" t="str">
        <x:v>RAMAN Tiana</x:v>
      </x:c>
      <x:c r="C59" t="str">
        <x:v>TRANOMARO</x:v>
      </x:c>
      <x:c r="D59" t="str">
        <x:v>Finance</x:v>
      </x:c>
      <x:c r="E59" t="str">
        <x:v>Comptable</x:v>
      </x:c>
      <x:c r="F59" s="16" t="n">
        <x:v>3200000</x:v>
      </x:c>
      <x:c r="G59" s="16" t="n">
        <x:v>160000</x:v>
      </x:c>
      <x:c r="H59" s="16" t="n">
        <x:v>576000</x:v>
      </x:c>
      <x:c r="I59" s="16" t="n">
        <x:v>3936000</x:v>
      </x:c>
      <x:c r="J59" t="str">
        <x:v>Actif</x:v>
      </x:c>
    </x:row>
    <x:row r="60">
      <x:c r="A60" t="str">
        <x:v>EMP-059</x:v>
      </x:c>
      <x:c r="B60" t="str">
        <x:v>RAKOTON Zo</x:v>
      </x:c>
      <x:c r="C60" t="str">
        <x:v>AMPANDRANDAVA</x:v>
      </x:c>
      <x:c r="D60" t="str">
        <x:v>Finance</x:v>
      </x:c>
      <x:c r="E60" t="str">
        <x:v>Assistant comptable</x:v>
      </x:c>
      <x:c r="F60" s="16" t="n">
        <x:v>2130000</x:v>
      </x:c>
      <x:c r="G60" s="16" t="n">
        <x:v>213000</x:v>
      </x:c>
      <x:c r="H60" s="16" t="n">
        <x:v>383000</x:v>
      </x:c>
      <x:c r="I60" s="16" t="n">
        <x:v>2726000</x:v>
      </x:c>
      <x:c r="J60" t="str">
        <x:v>Actif</x:v>
      </x:c>
    </x:row>
    <x:row r="61">
      <x:c r="A61" t="str">
        <x:v>EMP-060</x:v>
      </x:c>
      <x:c r="B61" t="str">
        <x:v>RAZAN Mamy</x:v>
      </x:c>
      <x:c r="C61" t="str">
        <x:v>AMBOASARY</x:v>
      </x:c>
      <x:c r="D61" t="str">
        <x:v>RH</x:v>
      </x:c>
      <x:c r="E61" t="str">
        <x:v>Responsable RH</x:v>
      </x:c>
      <x:c r="F61" s="16" t="n">
        <x:v>4300000</x:v>
      </x:c>
      <x:c r="G61" s="16" t="n">
        <x:v>516000</x:v>
      </x:c>
      <x:c r="H61" s="16" t="n">
        <x:v>774000</x:v>
      </x:c>
      <x:c r="I61" s="16" t="n">
        <x:v>5590000</x:v>
      </x:c>
      <x:c r="J61" t="str">
        <x:v>Actif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.75" hidden="0" customWidth="1"/>
    <x:col min="2" max="2" width="18" hidden="0" customWidth="1"/>
    <x:col min="3" max="3" width="5.630000114440918" hidden="0" customWidth="1"/>
    <x:col min="4" max="4" width="5.880000114440918" hidden="0" customWidth="1"/>
    <x:col min="5" max="5" width="5.880000114440918" hidden="0" customWidth="1"/>
    <x:col min="6" max="6" width="4.75" hidden="0" customWidth="1"/>
    <x:col min="7" max="7" width="4.75" hidden="0" customWidth="1"/>
    <x:col min="8" max="8" width="4.75" hidden="0" customWidth="1"/>
    <x:col min="9" max="9" width="4.75" hidden="0" customWidth="1"/>
    <x:col min="10" max="10" width="5" hidden="0" customWidth="1"/>
    <x:col min="11" max="11" width="4.75" hidden="0" customWidth="1"/>
    <x:col min="12" max="12" width="8.880000114440918" hidden="0" customWidth="1"/>
    <x:col min="13" max="13" width="6.75" hidden="0" customWidth="1"/>
    <x:col min="14" max="14" width="8.5" hidden="0" customWidth="1"/>
    <x:col min="15" max="15" width="8.380000114440918" hidden="0" customWidth="1"/>
    <x:col min="16" max="16" width="9.880000114440918" hidden="0" customWidth="1"/>
  </x:cols>
  <x:sheetData>
    <x:row r="1">
      <x:c r="A1" s="6" t="str">
        <x:v>Site</x:v>
      </x:c>
      <x:c r="B1" s="6" t="str">
        <x:v>Produit</x:v>
      </x:c>
      <x:c r="C1" s="6" t="str">
        <x:v>Unité</x:v>
      </x:c>
      <x:c r="D1" s="6" t="str">
        <x:v>Janvier</x:v>
      </x:c>
      <x:c r="E1" s="6" t="str">
        <x:v>Février</x:v>
      </x:c>
      <x:c r="F1" s="6" t="str">
        <x:v>Mars</x:v>
      </x:c>
      <x:c r="G1" s="6" t="str">
        <x:v>Avril</x:v>
      </x:c>
      <x:c r="H1" s="6" t="str">
        <x:v>Mai</x:v>
      </x:c>
      <x:c r="I1" s="6" t="str">
        <x:v>Juin</x:v>
      </x:c>
      <x:c r="J1" s="6" t="str">
        <x:v>Juillet</x:v>
      </x:c>
      <x:c r="K1" s="6" t="str">
        <x:v>Août</x:v>
      </x:c>
      <x:c r="L1" s="6" t="str">
        <x:v>Septembre</x:v>
      </x:c>
      <x:c r="M1" s="6" t="str">
        <x:v>Octobre</x:v>
      </x:c>
      <x:c r="N1" s="6" t="str">
        <x:v>Novembre</x:v>
      </x:c>
      <x:c r="O1" s="6" t="str">
        <x:v>Décembre</x:v>
      </x:c>
      <x:c r="P1" s="6" t="str">
        <x:v>Total annuel</x:v>
      </x:c>
    </x:row>
    <x:row r="2">
      <x:c r="A2" t="str">
        <x:v>AMPANDRANDAVA</x:v>
      </x:c>
      <x:c r="B2" t="str">
        <x:v>ABR COUPE</x:v>
      </x:c>
      <x:c r="C2" t="str">
        <x:v>tonnes</x:v>
      </x:c>
      <x:c r="D2" s="18" t="n">
        <x:v>82.32</x:v>
      </x:c>
      <x:c r="E2" s="18" t="n">
        <x:v>75.17</x:v>
      </x:c>
      <x:c r="F2" s="18" t="n">
        <x:v>65.38</x:v>
      </x:c>
      <x:c r="G2" s="18" t="n">
        <x:v>78.56</x:v>
      </x:c>
      <x:c r="H2" s="18" t="n">
        <x:v>64.5</x:v>
      </x:c>
      <x:c r="I2" s="18" t="n">
        <x:v>71.12</x:v>
      </x:c>
      <x:c r="J2" s="18" t="n">
        <x:v>82.55</x:v>
      </x:c>
      <x:c r="K2" s="18" t="n">
        <x:v>72.83</x:v>
      </x:c>
      <x:c r="L2" s="18" t="n">
        <x:v>63.98</x:v>
      </x:c>
      <x:c r="M2" s="18" t="n">
        <x:v>76.17</x:v>
      </x:c>
      <x:c r="N2" s="18" t="n">
        <x:v>81.22</x:v>
      </x:c>
      <x:c r="O2" s="18" t="n">
        <x:v>79.42</x:v>
      </x:c>
      <x:c r="P2" s="18" t="n">
        <x:v>893.22</x:v>
      </x:c>
    </x:row>
    <x:row r="3">
      <x:c r="A3" t="str">
        <x:v>AMPANDRANDAVA</x:v>
      </x:c>
      <x:c r="B3" t="str">
        <x:v>FP1 COUPE</x:v>
      </x:c>
      <x:c r="C3" t="str">
        <x:v>tonnes</x:v>
      </x:c>
      <x:c r="D3" s="18" t="n">
        <x:v>61.98</x:v>
      </x:c>
      <x:c r="E3" s="18" t="n">
        <x:v>51.81</x:v>
      </x:c>
      <x:c r="F3" s="18" t="n">
        <x:v>49.24</x:v>
      </x:c>
      <x:c r="G3" s="18" t="n">
        <x:v>56.27</x:v>
      </x:c>
      <x:c r="H3" s="18" t="n">
        <x:v>56.66</x:v>
      </x:c>
      <x:c r="I3" s="18" t="n">
        <x:v>50.8</x:v>
      </x:c>
      <x:c r="J3" s="18" t="n">
        <x:v>56.93</x:v>
      </x:c>
      <x:c r="K3" s="18" t="n">
        <x:v>54.42</x:v>
      </x:c>
      <x:c r="L3" s="18" t="n">
        <x:v>62.86</x:v>
      </x:c>
      <x:c r="M3" s="18" t="n">
        <x:v>58.95</x:v>
      </x:c>
      <x:c r="N3" s="18" t="n">
        <x:v>51.69</x:v>
      </x:c>
      <x:c r="O3" s="18" t="n">
        <x:v>56.52</x:v>
      </x:c>
      <x:c r="P3" s="18" t="n">
        <x:v>668.13</x:v>
      </x:c>
    </x:row>
    <x:row r="4">
      <x:c r="A4" t="str">
        <x:v>AMPANDRANDAVA</x:v>
      </x:c>
      <x:c r="B4" t="str">
        <x:v>FP2 COUPE</x:v>
      </x:c>
      <x:c r="C4" t="str">
        <x:v>tonnes</x:v>
      </x:c>
      <x:c r="D4" s="18" t="n">
        <x:v>52.28</x:v>
      </x:c>
      <x:c r="E4" s="18" t="n">
        <x:v>54.81</x:v>
      </x:c>
      <x:c r="F4" s="18" t="n">
        <x:v>48.69</x:v>
      </x:c>
      <x:c r="G4" s="18" t="n">
        <x:v>44.14</x:v>
      </x:c>
      <x:c r="H4" s="18" t="n">
        <x:v>48.99</x:v>
      </x:c>
      <x:c r="I4" s="18" t="n">
        <x:v>47.14</x:v>
      </x:c>
      <x:c r="J4" s="18" t="n">
        <x:v>49.53</x:v>
      </x:c>
      <x:c r="K4" s="18" t="n">
        <x:v>43.77</x:v>
      </x:c>
      <x:c r="L4" s="18" t="n">
        <x:v>50.56</x:v>
      </x:c>
      <x:c r="M4" s="18" t="n">
        <x:v>44.84</x:v>
      </x:c>
      <x:c r="N4" s="18" t="n">
        <x:v>54.51</x:v>
      </x:c>
      <x:c r="O4" s="18" t="n">
        <x:v>45.48</x:v>
      </x:c>
      <x:c r="P4" s="18" t="n">
        <x:v>584.74</x:v>
      </x:c>
    </x:row>
    <x:row r="5">
      <x:c r="A5" t="str">
        <x:v>AMPANDRANDAVA</x:v>
      </x:c>
      <x:c r="B5" t="str">
        <x:v>TRA</x:v>
      </x:c>
      <x:c r="C5" t="str">
        <x:v>tonnes</x:v>
      </x:c>
      <x:c r="D5" s="18" t="n">
        <x:v>70.69</x:v>
      </x:c>
      <x:c r="E5" s="18" t="n">
        <x:v>66.4</x:v>
      </x:c>
      <x:c r="F5" s="18" t="n">
        <x:v>63.68</x:v>
      </x:c>
      <x:c r="G5" s="18" t="n">
        <x:v>57.18</x:v>
      </x:c>
      <x:c r="H5" s="18" t="n">
        <x:v>62.68</x:v>
      </x:c>
      <x:c r="I5" s="18" t="n">
        <x:v>60.45</x:v>
      </x:c>
      <x:c r="J5" s="18" t="n">
        <x:v>64.67</x:v>
      </x:c>
      <x:c r="K5" s="18" t="n">
        <x:v>59.42</x:v>
      </x:c>
      <x:c r="L5" s="18" t="n">
        <x:v>70.84</x:v>
      </x:c>
      <x:c r="M5" s="18" t="n">
        <x:v>70.5</x:v>
      </x:c>
      <x:c r="N5" s="18" t="n">
        <x:v>59.4</x:v>
      </x:c>
      <x:c r="O5" s="18" t="n">
        <x:v>70.19</x:v>
      </x:c>
      <x:c r="P5" s="18" t="n">
        <x:v>776.1</x:v>
      </x:c>
    </x:row>
    <x:row r="6">
      <x:c r="A6" t="str">
        <x:v>AMPANDRANDAVA</x:v>
      </x:c>
      <x:c r="B6" t="str">
        <x:v>BSA</x:v>
      </x:c>
      <x:c r="C6" t="str">
        <x:v>tonnes</x:v>
      </x:c>
      <x:c r="D6" s="18" t="n">
        <x:v>43.34</x:v>
      </x:c>
      <x:c r="E6" s="18" t="n">
        <x:v>39.73</x:v>
      </x:c>
      <x:c r="F6" s="18" t="n">
        <x:v>44.63</x:v>
      </x:c>
      <x:c r="G6" s="18" t="n">
        <x:v>47.76</x:v>
      </x:c>
      <x:c r="H6" s="18" t="n">
        <x:v>42.02</x:v>
      </x:c>
      <x:c r="I6" s="18" t="n">
        <x:v>42.94</x:v>
      </x:c>
      <x:c r="J6" s="18" t="n">
        <x:v>39.3</x:v>
      </x:c>
      <x:c r="K6" s="18" t="n">
        <x:v>46.54</x:v>
      </x:c>
      <x:c r="L6" s="18" t="n">
        <x:v>38.76</x:v>
      </x:c>
      <x:c r="M6" s="18" t="n">
        <x:v>41.33</x:v>
      </x:c>
      <x:c r="N6" s="18" t="n">
        <x:v>37.82</x:v>
      </x:c>
      <x:c r="O6" s="18" t="n">
        <x:v>40.11</x:v>
      </x:c>
      <x:c r="P6" s="18" t="n">
        <x:v>504.28</x:v>
      </x:c>
    </x:row>
    <x:row r="7">
      <x:c r="A7" t="str">
        <x:v>FORT DAUPHIN</x:v>
      </x:c>
      <x:c r="B7" t="str">
        <x:v>ABR COUPE</x:v>
      </x:c>
      <x:c r="C7" t="str">
        <x:v>tonnes</x:v>
      </x:c>
      <x:c r="D7" s="18" t="n">
        <x:v>76.78</x:v>
      </x:c>
      <x:c r="E7" s="18" t="n">
        <x:v>79.32</x:v>
      </x:c>
      <x:c r="F7" s="18" t="n">
        <x:v>64.82</x:v>
      </x:c>
      <x:c r="G7" s="18" t="n">
        <x:v>63.93</x:v>
      </x:c>
      <x:c r="H7" s="18" t="n">
        <x:v>66.68</x:v>
      </x:c>
      <x:c r="I7" s="18" t="n">
        <x:v>75.04</x:v>
      </x:c>
      <x:c r="J7" s="18" t="n">
        <x:v>68.33</x:v>
      </x:c>
      <x:c r="K7" s="18" t="n">
        <x:v>75.91</x:v>
      </x:c>
      <x:c r="L7" s="18" t="n">
        <x:v>70.33</x:v>
      </x:c>
      <x:c r="M7" s="18" t="n">
        <x:v>68.01</x:v>
      </x:c>
      <x:c r="N7" s="18" t="n">
        <x:v>65.89</x:v>
      </x:c>
      <x:c r="O7" s="18" t="n">
        <x:v>81.17</x:v>
      </x:c>
      <x:c r="P7" s="18" t="n">
        <x:v>856.21</x:v>
      </x:c>
    </x:row>
    <x:row r="8">
      <x:c r="A8" t="str">
        <x:v>FORT DAUPHIN</x:v>
      </x:c>
      <x:c r="B8" t="str">
        <x:v>FP1 COUPE</x:v>
      </x:c>
      <x:c r="C8" t="str">
        <x:v>tonnes</x:v>
      </x:c>
      <x:c r="D8" s="18" t="n">
        <x:v>63.26</x:v>
      </x:c>
      <x:c r="E8" s="18" t="n">
        <x:v>60.62</x:v>
      </x:c>
      <x:c r="F8" s="18" t="n">
        <x:v>63.27</x:v>
      </x:c>
      <x:c r="G8" s="18" t="n">
        <x:v>57.16</x:v>
      </x:c>
      <x:c r="H8" s="18" t="n">
        <x:v>53.49</x:v>
      </x:c>
      <x:c r="I8" s="18" t="n">
        <x:v>48.36</x:v>
      </x:c>
      <x:c r="J8" s="18" t="n">
        <x:v>59.22</x:v>
      </x:c>
      <x:c r="K8" s="18" t="n">
        <x:v>49.51</x:v>
      </x:c>
      <x:c r="L8" s="18" t="n">
        <x:v>54.29</x:v>
      </x:c>
      <x:c r="M8" s="18" t="n">
        <x:v>52.64</x:v>
      </x:c>
      <x:c r="N8" s="18" t="n">
        <x:v>63.75</x:v>
      </x:c>
      <x:c r="O8" s="18" t="n">
        <x:v>63.07</x:v>
      </x:c>
      <x:c r="P8" s="18" t="n">
        <x:v>688.64</x:v>
      </x:c>
    </x:row>
    <x:row r="9">
      <x:c r="A9" t="str">
        <x:v>FORT DAUPHIN</x:v>
      </x:c>
      <x:c r="B9" t="str">
        <x:v>FP2 COUPE</x:v>
      </x:c>
      <x:c r="C9" t="str">
        <x:v>tonnes</x:v>
      </x:c>
      <x:c r="D9" s="18" t="n">
        <x:v>42.38</x:v>
      </x:c>
      <x:c r="E9" s="18" t="n">
        <x:v>49.61</x:v>
      </x:c>
      <x:c r="F9" s="18" t="n">
        <x:v>41.75</x:v>
      </x:c>
      <x:c r="G9" s="18" t="n">
        <x:v>50.5</x:v>
      </x:c>
      <x:c r="H9" s="18" t="n">
        <x:v>45.05</x:v>
      </x:c>
      <x:c r="I9" s="18" t="n">
        <x:v>53.5</x:v>
      </x:c>
      <x:c r="J9" s="18" t="n">
        <x:v>44.01</x:v>
      </x:c>
      <x:c r="K9" s="18" t="n">
        <x:v>53.57</x:v>
      </x:c>
      <x:c r="L9" s="18" t="n">
        <x:v>47.53</x:v>
      </x:c>
      <x:c r="M9" s="18" t="n">
        <x:v>44.05</x:v>
      </x:c>
      <x:c r="N9" s="18" t="n">
        <x:v>48.08</x:v>
      </x:c>
      <x:c r="O9" s="18" t="n">
        <x:v>45.11</x:v>
      </x:c>
      <x:c r="P9" s="18" t="n">
        <x:v>565.14</x:v>
      </x:c>
    </x:row>
    <x:row r="10">
      <x:c r="A10" t="str">
        <x:v>FORT DAUPHIN</x:v>
      </x:c>
      <x:c r="B10" t="str">
        <x:v>TRA</x:v>
      </x:c>
      <x:c r="C10" t="str">
        <x:v>tonnes</x:v>
      </x:c>
      <x:c r="D10" s="18" t="n">
        <x:v>63.91</x:v>
      </x:c>
      <x:c r="E10" s="18" t="n">
        <x:v>56.96</x:v>
      </x:c>
      <x:c r="F10" s="18" t="n">
        <x:v>60.18</x:v>
      </x:c>
      <x:c r="G10" s="18" t="n">
        <x:v>69.43</x:v>
      </x:c>
      <x:c r="H10" s="18" t="n">
        <x:v>70.08</x:v>
      </x:c>
      <x:c r="I10" s="18" t="n">
        <x:v>66.35</x:v>
      </x:c>
      <x:c r="J10" s="18" t="n">
        <x:v>67.42</x:v>
      </x:c>
      <x:c r="K10" s="18" t="n">
        <x:v>59.32</x:v>
      </x:c>
      <x:c r="L10" s="18" t="n">
        <x:v>66.25</x:v>
      </x:c>
      <x:c r="M10" s="18" t="n">
        <x:v>58.2</x:v>
      </x:c>
      <x:c r="N10" s="18" t="n">
        <x:v>67.52</x:v>
      </x:c>
      <x:c r="O10" s="18" t="n">
        <x:v>57.68</x:v>
      </x:c>
      <x:c r="P10" s="18" t="n">
        <x:v>763.3</x:v>
      </x:c>
    </x:row>
    <x:row r="11">
      <x:c r="A11" t="str">
        <x:v>FORT DAUPHIN</x:v>
      </x:c>
      <x:c r="B11" t="str">
        <x:v>BSA</x:v>
      </x:c>
      <x:c r="C11" t="str">
        <x:v>tonnes</x:v>
      </x:c>
      <x:c r="D11" s="18" t="n">
        <x:v>44.87</x:v>
      </x:c>
      <x:c r="E11" s="18" t="n">
        <x:v>46.3</x:v>
      </x:c>
      <x:c r="F11" s="18" t="n">
        <x:v>44.77</x:v>
      </x:c>
      <x:c r="G11" s="18" t="n">
        <x:v>48.42</x:v>
      </x:c>
      <x:c r="H11" s="18" t="n">
        <x:v>40.39</x:v>
      </x:c>
      <x:c r="I11" s="18" t="n">
        <x:v>40.26</x:v>
      </x:c>
      <x:c r="J11" s="18" t="n">
        <x:v>44.95</x:v>
      </x:c>
      <x:c r="K11" s="18" t="n">
        <x:v>43.01</x:v>
      </x:c>
      <x:c r="L11" s="18" t="n">
        <x:v>45.59</x:v>
      </x:c>
      <x:c r="M11" s="18" t="n">
        <x:v>36.37</x:v>
      </x:c>
      <x:c r="N11" s="18" t="n">
        <x:v>39.63</x:v>
      </x:c>
      <x:c r="O11" s="18" t="n">
        <x:v>37.88</x:v>
      </x:c>
      <x:c r="P11" s="18" t="n">
        <x:v>512.44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.75" hidden="0" customWidth="1"/>
    <x:col min="2" max="2" width="28" hidden="0" customWidth="1"/>
    <x:col min="3" max="3" width="14.75" hidden="0" customWidth="1"/>
    <x:col min="4" max="4" width="4.75" hidden="0" customWidth="1"/>
    <x:col min="5" max="5" width="9.880000114440918" hidden="0" customWidth="1"/>
    <x:col min="6" max="6" width="9.880000114440918" hidden="0" customWidth="1"/>
    <x:col min="7" max="7" width="9.880000114440918" hidden="0" customWidth="1"/>
    <x:col min="8" max="8" width="9.880000114440918" hidden="0" customWidth="1"/>
    <x:col min="9" max="9" width="9.880000114440918" hidden="0" customWidth="1"/>
    <x:col min="10" max="10" width="9.880000114440918" hidden="0" customWidth="1"/>
    <x:col min="11" max="11" width="9.880000114440918" hidden="0" customWidth="1"/>
    <x:col min="12" max="12" width="9.880000114440918" hidden="0" customWidth="1"/>
    <x:col min="13" max="13" width="9.880000114440918" hidden="0" customWidth="1"/>
    <x:col min="14" max="14" width="9.880000114440918" hidden="0" customWidth="1"/>
    <x:col min="15" max="15" width="9.880000114440918" hidden="0" customWidth="1"/>
    <x:col min="16" max="16" width="9.880000114440918" hidden="0" customWidth="1"/>
    <x:col min="17" max="17" width="11.25" hidden="0" customWidth="1"/>
  </x:cols>
  <x:sheetData>
    <x:row r="1">
      <x:c r="A1" s="6" t="str">
        <x:v>Catégorie</x:v>
      </x:c>
      <x:c r="B1" s="6" t="str">
        <x:v>Nature</x:v>
      </x:c>
      <x:c r="C1" s="6" t="str">
        <x:v>Site</x:v>
      </x:c>
      <x:c r="D1" s="6" t="str">
        <x:v>Unité</x:v>
      </x:c>
      <x:c r="E1" s="6" t="str">
        <x:v>Janvier</x:v>
      </x:c>
      <x:c r="F1" s="6" t="str">
        <x:v>Février</x:v>
      </x:c>
      <x:c r="G1" s="6" t="str">
        <x:v>Mars</x:v>
      </x:c>
      <x:c r="H1" s="6" t="str">
        <x:v>Avril</x:v>
      </x:c>
      <x:c r="I1" s="6" t="str">
        <x:v>Mai</x:v>
      </x:c>
      <x:c r="J1" s="6" t="str">
        <x:v>Juin</x:v>
      </x:c>
      <x:c r="K1" s="6" t="str">
        <x:v>Juillet</x:v>
      </x:c>
      <x:c r="L1" s="6" t="str">
        <x:v>Août</x:v>
      </x:c>
      <x:c r="M1" s="6" t="str">
        <x:v>Septembre</x:v>
      </x:c>
      <x:c r="N1" s="6" t="str">
        <x:v>Octobre</x:v>
      </x:c>
      <x:c r="O1" s="6" t="str">
        <x:v>Novembre</x:v>
      </x:c>
      <x:c r="P1" s="6" t="str">
        <x:v>Décembre</x:v>
      </x:c>
      <x:c r="Q1" s="6" t="str">
        <x:v>Total annuel</x:v>
      </x:c>
    </x:row>
    <x:row r="2">
      <x:c r="A2" t="str">
        <x:v>PRODUCTION</x:v>
      </x:c>
      <x:c r="B2" t="str">
        <x:v>Matières et consommables</x:v>
      </x:c>
      <x:c r="C2" t="str">
        <x:v>AMPANDRANDAVA</x:v>
      </x:c>
      <x:c r="D2" t="str">
        <x:v>MGA</x:v>
      </x:c>
      <x:c r="E2" s="16" t="n">
        <x:v>137291000</x:v>
      </x:c>
      <x:c r="F2" s="16" t="n">
        <x:v>145941000</x:v>
      </x:c>
      <x:c r="G2" s="16" t="n">
        <x:v>160223000</x:v>
      </x:c>
      <x:c r="H2" s="16" t="n">
        <x:v>135503000</x:v>
      </x:c>
      <x:c r="I2" s="16" t="n">
        <x:v>160170000</x:v>
      </x:c>
      <x:c r="J2" s="16" t="n">
        <x:v>132384000</x:v>
      </x:c>
      <x:c r="K2" s="16" t="n">
        <x:v>143134000</x:v>
      </x:c>
      <x:c r="L2" s="16" t="n">
        <x:v>147255000</x:v>
      </x:c>
      <x:c r="M2" s="16" t="n">
        <x:v>132152000</x:v>
      </x:c>
      <x:c r="N2" s="16" t="n">
        <x:v>132332000</x:v>
      </x:c>
      <x:c r="O2" s="16" t="n">
        <x:v>152684000</x:v>
      </x:c>
      <x:c r="P2" s="16" t="n">
        <x:v>136764000</x:v>
      </x:c>
      <x:c r="Q2" s="16" t="n">
        <x:v>1715833000</x:v>
      </x:c>
    </x:row>
    <x:row r="3">
      <x:c r="A3" t="str">
        <x:v>PRODUCTION</x:v>
      </x:c>
      <x:c r="B3" t="str">
        <x:v>Énergie / électricité</x:v>
      </x:c>
      <x:c r="C3" t="str">
        <x:v>AMPANDRANDAVA</x:v>
      </x:c>
      <x:c r="D3" t="str">
        <x:v>MGA</x:v>
      </x:c>
      <x:c r="E3" s="16" t="n">
        <x:v>49896000</x:v>
      </x:c>
      <x:c r="F3" s="16" t="n">
        <x:v>50375000</x:v>
      </x:c>
      <x:c r="G3" s="16" t="n">
        <x:v>54047000</x:v>
      </x:c>
      <x:c r="H3" s="16" t="n">
        <x:v>48614000</x:v>
      </x:c>
      <x:c r="I3" s="16" t="n">
        <x:v>42644000</x:v>
      </x:c>
      <x:c r="J3" s="16" t="n">
        <x:v>44110000</x:v>
      </x:c>
      <x:c r="K3" s="16" t="n">
        <x:v>50795000</x:v>
      </x:c>
      <x:c r="L3" s="16" t="n">
        <x:v>47772000</x:v>
      </x:c>
      <x:c r="M3" s="16" t="n">
        <x:v>45734000</x:v>
      </x:c>
      <x:c r="N3" s="16" t="n">
        <x:v>52881000</x:v>
      </x:c>
      <x:c r="O3" s="16" t="n">
        <x:v>49219000</x:v>
      </x:c>
      <x:c r="P3" s="16" t="n">
        <x:v>53123000</x:v>
      </x:c>
      <x:c r="Q3" s="16" t="n">
        <x:v>589210000</x:v>
      </x:c>
    </x:row>
    <x:row r="4">
      <x:c r="A4" t="str">
        <x:v>PRODUCTION</x:v>
      </x:c>
      <x:c r="B4" t="str">
        <x:v>Traitement mica</x:v>
      </x:c>
      <x:c r="C4" t="str">
        <x:v>AMPANDRANDAVA</x:v>
      </x:c>
      <x:c r="D4" t="str">
        <x:v>MGA</x:v>
      </x:c>
      <x:c r="E4" s="16" t="n">
        <x:v>85413000</x:v>
      </x:c>
      <x:c r="F4" s="16" t="n">
        <x:v>86123000</x:v>
      </x:c>
      <x:c r="G4" s="16" t="n">
        <x:v>77975000</x:v>
      </x:c>
      <x:c r="H4" s="16" t="n">
        <x:v>80009000</x:v>
      </x:c>
      <x:c r="I4" s="16" t="n">
        <x:v>90557000</x:v>
      </x:c>
      <x:c r="J4" s="16" t="n">
        <x:v>85235000</x:v>
      </x:c>
      <x:c r="K4" s="16" t="n">
        <x:v>82475000</x:v>
      </x:c>
      <x:c r="L4" s="16" t="n">
        <x:v>79617000</x:v>
      </x:c>
      <x:c r="M4" s="16" t="n">
        <x:v>75401000</x:v>
      </x:c>
      <x:c r="N4" s="16" t="n">
        <x:v>82565000</x:v>
      </x:c>
      <x:c r="O4" s="16" t="n">
        <x:v>92098000</x:v>
      </x:c>
      <x:c r="P4" s="16" t="n">
        <x:v>83465000</x:v>
      </x:c>
      <x:c r="Q4" s="16" t="n">
        <x:v>1000933000</x:v>
      </x:c>
    </x:row>
    <x:row r="5">
      <x:c r="A5" t="str">
        <x:v>PRODUCTION</x:v>
      </x:c>
      <x:c r="B5" t="str">
        <x:v>Maintenance équipements</x:v>
      </x:c>
      <x:c r="C5" t="str">
        <x:v>AMPANDRANDAVA</x:v>
      </x:c>
      <x:c r="D5" t="str">
        <x:v>MGA</x:v>
      </x:c>
      <x:c r="E5" s="16" t="n">
        <x:v>29736000</x:v>
      </x:c>
      <x:c r="F5" s="16" t="n">
        <x:v>31677000</x:v>
      </x:c>
      <x:c r="G5" s="16" t="n">
        <x:v>30771000</x:v>
      </x:c>
      <x:c r="H5" s="16" t="n">
        <x:v>28214000</x:v>
      </x:c>
      <x:c r="I5" s="16" t="n">
        <x:v>34041000</x:v>
      </x:c>
      <x:c r="J5" s="16" t="n">
        <x:v>31545000</x:v>
      </x:c>
      <x:c r="K5" s="16" t="n">
        <x:v>30414000</x:v>
      </x:c>
      <x:c r="L5" s="16" t="n">
        <x:v>33422000</x:v>
      </x:c>
      <x:c r="M5" s="16" t="n">
        <x:v>28813000</x:v>
      </x:c>
      <x:c r="N5" s="16" t="n">
        <x:v>35179000</x:v>
      </x:c>
      <x:c r="O5" s="16" t="n">
        <x:v>33528000</x:v>
      </x:c>
      <x:c r="P5" s="16" t="n">
        <x:v>31860000</x:v>
      </x:c>
      <x:c r="Q5" s="16" t="n">
        <x:v>379200000</x:v>
      </x:c>
    </x:row>
    <x:row r="6">
      <x:c r="A6" t="str">
        <x:v>PRODUCTION</x:v>
      </x:c>
      <x:c r="B6" t="str">
        <x:v>Emballages</x:v>
      </x:c>
      <x:c r="C6" t="str">
        <x:v>FORT DAUPHIN</x:v>
      </x:c>
      <x:c r="D6" t="str">
        <x:v>MGA</x:v>
      </x:c>
      <x:c r="E6" s="16" t="n">
        <x:v>22382000</x:v>
      </x:c>
      <x:c r="F6" s="16" t="n">
        <x:v>24134000</x:v>
      </x:c>
      <x:c r="G6" s="16" t="n">
        <x:v>25616000</x:v>
      </x:c>
      <x:c r="H6" s="16" t="n">
        <x:v>22515000</x:v>
      </x:c>
      <x:c r="I6" s="16" t="n">
        <x:v>24945000</x:v>
      </x:c>
      <x:c r="J6" s="16" t="n">
        <x:v>23000000</x:v>
      </x:c>
      <x:c r="K6" s="16" t="n">
        <x:v>24197000</x:v>
      </x:c>
      <x:c r="L6" s="16" t="n">
        <x:v>22936000</x:v>
      </x:c>
      <x:c r="M6" s="16" t="n">
        <x:v>22880000</x:v>
      </x:c>
      <x:c r="N6" s="16" t="n">
        <x:v>21455000</x:v>
      </x:c>
      <x:c r="O6" s="16" t="n">
        <x:v>22386000</x:v>
      </x:c>
      <x:c r="P6" s="16" t="n">
        <x:v>25484000</x:v>
      </x:c>
      <x:c r="Q6" s="16" t="n">
        <x:v>281930000</x:v>
      </x:c>
    </x:row>
    <x:row r="7">
      <x:c r="A7" t="str">
        <x:v>ADMINISTRATION</x:v>
      </x:c>
      <x:c r="B7" t="str">
        <x:v>Salaires administratifs</x:v>
      </x:c>
      <x:c r="C7" t="str">
        <x:v>FORT DAUPHIN</x:v>
      </x:c>
      <x:c r="D7" t="str">
        <x:v>MGA</x:v>
      </x:c>
      <x:c r="E7" s="16" t="n">
        <x:v>67898000</x:v>
      </x:c>
      <x:c r="F7" s="16" t="n">
        <x:v>64024000</x:v>
      </x:c>
      <x:c r="G7" s="16" t="n">
        <x:v>70864000</x:v>
      </x:c>
      <x:c r="H7" s="16" t="n">
        <x:v>65174000</x:v>
      </x:c>
      <x:c r="I7" s="16" t="n">
        <x:v>65435000</x:v>
      </x:c>
      <x:c r="J7" s="16" t="n">
        <x:v>62221000</x:v>
      </x:c>
      <x:c r="K7" s="16" t="n">
        <x:v>68947000</x:v>
      </x:c>
      <x:c r="L7" s="16" t="n">
        <x:v>69009000</x:v>
      </x:c>
      <x:c r="M7" s="16" t="n">
        <x:v>65720000</x:v>
      </x:c>
      <x:c r="N7" s="16" t="n">
        <x:v>62406000</x:v>
      </x:c>
      <x:c r="O7" s="16" t="n">
        <x:v>65783000</x:v>
      </x:c>
      <x:c r="P7" s="16" t="n">
        <x:v>70396000</x:v>
      </x:c>
      <x:c r="Q7" s="16" t="n">
        <x:v>797877000</x:v>
      </x:c>
    </x:row>
    <x:row r="8">
      <x:c r="A8" t="str">
        <x:v>ADMINISTRATION</x:v>
      </x:c>
      <x:c r="B8" t="str">
        <x:v>Télécommunications / Internet</x:v>
      </x:c>
      <x:c r="C8" t="str">
        <x:v>FORT DAUPHIN</x:v>
      </x:c>
      <x:c r="D8" t="str">
        <x:v>MGA</x:v>
      </x:c>
      <x:c r="E8" s="16" t="n">
        <x:v>8007000</x:v>
      </x:c>
      <x:c r="F8" s="16" t="n">
        <x:v>6967000</x:v>
      </x:c>
      <x:c r="G8" s="16" t="n">
        <x:v>8353000</x:v>
      </x:c>
      <x:c r="H8" s="16" t="n">
        <x:v>8113000</x:v>
      </x:c>
      <x:c r="I8" s="16" t="n">
        <x:v>7595000</x:v>
      </x:c>
      <x:c r="J8" s="16" t="n">
        <x:v>8445000</x:v>
      </x:c>
      <x:c r="K8" s="16" t="n">
        <x:v>6787000</x:v>
      </x:c>
      <x:c r="L8" s="16" t="n">
        <x:v>7506000</x:v>
      </x:c>
      <x:c r="M8" s="16" t="n">
        <x:v>7094000</x:v>
      </x:c>
      <x:c r="N8" s="16" t="n">
        <x:v>6701000</x:v>
      </x:c>
      <x:c r="O8" s="16" t="n">
        <x:v>6975000</x:v>
      </x:c>
      <x:c r="P8" s="16" t="n">
        <x:v>6850000</x:v>
      </x:c>
      <x:c r="Q8" s="16" t="n">
        <x:v>89393000</x:v>
      </x:c>
    </x:row>
    <x:row r="9">
      <x:c r="A9" t="str">
        <x:v>ADMINISTRATION</x:v>
      </x:c>
      <x:c r="B9" t="str">
        <x:v>Assurances</x:v>
      </x:c>
      <x:c r="C9" t="str">
        <x:v>FORT DAUPHIN</x:v>
      </x:c>
      <x:c r="D9" t="str">
        <x:v>MGA</x:v>
      </x:c>
      <x:c r="E9" s="16" t="n">
        <x:v>12621000</x:v>
      </x:c>
      <x:c r="F9" s="16" t="n">
        <x:v>12910000</x:v>
      </x:c>
      <x:c r="G9" s="16" t="n">
        <x:v>13878000</x:v>
      </x:c>
      <x:c r="H9" s="16" t="n">
        <x:v>14384000</x:v>
      </x:c>
      <x:c r="I9" s="16" t="n">
        <x:v>11846000</x:v>
      </x:c>
      <x:c r="J9" s="16" t="n">
        <x:v>14216000</x:v>
      </x:c>
      <x:c r="K9" s="16" t="n">
        <x:v>12903000</x:v>
      </x:c>
      <x:c r="L9" s="16" t="n">
        <x:v>11463000</x:v>
      </x:c>
      <x:c r="M9" s="16" t="n">
        <x:v>13629000</x:v>
      </x:c>
      <x:c r="N9" s="16" t="n">
        <x:v>14135000</x:v>
      </x:c>
      <x:c r="O9" s="16" t="n">
        <x:v>13133000</x:v>
      </x:c>
      <x:c r="P9" s="16" t="n">
        <x:v>13763000</x:v>
      </x:c>
      <x:c r="Q9" s="16" t="n">
        <x:v>158881000</x:v>
      </x:c>
    </x:row>
    <x:row r="10">
      <x:c r="A10" t="str">
        <x:v>ADMINISTRATION</x:v>
      </x:c>
      <x:c r="B10" t="str">
        <x:v>Honoraires et conseil</x:v>
      </x:c>
      <x:c r="C10" t="str">
        <x:v>FORT DAUPHIN</x:v>
      </x:c>
      <x:c r="D10" t="str">
        <x:v>MGA</x:v>
      </x:c>
      <x:c r="E10" s="16" t="n">
        <x:v>17180000</x:v>
      </x:c>
      <x:c r="F10" s="16" t="n">
        <x:v>14890000</x:v>
      </x:c>
      <x:c r="G10" s="16" t="n">
        <x:v>17423000</x:v>
      </x:c>
      <x:c r="H10" s="16" t="n">
        <x:v>16114000</x:v>
      </x:c>
      <x:c r="I10" s="16" t="n">
        <x:v>16798000</x:v>
      </x:c>
      <x:c r="J10" s="16" t="n">
        <x:v>17913000</x:v>
      </x:c>
      <x:c r="K10" s="16" t="n">
        <x:v>16061000</x:v>
      </x:c>
      <x:c r="L10" s="16" t="n">
        <x:v>15665000</x:v>
      </x:c>
      <x:c r="M10" s="16" t="n">
        <x:v>15891000</x:v>
      </x:c>
      <x:c r="N10" s="16" t="n">
        <x:v>14964000</x:v>
      </x:c>
      <x:c r="O10" s="16" t="n">
        <x:v>14257000</x:v>
      </x:c>
      <x:c r="P10" s="16" t="n">
        <x:v>16876000</x:v>
      </x:c>
      <x:c r="Q10" s="16" t="n">
        <x:v>194032000</x:v>
      </x:c>
    </x:row>
    <x:row r="11">
      <x:c r="A11" t="str">
        <x:v>LOGISTIQUE</x:v>
      </x:c>
      <x:c r="B11" t="str">
        <x:v>Transport interne</x:v>
      </x:c>
      <x:c r="C11" t="str">
        <x:v>FORT DAUPHIN</x:v>
      </x:c>
      <x:c r="D11" t="str">
        <x:v>MGA</x:v>
      </x:c>
      <x:c r="E11" s="16" t="n">
        <x:v>37704000</x:v>
      </x:c>
      <x:c r="F11" s="16" t="n">
        <x:v>39710000</x:v>
      </x:c>
      <x:c r="G11" s="16" t="n">
        <x:v>38432000</x:v>
      </x:c>
      <x:c r="H11" s="16" t="n">
        <x:v>34160000</x:v>
      </x:c>
      <x:c r="I11" s="16" t="n">
        <x:v>35986000</x:v>
      </x:c>
      <x:c r="J11" s="16" t="n">
        <x:v>41103000</x:v>
      </x:c>
      <x:c r="K11" s="16" t="n">
        <x:v>34551000</x:v>
      </x:c>
      <x:c r="L11" s="16" t="n">
        <x:v>39408000</x:v>
      </x:c>
      <x:c r="M11" s="16" t="n">
        <x:v>38527000</x:v>
      </x:c>
      <x:c r="N11" s="16" t="n">
        <x:v>36872000</x:v>
      </x:c>
      <x:c r="O11" s="16" t="n">
        <x:v>36549000</x:v>
      </x:c>
      <x:c r="P11" s="16" t="n">
        <x:v>40970000</x:v>
      </x:c>
      <x:c r="Q11" s="16" t="n">
        <x:v>453972000</x:v>
      </x:c>
    </x:row>
    <x:row r="12">
      <x:c r="A12" t="str">
        <x:v>LOGISTIQUE</x:v>
      </x:c>
      <x:c r="B12" t="str">
        <x:v>Magasinage / manutention</x:v>
      </x:c>
      <x:c r="C12" t="str">
        <x:v>FORT DAUPHIN</x:v>
      </x:c>
      <x:c r="D12" t="str">
        <x:v>MGA</x:v>
      </x:c>
      <x:c r="E12" s="16" t="n">
        <x:v>22710000</x:v>
      </x:c>
      <x:c r="F12" s="16" t="n">
        <x:v>21975000</x:v>
      </x:c>
      <x:c r="G12" s="16" t="n">
        <x:v>23472000</x:v>
      </x:c>
      <x:c r="H12" s="16" t="n">
        <x:v>23708000</x:v>
      </x:c>
      <x:c r="I12" s="16" t="n">
        <x:v>23782000</x:v>
      </x:c>
      <x:c r="J12" s="16" t="n">
        <x:v>20868000</x:v>
      </x:c>
      <x:c r="K12" s="16" t="n">
        <x:v>21599000</x:v>
      </x:c>
      <x:c r="L12" s="16" t="n">
        <x:v>23896000</x:v>
      </x:c>
      <x:c r="M12" s="16" t="n">
        <x:v>22113000</x:v>
      </x:c>
      <x:c r="N12" s="16" t="n">
        <x:v>20775000</x:v>
      </x:c>
      <x:c r="O12" s="16" t="n">
        <x:v>19975000</x:v>
      </x:c>
      <x:c r="P12" s="16" t="n">
        <x:v>20734000</x:v>
      </x:c>
      <x:c r="Q12" s="16" t="n">
        <x:v>265607000</x:v>
      </x:c>
    </x:row>
    <x:row r="13">
      <x:c r="A13" t="str">
        <x:v>FISCAL</x:v>
      </x:c>
      <x:c r="B13" t="str">
        <x:v>Impôts et taxes</x:v>
      </x:c>
      <x:c r="C13" t="str">
        <x:v>FORT DAUPHIN</x:v>
      </x:c>
      <x:c r="D13" t="str">
        <x:v>MGA</x:v>
      </x:c>
      <x:c r="E13" s="16" t="n">
        <x:v>27301000</x:v>
      </x:c>
      <x:c r="F13" s="16" t="n">
        <x:v>30019000</x:v>
      </x:c>
      <x:c r="G13" s="16" t="n">
        <x:v>28557000</x:v>
      </x:c>
      <x:c r="H13" s="16" t="n">
        <x:v>26655000</x:v>
      </x:c>
      <x:c r="I13" s="16" t="n">
        <x:v>28846000</x:v>
      </x:c>
      <x:c r="J13" s="16" t="n">
        <x:v>25035000</x:v>
      </x:c>
      <x:c r="K13" s="16" t="n">
        <x:v>29174000</x:v>
      </x:c>
      <x:c r="L13" s="16" t="n">
        <x:v>25582000</x:v>
      </x:c>
      <x:c r="M13" s="16" t="n">
        <x:v>24483000</x:v>
      </x:c>
      <x:c r="N13" s="16" t="n">
        <x:v>24858000</x:v>
      </x:c>
      <x:c r="O13" s="16" t="n">
        <x:v>25308000</x:v>
      </x:c>
      <x:c r="P13" s="16" t="n">
        <x:v>29799000</x:v>
      </x:c>
      <x:c r="Q13" s="16" t="n">
        <x:v>325617000</x:v>
      </x:c>
    </x:row>
    <x:row r="14">
      <x:c r="A14" t="str">
        <x:v>FINANCE</x:v>
      </x:c>
      <x:c r="B14" t="str">
        <x:v>Frais bancaires</x:v>
      </x:c>
      <x:c r="C14" t="str">
        <x:v>FORT DAUPHIN</x:v>
      </x:c>
      <x:c r="D14" t="str">
        <x:v>MGA</x:v>
      </x:c>
      <x:c r="E14" s="16" t="n">
        <x:v>10432000</x:v>
      </x:c>
      <x:c r="F14" s="16" t="n">
        <x:v>9889000</x:v>
      </x:c>
      <x:c r="G14" s="16" t="n">
        <x:v>12335000</x:v>
      </x:c>
      <x:c r="H14" s="16" t="n">
        <x:v>12000000</x:v>
      </x:c>
      <x:c r="I14" s="16" t="n">
        <x:v>10368000</x:v>
      </x:c>
      <x:c r="J14" s="16" t="n">
        <x:v>12156000</x:v>
      </x:c>
      <x:c r="K14" s="16" t="n">
        <x:v>12370000</x:v>
      </x:c>
      <x:c r="L14" s="16" t="n">
        <x:v>9908000</x:v>
      </x:c>
      <x:c r="M14" s="16" t="n">
        <x:v>10698000</x:v>
      </x:c>
      <x:c r="N14" s="16" t="n">
        <x:v>10148000</x:v>
      </x:c>
      <x:c r="O14" s="16" t="n">
        <x:v>10671000</x:v>
      </x:c>
      <x:c r="P14" s="16" t="n">
        <x:v>11836000</x:v>
      </x:c>
      <x:c r="Q14" s="16" t="n">
        <x:v>132811000</x:v>
      </x:c>
    </x:row>
    <x:row r="15">
      <x:c r="A15" t="str">
        <x:v>SECURITE</x:v>
      </x:c>
      <x:c r="B15" t="str">
        <x:v>Gardiennage / sécurité</x:v>
      </x:c>
      <x:c r="C15" t="str">
        <x:v>AMPANDRANDAVA</x:v>
      </x:c>
      <x:c r="D15" t="str">
        <x:v>MGA</x:v>
      </x:c>
      <x:c r="E15" s="16" t="n">
        <x:v>16231000</x:v>
      </x:c>
      <x:c r="F15" s="16" t="n">
        <x:v>15363000</x:v>
      </x:c>
      <x:c r="G15" s="16" t="n">
        <x:v>16047000</x:v>
      </x:c>
      <x:c r="H15" s="16" t="n">
        <x:v>14824000</x:v>
      </x:c>
      <x:c r="I15" s="16" t="n">
        <x:v>15529000</x:v>
      </x:c>
      <x:c r="J15" s="16" t="n">
        <x:v>14110000</x:v>
      </x:c>
      <x:c r="K15" s="16" t="n">
        <x:v>13335000</x:v>
      </x:c>
      <x:c r="L15" s="16" t="n">
        <x:v>16093000</x:v>
      </x:c>
      <x:c r="M15" s="16" t="n">
        <x:v>16062000</x:v>
      </x:c>
      <x:c r="N15" s="16" t="n">
        <x:v>14521000</x:v>
      </x:c>
      <x:c r="O15" s="16" t="n">
        <x:v>15250000</x:v>
      </x:c>
      <x:c r="P15" s="16" t="n">
        <x:v>14927000</x:v>
      </x:c>
      <x:c r="Q15" s="16" t="n">
        <x:v>182292000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6" hidden="0" customWidth="1"/>
    <x:col min="3" max="3" width="15" hidden="0" customWidth="1"/>
    <x:col min="4" max="4" width="10" hidden="0" customWidth="1"/>
    <x:col min="5" max="5" width="24" hidden="0" customWidth="1"/>
    <x:col min="6" max="6" width="10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6" hidden="0" customWidth="1"/>
  </x:cols>
  <x:sheetData>
    <x:row r="1" ht="30" customHeight="1">
      <x:c r="A1" s="24" t="str">
        <x:v>SOMIDA — TABLEAU DE BORD DES EXPORTATIONS 2024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  <x:c r="O1" s="24"/>
      <x:c r="P1" s="24"/>
      <x:c r="Q1" s="24"/>
      <x:c r="R1" s="24"/>
      <x:c r="S1" s="24"/>
    </x:row>
    <x:row r="2" ht="22" customHeight="1">
      <x:c r="A2" s="29" t="str">
        <x:v>Pilotage DAF • Japon / Russie / Chine • Suivi mensuel des volumes, devises et chiffre d’affaires</x:v>
      </x:c>
      <x:c r="B2" s="29"/>
      <x:c r="C2" s="29"/>
      <x:c r="D2" s="29"/>
      <x:c r="E2" s="29"/>
      <x:c r="F2" s="29"/>
      <x:c r="G2" s="30"/>
      <x:c r="H2" s="30"/>
      <x:c r="I2" s="30"/>
      <x:c r="J2" s="30"/>
      <x:c r="K2" s="30"/>
      <x:c r="L2" s="30"/>
      <x:c r="M2" s="30"/>
      <x:c r="N2" s="30"/>
      <x:c r="O2" s="30"/>
      <x:c r="P2" s="30"/>
      <x:c r="Q2" s="30"/>
      <x:c r="R2" s="30"/>
      <x:c r="S2" s="30"/>
    </x:row>
    <x:row r="3">
      <x:c r="A3"/>
      <x:c r="B3"/>
      <x:c r="C3"/>
      <x:c r="D3"/>
      <x:c r="E3"/>
      <x:c r="F3"/>
      <x:c r="G3" s="18"/>
      <x:c r="H3" s="18"/>
      <x:c r="I3" s="18"/>
      <x:c r="J3" s="18"/>
      <x:c r="K3" s="18"/>
      <x:c r="L3" s="18"/>
      <x:c r="M3" s="18"/>
      <x:c r="N3" s="18"/>
      <x:c r="O3" s="18"/>
      <x:c r="P3" s="18"/>
      <x:c r="Q3" s="18"/>
      <x:c r="R3" s="18"/>
      <x:c r="S3" s="18"/>
    </x:row>
    <x:row r="4" ht="26" customHeight="1">
      <x:c r="A4" s="39" t="str">
        <x:v>VOLUME EXPORTÉ (t)</x:v>
      </x:c>
      <x:c r="B4" s="39"/>
      <x:c r="C4" s="39"/>
      <x:c r="D4" s="39" t="str">
        <x:v>CA EXPORT (MGA)</x:v>
      </x:c>
      <x:c r="E4" s="39"/>
      <x:c r="F4" s="39"/>
      <x:c r="G4" s="40" t="str">
        <x:v>CA JAPON (MGA)</x:v>
      </x:c>
      <x:c r="H4" s="40"/>
      <x:c r="I4" s="40"/>
      <x:c r="J4" s="40" t="str">
        <x:v>CA RUSSIE (MGA)</x:v>
      </x:c>
      <x:c r="K4" s="40"/>
      <x:c r="L4" s="40"/>
      <x:c r="M4" s="40" t="str">
        <x:v>CA CHINE (MGA)</x:v>
      </x:c>
      <x:c r="N4" s="40"/>
      <x:c r="O4" s="40"/>
      <x:c r="P4" s="40" t="str">
        <x:v>MARCHÉS / DEVISES</x:v>
      </x:c>
      <x:c r="Q4" s="40"/>
      <x:c r="R4" s="40"/>
      <x:c r="S4" s="40"/>
    </x:row>
    <x:row r="5" ht="28" customHeight="1">
      <x:c r="A5" s="93" t="n">
        <x:f>SUMIF($E$10:$E$54,"Quantité exportée",$S$10:$S$54)</x:f>
        <x:v>3094.92</x:v>
      </x:c>
      <x:c r="B5" s="47"/>
      <x:c r="C5" s="47"/>
      <x:c r="D5" s="94" t="n">
        <x:f>SUMIF($E$10:$E$54,"Chiffre d'affaires MGA",$S$10:$S$54)</x:f>
        <x:v>17737746840</x:v>
      </x:c>
      <x:c r="E5" s="47"/>
      <x:c r="F5" s="47"/>
      <x:c r="G5" s="94" t="n">
        <x:f>SUMIFS($S$10:$S$54,$A$10:$A$54,"Japon",$E$10:$E$54,"Chiffre d'affaires MGA")</x:f>
        <x:v>5418113635</x:v>
      </x:c>
      <x:c r="H5" s="48"/>
      <x:c r="I5" s="48"/>
      <x:c r="J5" s="94" t="n">
        <x:f>SUMIFS($S$10:$S$54,$A$10:$A$54,"Russie",$E$10:$E$54,"Chiffre d'affaires MGA")</x:f>
        <x:v>6201787445</x:v>
      </x:c>
      <x:c r="K5" s="48"/>
      <x:c r="L5" s="48"/>
      <x:c r="M5" s="94" t="n">
        <x:f>SUMIFS($S$10:$S$54,$A$10:$A$54,"Chine",$E$10:$E$54,"Chiffre d'affaires MGA")</x:f>
        <x:v>6117845760</x:v>
      </x:c>
      <x:c r="N5" s="48"/>
      <x:c r="O5" s="48"/>
      <x:c r="P5" s="48" t="str">
        <x:v>3 pays • JPY / USD</x:v>
      </x:c>
      <x:c r="Q5" s="48"/>
      <x:c r="R5" s="48"/>
      <x:c r="S5" s="48"/>
    </x:row>
    <x:row r="6">
      <x:c r="A6"/>
      <x:c r="B6"/>
      <x:c r="C6"/>
      <x:c r="D6"/>
      <x:c r="E6"/>
      <x:c r="F6"/>
      <x:c r="G6" s="18"/>
      <x:c r="H6" s="18"/>
      <x:c r="I6" s="18"/>
      <x:c r="J6" s="18"/>
      <x:c r="K6" s="18"/>
      <x:c r="L6" s="18"/>
      <x:c r="M6" s="18"/>
      <x:c r="N6" s="18"/>
      <x:c r="O6" s="18"/>
      <x:c r="P6" s="18"/>
      <x:c r="Q6" s="18"/>
      <x:c r="R6" s="18"/>
      <x:c r="S6" s="18"/>
    </x:row>
    <x:row r="7" ht="22" customHeight="1">
      <x:c r="A7" s="53" t="str">
        <x:v>DÉTAIL MENSUEL DES EXPORTATIONS PAR MARCHÉ, REPRÉSENTANT ET PRODUIT</x:v>
      </x:c>
      <x:c r="B7" s="53"/>
      <x:c r="C7" s="53"/>
      <x:c r="D7" s="53"/>
      <x:c r="E7" s="53"/>
      <x:c r="F7" s="53"/>
      <x:c r="G7" s="54"/>
      <x:c r="H7" s="54"/>
      <x:c r="I7" s="54"/>
      <x:c r="J7" s="54"/>
      <x:c r="K7" s="54"/>
      <x:c r="L7" s="54"/>
      <x:c r="M7" s="54"/>
      <x:c r="N7" s="54"/>
      <x:c r="O7" s="54"/>
      <x:c r="P7" s="54"/>
      <x:c r="Q7" s="54"/>
      <x:c r="R7" s="54"/>
      <x:c r="S7" s="54"/>
    </x:row>
    <x:row r="8">
      <x:c r="A8"/>
      <x:c r="B8"/>
      <x:c r="C8"/>
      <x:c r="D8"/>
      <x:c r="E8"/>
      <x:c r="F8"/>
      <x:c r="G8" s="18"/>
      <x:c r="H8" s="18"/>
      <x:c r="I8" s="18"/>
      <x:c r="J8" s="18"/>
      <x:c r="K8" s="18"/>
      <x:c r="L8" s="18"/>
      <x:c r="M8" s="18"/>
      <x:c r="N8" s="18"/>
      <x:c r="O8" s="18"/>
      <x:c r="P8" s="18"/>
      <x:c r="Q8" s="18"/>
      <x:c r="R8" s="18"/>
      <x:c r="S8" s="18"/>
    </x:row>
    <x:row r="9" ht="34" customHeight="1">
      <x:c r="A9" s="63" t="str">
        <x:v>Pays</x:v>
      </x:c>
      <x:c r="B9" s="63" t="str">
        <x:v>Entité représentatrice</x:v>
      </x:c>
      <x:c r="C9" s="63" t="str">
        <x:v>Produit</x:v>
      </x:c>
      <x:c r="D9" s="63" t="str">
        <x:v>Devise</x:v>
      </x:c>
      <x:c r="E9" s="63" t="str">
        <x:v>Indicateur</x:v>
      </x:c>
      <x:c r="F9" s="63" t="str">
        <x:v>Unité</x:v>
      </x:c>
      <x:c r="G9" s="110" t="str">
        <x:v>Janvier</x:v>
      </x:c>
      <x:c r="H9" s="110" t="str">
        <x:v>Février</x:v>
      </x:c>
      <x:c r="I9" s="110" t="str">
        <x:v>Mars</x:v>
      </x:c>
      <x:c r="J9" s="110" t="str">
        <x:v>Avril</x:v>
      </x:c>
      <x:c r="K9" s="110" t="str">
        <x:v>Mai</x:v>
      </x:c>
      <x:c r="L9" s="110" t="str">
        <x:v>Juin</x:v>
      </x:c>
      <x:c r="M9" s="110" t="str">
        <x:v>Juillet</x:v>
      </x:c>
      <x:c r="N9" s="110" t="str">
        <x:v>Août</x:v>
      </x:c>
      <x:c r="O9" s="110" t="str">
        <x:v>Septembre</x:v>
      </x:c>
      <x:c r="P9" s="110" t="str">
        <x:v>Octobre</x:v>
      </x:c>
      <x:c r="Q9" s="110" t="str">
        <x:v>Novembre</x:v>
      </x:c>
      <x:c r="R9" s="110" t="str">
        <x:v>Décembre</x:v>
      </x:c>
      <x:c r="S9" s="110" t="str">
        <x:v>Total annuel</x:v>
      </x:c>
    </x:row>
    <x:row r="10">
      <x:c r="A10" s="95" t="str">
        <x:v>Japon</x:v>
      </x:c>
      <x:c r="B10" s="95" t="str">
        <x:v>GOODEIS</x:v>
      </x:c>
      <x:c r="C10" s="96" t="str">
        <x:v>ABR COUPE</x:v>
      </x:c>
      <x:c r="D10" s="96" t="str">
        <x:v>JPY</x:v>
      </x:c>
      <x:c r="E10" s="96" t="str">
        <x:v>Quantité exportée</x:v>
      </x:c>
      <x:c r="F10" s="96" t="str">
        <x:v>tonnes</x:v>
      </x:c>
      <x:c r="G10" s="111" t="n">
        <x:v>26.98</x:v>
      </x:c>
      <x:c r="H10" s="111" t="n">
        <x:v>20.36</x:v>
      </x:c>
      <x:c r="I10" s="111" t="n">
        <x:v>16.55</x:v>
      </x:c>
      <x:c r="J10" s="111" t="n">
        <x:v>18.41</x:v>
      </x:c>
      <x:c r="K10" s="111" t="n">
        <x:v>16.68</x:v>
      </x:c>
      <x:c r="L10" s="111" t="n">
        <x:v>25.44</x:v>
      </x:c>
      <x:c r="M10" s="111" t="n">
        <x:v>21.5</x:v>
      </x:c>
      <x:c r="N10" s="111" t="n">
        <x:v>25.5</x:v>
      </x:c>
      <x:c r="O10" s="111" t="n">
        <x:v>16.9</x:v>
      </x:c>
      <x:c r="P10" s="111" t="n">
        <x:v>15.88</x:v>
      </x:c>
      <x:c r="Q10" s="111" t="n">
        <x:v>16.83</x:v>
      </x:c>
      <x:c r="R10" s="111" t="n">
        <x:v>25.95</x:v>
      </x:c>
      <x:c r="S10" s="111" t="n">
        <x:v>246.98</x:v>
      </x:c>
    </x:row>
    <x:row r="11">
      <x:c r="A11" s="97" t="str">
        <x:v>Japon</x:v>
      </x:c>
      <x:c r="B11" s="97" t="str">
        <x:v>GOODEIS</x:v>
      </x:c>
      <x:c r="C11" s="98" t="str">
        <x:v>ABR COUPE</x:v>
      </x:c>
      <x:c r="D11" s="98" t="str">
        <x:v>JPY</x:v>
      </x:c>
      <x:c r="E11" s="98" t="str">
        <x:v>Chiffre d'affaires devise</x:v>
      </x:c>
      <x:c r="F11" s="98" t="str">
        <x:v>JPY</x:v>
      </x:c>
      <x:c r="G11" s="112" t="n">
        <x:v>4991300</x:v>
      </x:c>
      <x:c r="H11" s="112" t="n">
        <x:v>3766600</x:v>
      </x:c>
      <x:c r="I11" s="112" t="n">
        <x:v>3061750</x:v>
      </x:c>
      <x:c r="J11" s="112" t="n">
        <x:v>3405850</x:v>
      </x:c>
      <x:c r="K11" s="112" t="n">
        <x:v>3085800</x:v>
      </x:c>
      <x:c r="L11" s="112" t="n">
        <x:v>4706400</x:v>
      </x:c>
      <x:c r="M11" s="112" t="n">
        <x:v>3977500</x:v>
      </x:c>
      <x:c r="N11" s="112" t="n">
        <x:v>4717500</x:v>
      </x:c>
      <x:c r="O11" s="112" t="n">
        <x:v>3126500</x:v>
      </x:c>
      <x:c r="P11" s="112" t="n">
        <x:v>2937800</x:v>
      </x:c>
      <x:c r="Q11" s="112" t="n">
        <x:v>3113550</x:v>
      </x:c>
      <x:c r="R11" s="112" t="n">
        <x:v>4800750</x:v>
      </x:c>
      <x:c r="S11" s="112" t="n">
        <x:v>45691300</x:v>
      </x:c>
    </x:row>
    <x:row r="12">
      <x:c r="A12" s="99" t="str">
        <x:v>Japon</x:v>
      </x:c>
      <x:c r="B12" s="99" t="str">
        <x:v>GOODEIS</x:v>
      </x:c>
      <x:c r="C12" s="99" t="str">
        <x:v>ABR COUPE</x:v>
      </x:c>
      <x:c r="D12" s="99" t="str">
        <x:v>JPY</x:v>
      </x:c>
      <x:c r="E12" s="99" t="str">
        <x:v>Chiffre d'affaires MGA</x:v>
      </x:c>
      <x:c r="F12" s="99" t="str">
        <x:v>MGA</x:v>
      </x:c>
      <x:c r="G12" s="113" t="n">
        <x:v>152234650</x:v>
      </x:c>
      <x:c r="H12" s="113" t="n">
        <x:v>114881300</x:v>
      </x:c>
      <x:c r="I12" s="113" t="n">
        <x:v>93383375</x:v>
      </x:c>
      <x:c r="J12" s="113" t="n">
        <x:v>103878425</x:v>
      </x:c>
      <x:c r="K12" s="113" t="n">
        <x:v>94116900</x:v>
      </x:c>
      <x:c r="L12" s="113" t="n">
        <x:v>143545200</x:v>
      </x:c>
      <x:c r="M12" s="113" t="n">
        <x:v>121313750</x:v>
      </x:c>
      <x:c r="N12" s="113" t="n">
        <x:v>143883750</x:v>
      </x:c>
      <x:c r="O12" s="113" t="n">
        <x:v>95358250</x:v>
      </x:c>
      <x:c r="P12" s="113" t="n">
        <x:v>89602900</x:v>
      </x:c>
      <x:c r="Q12" s="113" t="n">
        <x:v>94963275</x:v>
      </x:c>
      <x:c r="R12" s="113" t="n">
        <x:v>146422875</x:v>
      </x:c>
      <x:c r="S12" s="113" t="n">
        <x:v>1393584650</x:v>
      </x:c>
    </x:row>
    <x:row r="13">
      <x:c r="A13" s="97" t="str">
        <x:v>Japon</x:v>
      </x:c>
      <x:c r="B13" s="97" t="str">
        <x:v>GOODEIS</x:v>
      </x:c>
      <x:c r="C13" s="98" t="str">
        <x:v>FP1 COUPE</x:v>
      </x:c>
      <x:c r="D13" s="98" t="str">
        <x:v>JPY</x:v>
      </x:c>
      <x:c r="E13" s="98" t="str">
        <x:v>Quantité exportée</x:v>
      </x:c>
      <x:c r="F13" s="98" t="str">
        <x:v>tonnes</x:v>
      </x:c>
      <x:c r="G13" s="112" t="n">
        <x:v>18.23</x:v>
      </x:c>
      <x:c r="H13" s="112" t="n">
        <x:v>14.24</x:v>
      </x:c>
      <x:c r="I13" s="112" t="n">
        <x:v>18.92</x:v>
      </x:c>
      <x:c r="J13" s="112" t="n">
        <x:v>14.44</x:v>
      </x:c>
      <x:c r="K13" s="112" t="n">
        <x:v>20.13</x:v>
      </x:c>
      <x:c r="L13" s="112" t="n">
        <x:v>21.29</x:v>
      </x:c>
      <x:c r="M13" s="112" t="n">
        <x:v>17.77</x:v>
      </x:c>
      <x:c r="N13" s="112" t="n">
        <x:v>19.57</x:v>
      </x:c>
      <x:c r="O13" s="112" t="n">
        <x:v>16.22</x:v>
      </x:c>
      <x:c r="P13" s="112" t="n">
        <x:v>17.27</x:v>
      </x:c>
      <x:c r="Q13" s="112" t="n">
        <x:v>15.9</x:v>
      </x:c>
      <x:c r="R13" s="112" t="n">
        <x:v>14.77</x:v>
      </x:c>
      <x:c r="S13" s="112" t="n">
        <x:v>208.75</x:v>
      </x:c>
    </x:row>
    <x:row r="14">
      <x:c r="A14" s="97" t="str">
        <x:v>Japon</x:v>
      </x:c>
      <x:c r="B14" s="97" t="str">
        <x:v>GOODEIS</x:v>
      </x:c>
      <x:c r="C14" s="98" t="str">
        <x:v>FP1 COUPE</x:v>
      </x:c>
      <x:c r="D14" s="98" t="str">
        <x:v>JPY</x:v>
      </x:c>
      <x:c r="E14" s="98" t="str">
        <x:v>Chiffre d'affaires devise</x:v>
      </x:c>
      <x:c r="F14" s="98" t="str">
        <x:v>JPY</x:v>
      </x:c>
      <x:c r="G14" s="112" t="n">
        <x:v>3117330</x:v>
      </x:c>
      <x:c r="H14" s="112" t="n">
        <x:v>2435040</x:v>
      </x:c>
      <x:c r="I14" s="112" t="n">
        <x:v>3235320</x:v>
      </x:c>
      <x:c r="J14" s="112" t="n">
        <x:v>2469240</x:v>
      </x:c>
      <x:c r="K14" s="112" t="n">
        <x:v>3442230</x:v>
      </x:c>
      <x:c r="L14" s="112" t="n">
        <x:v>3640590</x:v>
      </x:c>
      <x:c r="M14" s="112" t="n">
        <x:v>3038670</x:v>
      </x:c>
      <x:c r="N14" s="112" t="n">
        <x:v>3346470</x:v>
      </x:c>
      <x:c r="O14" s="112" t="n">
        <x:v>2773620</x:v>
      </x:c>
      <x:c r="P14" s="112" t="n">
        <x:v>2953170</x:v>
      </x:c>
      <x:c r="Q14" s="112" t="n">
        <x:v>2718900</x:v>
      </x:c>
      <x:c r="R14" s="112" t="n">
        <x:v>2525670</x:v>
      </x:c>
      <x:c r="S14" s="112" t="n">
        <x:v>35696250</x:v>
      </x:c>
    </x:row>
    <x:row r="15">
      <x:c r="A15" s="99" t="str">
        <x:v>Japon</x:v>
      </x:c>
      <x:c r="B15" s="99" t="str">
        <x:v>GOODEIS</x:v>
      </x:c>
      <x:c r="C15" s="99" t="str">
        <x:v>FP1 COUPE</x:v>
      </x:c>
      <x:c r="D15" s="99" t="str">
        <x:v>JPY</x:v>
      </x:c>
      <x:c r="E15" s="99" t="str">
        <x:v>Chiffre d'affaires MGA</x:v>
      </x:c>
      <x:c r="F15" s="99" t="str">
        <x:v>MGA</x:v>
      </x:c>
      <x:c r="G15" s="113" t="n">
        <x:v>95078565</x:v>
      </x:c>
      <x:c r="H15" s="113" t="n">
        <x:v>74268720</x:v>
      </x:c>
      <x:c r="I15" s="113" t="n">
        <x:v>98677260</x:v>
      </x:c>
      <x:c r="J15" s="113" t="n">
        <x:v>75311820</x:v>
      </x:c>
      <x:c r="K15" s="113" t="n">
        <x:v>104988015</x:v>
      </x:c>
      <x:c r="L15" s="113" t="n">
        <x:v>111037995</x:v>
      </x:c>
      <x:c r="M15" s="113" t="n">
        <x:v>92679435</x:v>
      </x:c>
      <x:c r="N15" s="113" t="n">
        <x:v>102067335</x:v>
      </x:c>
      <x:c r="O15" s="113" t="n">
        <x:v>84595410</x:v>
      </x:c>
      <x:c r="P15" s="113" t="n">
        <x:v>90071685</x:v>
      </x:c>
      <x:c r="Q15" s="113" t="n">
        <x:v>82926450</x:v>
      </x:c>
      <x:c r="R15" s="113" t="n">
        <x:v>77032935</x:v>
      </x:c>
      <x:c r="S15" s="113" t="n">
        <x:v>1088735625</x:v>
      </x:c>
    </x:row>
    <x:row r="16">
      <x:c r="A16" s="97" t="str">
        <x:v>Japon</x:v>
      </x:c>
      <x:c r="B16" s="97" t="str">
        <x:v>GOODEIS</x:v>
      </x:c>
      <x:c r="C16" s="98" t="str">
        <x:v>FP2 COUPE</x:v>
      </x:c>
      <x:c r="D16" s="98" t="str">
        <x:v>JPY</x:v>
      </x:c>
      <x:c r="E16" s="98" t="str">
        <x:v>Quantité exportée</x:v>
      </x:c>
      <x:c r="F16" s="98" t="str">
        <x:v>tonnes</x:v>
      </x:c>
      <x:c r="G16" s="112" t="n">
        <x:v>17.69</x:v>
      </x:c>
      <x:c r="H16" s="112" t="n">
        <x:v>18.26</x:v>
      </x:c>
      <x:c r="I16" s="112" t="n">
        <x:v>16.81</x:v>
      </x:c>
      <x:c r="J16" s="112" t="n">
        <x:v>12.01</x:v>
      </x:c>
      <x:c r="K16" s="112" t="n">
        <x:v>13.83</x:v>
      </x:c>
      <x:c r="L16" s="112" t="n">
        <x:v>12.45</x:v>
      </x:c>
      <x:c r="M16" s="112" t="n">
        <x:v>14.83</x:v>
      </x:c>
      <x:c r="N16" s="112" t="n">
        <x:v>16.64</x:v>
      </x:c>
      <x:c r="O16" s="112" t="n">
        <x:v>19.18</x:v>
      </x:c>
      <x:c r="P16" s="112" t="n">
        <x:v>11.88</x:v>
      </x:c>
      <x:c r="Q16" s="112" t="n">
        <x:v>14.27</x:v>
      </x:c>
      <x:c r="R16" s="112" t="n">
        <x:v>18.46</x:v>
      </x:c>
      <x:c r="S16" s="112" t="n">
        <x:v>186.31</x:v>
      </x:c>
    </x:row>
    <x:row r="17">
      <x:c r="A17" s="97" t="str">
        <x:v>Japon</x:v>
      </x:c>
      <x:c r="B17" s="97" t="str">
        <x:v>GOODEIS</x:v>
      </x:c>
      <x:c r="C17" s="98" t="str">
        <x:v>FP2 COUPE</x:v>
      </x:c>
      <x:c r="D17" s="98" t="str">
        <x:v>JPY</x:v>
      </x:c>
      <x:c r="E17" s="98" t="str">
        <x:v>Chiffre d'affaires devise</x:v>
      </x:c>
      <x:c r="F17" s="98" t="str">
        <x:v>JPY</x:v>
      </x:c>
      <x:c r="G17" s="112" t="n">
        <x:v>2918850</x:v>
      </x:c>
      <x:c r="H17" s="112" t="n">
        <x:v>3012900</x:v>
      </x:c>
      <x:c r="I17" s="112" t="n">
        <x:v>2773650</x:v>
      </x:c>
      <x:c r="J17" s="112" t="n">
        <x:v>1981650</x:v>
      </x:c>
      <x:c r="K17" s="112" t="n">
        <x:v>2281950</x:v>
      </x:c>
      <x:c r="L17" s="112" t="n">
        <x:v>2054250</x:v>
      </x:c>
      <x:c r="M17" s="112" t="n">
        <x:v>2446950</x:v>
      </x:c>
      <x:c r="N17" s="112" t="n">
        <x:v>2745600</x:v>
      </x:c>
      <x:c r="O17" s="112" t="n">
        <x:v>3164700</x:v>
      </x:c>
      <x:c r="P17" s="112" t="n">
        <x:v>1960200</x:v>
      </x:c>
      <x:c r="Q17" s="112" t="n">
        <x:v>2354550</x:v>
      </x:c>
      <x:c r="R17" s="112" t="n">
        <x:v>3045900</x:v>
      </x:c>
      <x:c r="S17" s="112" t="n">
        <x:v>30741150</x:v>
      </x:c>
    </x:row>
    <x:row r="18">
      <x:c r="A18" s="99" t="str">
        <x:v>Japon</x:v>
      </x:c>
      <x:c r="B18" s="99" t="str">
        <x:v>GOODEIS</x:v>
      </x:c>
      <x:c r="C18" s="99" t="str">
        <x:v>FP2 COUPE</x:v>
      </x:c>
      <x:c r="D18" s="99" t="str">
        <x:v>JPY</x:v>
      </x:c>
      <x:c r="E18" s="99" t="str">
        <x:v>Chiffre d'affaires MGA</x:v>
      </x:c>
      <x:c r="F18" s="99" t="str">
        <x:v>MGA</x:v>
      </x:c>
      <x:c r="G18" s="113" t="n">
        <x:v>89024925</x:v>
      </x:c>
      <x:c r="H18" s="113" t="n">
        <x:v>91893450</x:v>
      </x:c>
      <x:c r="I18" s="113" t="n">
        <x:v>84596325</x:v>
      </x:c>
      <x:c r="J18" s="113" t="n">
        <x:v>60440325</x:v>
      </x:c>
      <x:c r="K18" s="113" t="n">
        <x:v>69599475</x:v>
      </x:c>
      <x:c r="L18" s="113" t="n">
        <x:v>62654625</x:v>
      </x:c>
      <x:c r="M18" s="113" t="n">
        <x:v>74631975</x:v>
      </x:c>
      <x:c r="N18" s="113" t="n">
        <x:v>83740800</x:v>
      </x:c>
      <x:c r="O18" s="113" t="n">
        <x:v>96523350</x:v>
      </x:c>
      <x:c r="P18" s="113" t="n">
        <x:v>59786100</x:v>
      </x:c>
      <x:c r="Q18" s="113" t="n">
        <x:v>71813775</x:v>
      </x:c>
      <x:c r="R18" s="113" t="n">
        <x:v>92899950</x:v>
      </x:c>
      <x:c r="S18" s="113" t="n">
        <x:v>937605075</x:v>
      </x:c>
    </x:row>
    <x:row r="19">
      <x:c r="A19" s="97" t="str">
        <x:v>Japon</x:v>
      </x:c>
      <x:c r="B19" s="97" t="str">
        <x:v>GOODEIS</x:v>
      </x:c>
      <x:c r="C19" s="98" t="str">
        <x:v>TRA</x:v>
      </x:c>
      <x:c r="D19" s="98" t="str">
        <x:v>JPY</x:v>
      </x:c>
      <x:c r="E19" s="98" t="str">
        <x:v>Quantité exportée</x:v>
      </x:c>
      <x:c r="F19" s="98" t="str">
        <x:v>tonnes</x:v>
      </x:c>
      <x:c r="G19" s="112" t="n">
        <x:v>17.08</x:v>
      </x:c>
      <x:c r="H19" s="112" t="n">
        <x:v>19.28</x:v>
      </x:c>
      <x:c r="I19" s="112" t="n">
        <x:v>23.69</x:v>
      </x:c>
      <x:c r="J19" s="112" t="n">
        <x:v>16.17</x:v>
      </x:c>
      <x:c r="K19" s="112" t="n">
        <x:v>18.62</x:v>
      </x:c>
      <x:c r="L19" s="112" t="n">
        <x:v>24.79</x:v>
      </x:c>
      <x:c r="M19" s="112" t="n">
        <x:v>21.53</x:v>
      </x:c>
      <x:c r="N19" s="112" t="n">
        <x:v>22.55</x:v>
      </x:c>
      <x:c r="O19" s="112" t="n">
        <x:v>20.48</x:v>
      </x:c>
      <x:c r="P19" s="112" t="n">
        <x:v>21.28</x:v>
      </x:c>
      <x:c r="Q19" s="112" t="n">
        <x:v>18.05</x:v>
      </x:c>
      <x:c r="R19" s="112" t="n">
        <x:v>21.47</x:v>
      </x:c>
      <x:c r="S19" s="112" t="n">
        <x:v>244.99</x:v>
      </x:c>
    </x:row>
    <x:row r="20">
      <x:c r="A20" s="97" t="str">
        <x:v>Japon</x:v>
      </x:c>
      <x:c r="B20" s="97" t="str">
        <x:v>GOODEIS</x:v>
      </x:c>
      <x:c r="C20" s="98" t="str">
        <x:v>TRA</x:v>
      </x:c>
      <x:c r="D20" s="98" t="str">
        <x:v>JPY</x:v>
      </x:c>
      <x:c r="E20" s="98" t="str">
        <x:v>Chiffre d'affaires devise</x:v>
      </x:c>
      <x:c r="F20" s="98" t="str">
        <x:v>JPY</x:v>
      </x:c>
      <x:c r="G20" s="112" t="n">
        <x:v>3040240</x:v>
      </x:c>
      <x:c r="H20" s="112" t="n">
        <x:v>3431840</x:v>
      </x:c>
      <x:c r="I20" s="112" t="n">
        <x:v>4216820</x:v>
      </x:c>
      <x:c r="J20" s="112" t="n">
        <x:v>2878260</x:v>
      </x:c>
      <x:c r="K20" s="112" t="n">
        <x:v>3314360</x:v>
      </x:c>
      <x:c r="L20" s="112" t="n">
        <x:v>4412620</x:v>
      </x:c>
      <x:c r="M20" s="112" t="n">
        <x:v>3832340</x:v>
      </x:c>
      <x:c r="N20" s="112" t="n">
        <x:v>4013900</x:v>
      </x:c>
      <x:c r="O20" s="112" t="n">
        <x:v>3645440</x:v>
      </x:c>
      <x:c r="P20" s="112" t="n">
        <x:v>3787840</x:v>
      </x:c>
      <x:c r="Q20" s="112" t="n">
        <x:v>3212900</x:v>
      </x:c>
      <x:c r="R20" s="112" t="n">
        <x:v>3821660</x:v>
      </x:c>
      <x:c r="S20" s="112" t="n">
        <x:v>43608220</x:v>
      </x:c>
    </x:row>
    <x:row r="21">
      <x:c r="A21" s="99" t="str">
        <x:v>Japon</x:v>
      </x:c>
      <x:c r="B21" s="99" t="str">
        <x:v>GOODEIS</x:v>
      </x:c>
      <x:c r="C21" s="99" t="str">
        <x:v>TRA</x:v>
      </x:c>
      <x:c r="D21" s="99" t="str">
        <x:v>JPY</x:v>
      </x:c>
      <x:c r="E21" s="99" t="str">
        <x:v>Chiffre d'affaires MGA</x:v>
      </x:c>
      <x:c r="F21" s="99" t="str">
        <x:v>MGA</x:v>
      </x:c>
      <x:c r="G21" s="113" t="n">
        <x:v>92727320</x:v>
      </x:c>
      <x:c r="H21" s="113" t="n">
        <x:v>104671120</x:v>
      </x:c>
      <x:c r="I21" s="113" t="n">
        <x:v>128613010</x:v>
      </x:c>
      <x:c r="J21" s="113" t="n">
        <x:v>87786930</x:v>
      </x:c>
      <x:c r="K21" s="113" t="n">
        <x:v>101087980</x:v>
      </x:c>
      <x:c r="L21" s="113" t="n">
        <x:v>134584910</x:v>
      </x:c>
      <x:c r="M21" s="113" t="n">
        <x:v>116886370</x:v>
      </x:c>
      <x:c r="N21" s="113" t="n">
        <x:v>122423950</x:v>
      </x:c>
      <x:c r="O21" s="113" t="n">
        <x:v>111185920</x:v>
      </x:c>
      <x:c r="P21" s="113" t="n">
        <x:v>115529120</x:v>
      </x:c>
      <x:c r="Q21" s="113" t="n">
        <x:v>97993450</x:v>
      </x:c>
      <x:c r="R21" s="113" t="n">
        <x:v>116560630</x:v>
      </x:c>
      <x:c r="S21" s="113" t="n">
        <x:v>1330050710</x:v>
      </x:c>
    </x:row>
    <x:row r="22">
      <x:c r="A22" s="97" t="str">
        <x:v>Japon</x:v>
      </x:c>
      <x:c r="B22" s="97" t="str">
        <x:v>GOODEIS</x:v>
      </x:c>
      <x:c r="C22" s="98" t="str">
        <x:v>BSA</x:v>
      </x:c>
      <x:c r="D22" s="98" t="str">
        <x:v>JPY</x:v>
      </x:c>
      <x:c r="E22" s="98" t="str">
        <x:v>Quantité exportée</x:v>
      </x:c>
      <x:c r="F22" s="98" t="str">
        <x:v>tonnes</x:v>
      </x:c>
      <x:c r="G22" s="112" t="n">
        <x:v>11.07</x:v>
      </x:c>
      <x:c r="H22" s="112" t="n">
        <x:v>10.97</x:v>
      </x:c>
      <x:c r="I22" s="112" t="n">
        <x:v>9.46</x:v>
      </x:c>
      <x:c r="J22" s="112" t="n">
        <x:v>9.93</x:v>
      </x:c>
      <x:c r="K22" s="112" t="n">
        <x:v>12.15</x:v>
      </x:c>
      <x:c r="L22" s="112" t="n">
        <x:v>14.06</x:v>
      </x:c>
      <x:c r="M22" s="112" t="n">
        <x:v>9.35</x:v>
      </x:c>
      <x:c r="N22" s="112" t="n">
        <x:v>12.71</x:v>
      </x:c>
      <x:c r="O22" s="112" t="n">
        <x:v>11.77</x:v>
      </x:c>
      <x:c r="P22" s="112" t="n">
        <x:v>13.79</x:v>
      </x:c>
      <x:c r="Q22" s="112" t="n">
        <x:v>12.49</x:v>
      </x:c>
      <x:c r="R22" s="112" t="n">
        <x:v>13.58</x:v>
      </x:c>
      <x:c r="S22" s="112" t="n">
        <x:v>141.33</x:v>
      </x:c>
    </x:row>
    <x:row r="23">
      <x:c r="A23" s="97" t="str">
        <x:v>Japon</x:v>
      </x:c>
      <x:c r="B23" s="97" t="str">
        <x:v>GOODEIS</x:v>
      </x:c>
      <x:c r="C23" s="98" t="str">
        <x:v>BSA</x:v>
      </x:c>
      <x:c r="D23" s="98" t="str">
        <x:v>JPY</x:v>
      </x:c>
      <x:c r="E23" s="98" t="str">
        <x:v>Chiffre d'affaires devise</x:v>
      </x:c>
      <x:c r="F23" s="98" t="str">
        <x:v>JPY</x:v>
      </x:c>
      <x:c r="G23" s="112" t="n">
        <x:v>1715850</x:v>
      </x:c>
      <x:c r="H23" s="112" t="n">
        <x:v>1700350</x:v>
      </x:c>
      <x:c r="I23" s="112" t="n">
        <x:v>1466300</x:v>
      </x:c>
      <x:c r="J23" s="112" t="n">
        <x:v>1539150</x:v>
      </x:c>
      <x:c r="K23" s="112" t="n">
        <x:v>1883250</x:v>
      </x:c>
      <x:c r="L23" s="112" t="n">
        <x:v>2179300</x:v>
      </x:c>
      <x:c r="M23" s="112" t="n">
        <x:v>1449250</x:v>
      </x:c>
      <x:c r="N23" s="112" t="n">
        <x:v>1970050</x:v>
      </x:c>
      <x:c r="O23" s="112" t="n">
        <x:v>1824350</x:v>
      </x:c>
      <x:c r="P23" s="112" t="n">
        <x:v>2137450</x:v>
      </x:c>
      <x:c r="Q23" s="112" t="n">
        <x:v>1935950</x:v>
      </x:c>
      <x:c r="R23" s="112" t="n">
        <x:v>2104900</x:v>
      </x:c>
      <x:c r="S23" s="112" t="n">
        <x:v>21906150</x:v>
      </x:c>
    </x:row>
    <x:row r="24">
      <x:c r="A24" s="99" t="str">
        <x:v>Japon</x:v>
      </x:c>
      <x:c r="B24" s="99" t="str">
        <x:v>GOODEIS</x:v>
      </x:c>
      <x:c r="C24" s="99" t="str">
        <x:v>BSA</x:v>
      </x:c>
      <x:c r="D24" s="99" t="str">
        <x:v>JPY</x:v>
      </x:c>
      <x:c r="E24" s="99" t="str">
        <x:v>Chiffre d'affaires MGA</x:v>
      </x:c>
      <x:c r="F24" s="99" t="str">
        <x:v>MGA</x:v>
      </x:c>
      <x:c r="G24" s="113" t="n">
        <x:v>52333425</x:v>
      </x:c>
      <x:c r="H24" s="113" t="n">
        <x:v>51860675</x:v>
      </x:c>
      <x:c r="I24" s="113" t="n">
        <x:v>44722150</x:v>
      </x:c>
      <x:c r="J24" s="113" t="n">
        <x:v>46944075</x:v>
      </x:c>
      <x:c r="K24" s="113" t="n">
        <x:v>57439125</x:v>
      </x:c>
      <x:c r="L24" s="113" t="n">
        <x:v>66468650</x:v>
      </x:c>
      <x:c r="M24" s="113" t="n">
        <x:v>44202125</x:v>
      </x:c>
      <x:c r="N24" s="113" t="n">
        <x:v>60086525</x:v>
      </x:c>
      <x:c r="O24" s="113" t="n">
        <x:v>55642675</x:v>
      </x:c>
      <x:c r="P24" s="113" t="n">
        <x:v>65192225</x:v>
      </x:c>
      <x:c r="Q24" s="113" t="n">
        <x:v>59046475</x:v>
      </x:c>
      <x:c r="R24" s="113" t="n">
        <x:v>64199450</x:v>
      </x:c>
      <x:c r="S24" s="113" t="n">
        <x:v>668137575</x:v>
      </x:c>
    </x:row>
    <x:row r="25">
      <x:c r="A25" s="100" t="str">
        <x:v>Russie</x:v>
      </x:c>
      <x:c r="B25" s="100" t="str">
        <x:v>ELINAR</x:v>
      </x:c>
      <x:c r="C25" s="101" t="str">
        <x:v>ABR COUPE</x:v>
      </x:c>
      <x:c r="D25" s="101" t="str">
        <x:v>USD</x:v>
      </x:c>
      <x:c r="E25" s="101" t="str">
        <x:v>Quantité exportée</x:v>
      </x:c>
      <x:c r="F25" s="101" t="str">
        <x:v>tonnes</x:v>
      </x:c>
      <x:c r="G25" s="114" t="n">
        <x:v>27.77</x:v>
      </x:c>
      <x:c r="H25" s="114" t="n">
        <x:v>21.84</x:v>
      </x:c>
      <x:c r="I25" s="114" t="n">
        <x:v>27.29</x:v>
      </x:c>
      <x:c r="J25" s="114" t="n">
        <x:v>19.78</x:v>
      </x:c>
      <x:c r="K25" s="114" t="n">
        <x:v>23.42</x:v>
      </x:c>
      <x:c r="L25" s="114" t="n">
        <x:v>18.77</x:v>
      </x:c>
      <x:c r="M25" s="114" t="n">
        <x:v>17.97</x:v>
      </x:c>
      <x:c r="N25" s="114" t="n">
        <x:v>18.58</x:v>
      </x:c>
      <x:c r="O25" s="114" t="n">
        <x:v>25.58</x:v>
      </x:c>
      <x:c r="P25" s="114" t="n">
        <x:v>27.23</x:v>
      </x:c>
      <x:c r="Q25" s="114" t="n">
        <x:v>16.17</x:v>
      </x:c>
      <x:c r="R25" s="114" t="n">
        <x:v>21.51</x:v>
      </x:c>
      <x:c r="S25" s="114" t="n">
        <x:v>265.91</x:v>
      </x:c>
    </x:row>
    <x:row r="26">
      <x:c r="A26" s="102" t="str">
        <x:v>Russie</x:v>
      </x:c>
      <x:c r="B26" s="102" t="str">
        <x:v>ELINAR</x:v>
      </x:c>
      <x:c r="C26" s="103" t="str">
        <x:v>ABR COUPE</x:v>
      </x:c>
      <x:c r="D26" s="103" t="str">
        <x:v>USD</x:v>
      </x:c>
      <x:c r="E26" s="103" t="str">
        <x:v>Chiffre d'affaires devise</x:v>
      </x:c>
      <x:c r="F26" s="103" t="str">
        <x:v>USD</x:v>
      </x:c>
      <x:c r="G26" s="115" t="n">
        <x:v>40266.5</x:v>
      </x:c>
      <x:c r="H26" s="115" t="n">
        <x:v>31668</x:v>
      </x:c>
      <x:c r="I26" s="115" t="n">
        <x:v>39570.5</x:v>
      </x:c>
      <x:c r="J26" s="115" t="n">
        <x:v>28681</x:v>
      </x:c>
      <x:c r="K26" s="115" t="n">
        <x:v>33959</x:v>
      </x:c>
      <x:c r="L26" s="115" t="n">
        <x:v>27216.5</x:v>
      </x:c>
      <x:c r="M26" s="115" t="n">
        <x:v>26056.5</x:v>
      </x:c>
      <x:c r="N26" s="115" t="n">
        <x:v>26941</x:v>
      </x:c>
      <x:c r="O26" s="115" t="n">
        <x:v>37091</x:v>
      </x:c>
      <x:c r="P26" s="115" t="n">
        <x:v>39483.5</x:v>
      </x:c>
      <x:c r="Q26" s="115" t="n">
        <x:v>23446.5</x:v>
      </x:c>
      <x:c r="R26" s="115" t="n">
        <x:v>31189.5</x:v>
      </x:c>
      <x:c r="S26" s="115" t="n">
        <x:v>385569.5</x:v>
      </x:c>
    </x:row>
    <x:row r="27">
      <x:c r="A27" s="104" t="str">
        <x:v>Russie</x:v>
      </x:c>
      <x:c r="B27" s="104" t="str">
        <x:v>ELINAR</x:v>
      </x:c>
      <x:c r="C27" s="104" t="str">
        <x:v>ABR COUPE</x:v>
      </x:c>
      <x:c r="D27" s="104" t="str">
        <x:v>USD</x:v>
      </x:c>
      <x:c r="E27" s="104" t="str">
        <x:v>Chiffre d'affaires MGA</x:v>
      </x:c>
      <x:c r="F27" s="104" t="str">
        <x:v>MGA</x:v>
      </x:c>
      <x:c r="G27" s="116" t="n">
        <x:v>179185925</x:v>
      </x:c>
      <x:c r="H27" s="116" t="n">
        <x:v>140922600</x:v>
      </x:c>
      <x:c r="I27" s="116" t="n">
        <x:v>176088725</x:v>
      </x:c>
      <x:c r="J27" s="116" t="n">
        <x:v>127630450</x:v>
      </x:c>
      <x:c r="K27" s="116" t="n">
        <x:v>151117550</x:v>
      </x:c>
      <x:c r="L27" s="116" t="n">
        <x:v>121113425</x:v>
      </x:c>
      <x:c r="M27" s="116" t="n">
        <x:v>115951425</x:v>
      </x:c>
      <x:c r="N27" s="116" t="n">
        <x:v>119887450</x:v>
      </x:c>
      <x:c r="O27" s="116" t="n">
        <x:v>165054950</x:v>
      </x:c>
      <x:c r="P27" s="116" t="n">
        <x:v>175701575</x:v>
      </x:c>
      <x:c r="Q27" s="116" t="n">
        <x:v>104336925</x:v>
      </x:c>
      <x:c r="R27" s="116" t="n">
        <x:v>138793275</x:v>
      </x:c>
      <x:c r="S27" s="116" t="n">
        <x:v>1715784275</x:v>
      </x:c>
    </x:row>
    <x:row r="28">
      <x:c r="A28" s="102" t="str">
        <x:v>Russie</x:v>
      </x:c>
      <x:c r="B28" s="102" t="str">
        <x:v>ELINAR</x:v>
      </x:c>
      <x:c r="C28" s="103" t="str">
        <x:v>FP1 COUPE</x:v>
      </x:c>
      <x:c r="D28" s="103" t="str">
        <x:v>USD</x:v>
      </x:c>
      <x:c r="E28" s="103" t="str">
        <x:v>Quantité exportée</x:v>
      </x:c>
      <x:c r="F28" s="103" t="str">
        <x:v>tonnes</x:v>
      </x:c>
      <x:c r="G28" s="115" t="n">
        <x:v>17.13</x:v>
      </x:c>
      <x:c r="H28" s="115" t="n">
        <x:v>12.66</x:v>
      </x:c>
      <x:c r="I28" s="115" t="n">
        <x:v>19.32</x:v>
      </x:c>
      <x:c r="J28" s="115" t="n">
        <x:v>13.79</x:v>
      </x:c>
      <x:c r="K28" s="115" t="n">
        <x:v>20.93</x:v>
      </x:c>
      <x:c r="L28" s="115" t="n">
        <x:v>17.73</x:v>
      </x:c>
      <x:c r="M28" s="115" t="n">
        <x:v>14.43</x:v>
      </x:c>
      <x:c r="N28" s="115" t="n">
        <x:v>17.65</x:v>
      </x:c>
      <x:c r="O28" s="115" t="n">
        <x:v>18.74</x:v>
      </x:c>
      <x:c r="P28" s="115" t="n">
        <x:v>16.4</x:v>
      </x:c>
      <x:c r="Q28" s="115" t="n">
        <x:v>18.21</x:v>
      </x:c>
      <x:c r="R28" s="115" t="n">
        <x:v>19.73</x:v>
      </x:c>
      <x:c r="S28" s="115" t="n">
        <x:v>206.72</x:v>
      </x:c>
    </x:row>
    <x:row r="29">
      <x:c r="A29" s="102" t="str">
        <x:v>Russie</x:v>
      </x:c>
      <x:c r="B29" s="102" t="str">
        <x:v>ELINAR</x:v>
      </x:c>
      <x:c r="C29" s="103" t="str">
        <x:v>FP1 COUPE</x:v>
      </x:c>
      <x:c r="D29" s="103" t="str">
        <x:v>USD</x:v>
      </x:c>
      <x:c r="E29" s="103" t="str">
        <x:v>Chiffre d'affaires devise</x:v>
      </x:c>
      <x:c r="F29" s="103" t="str">
        <x:v>USD</x:v>
      </x:c>
      <x:c r="G29" s="115" t="n">
        <x:v>22611.6</x:v>
      </x:c>
      <x:c r="H29" s="115" t="n">
        <x:v>16711.2</x:v>
      </x:c>
      <x:c r="I29" s="115" t="n">
        <x:v>25502.4</x:v>
      </x:c>
      <x:c r="J29" s="115" t="n">
        <x:v>18202.8</x:v>
      </x:c>
      <x:c r="K29" s="115" t="n">
        <x:v>27627.6</x:v>
      </x:c>
      <x:c r="L29" s="115" t="n">
        <x:v>23403.6</x:v>
      </x:c>
      <x:c r="M29" s="115" t="n">
        <x:v>19047.6</x:v>
      </x:c>
      <x:c r="N29" s="115" t="n">
        <x:v>23298</x:v>
      </x:c>
      <x:c r="O29" s="115" t="n">
        <x:v>24736.8</x:v>
      </x:c>
      <x:c r="P29" s="115" t="n">
        <x:v>21648</x:v>
      </x:c>
      <x:c r="Q29" s="115" t="n">
        <x:v>24037.2</x:v>
      </x:c>
      <x:c r="R29" s="115" t="n">
        <x:v>26043.6</x:v>
      </x:c>
      <x:c r="S29" s="115" t="n">
        <x:v>272870.4</x:v>
      </x:c>
    </x:row>
    <x:row r="30">
      <x:c r="A30" s="104" t="str">
        <x:v>Russie</x:v>
      </x:c>
      <x:c r="B30" s="104" t="str">
        <x:v>ELINAR</x:v>
      </x:c>
      <x:c r="C30" s="104" t="str">
        <x:v>FP1 COUPE</x:v>
      </x:c>
      <x:c r="D30" s="104" t="str">
        <x:v>USD</x:v>
      </x:c>
      <x:c r="E30" s="104" t="str">
        <x:v>Chiffre d'affaires MGA</x:v>
      </x:c>
      <x:c r="F30" s="104" t="str">
        <x:v>MGA</x:v>
      </x:c>
      <x:c r="G30" s="116" t="n">
        <x:v>100621620</x:v>
      </x:c>
      <x:c r="H30" s="116" t="n">
        <x:v>74364840</x:v>
      </x:c>
      <x:c r="I30" s="116" t="n">
        <x:v>113485680</x:v>
      </x:c>
      <x:c r="J30" s="116" t="n">
        <x:v>81002460</x:v>
      </x:c>
      <x:c r="K30" s="116" t="n">
        <x:v>122942820</x:v>
      </x:c>
      <x:c r="L30" s="116" t="n">
        <x:v>104146020</x:v>
      </x:c>
      <x:c r="M30" s="116" t="n">
        <x:v>84761820</x:v>
      </x:c>
      <x:c r="N30" s="116" t="n">
        <x:v>103676100</x:v>
      </x:c>
      <x:c r="O30" s="116" t="n">
        <x:v>110078760</x:v>
      </x:c>
      <x:c r="P30" s="116" t="n">
        <x:v>96333600</x:v>
      </x:c>
      <x:c r="Q30" s="116" t="n">
        <x:v>106965540</x:v>
      </x:c>
      <x:c r="R30" s="116" t="n">
        <x:v>115894020</x:v>
      </x:c>
      <x:c r="S30" s="116" t="n">
        <x:v>1214273280</x:v>
      </x:c>
    </x:row>
    <x:row r="31">
      <x:c r="A31" s="102" t="str">
        <x:v>Russie</x:v>
      </x:c>
      <x:c r="B31" s="102" t="str">
        <x:v>ELINAR</x:v>
      </x:c>
      <x:c r="C31" s="103" t="str">
        <x:v>FP2 COUPE</x:v>
      </x:c>
      <x:c r="D31" s="103" t="str">
        <x:v>USD</x:v>
      </x:c>
      <x:c r="E31" s="103" t="str">
        <x:v>Quantité exportée</x:v>
      </x:c>
      <x:c r="F31" s="103" t="str">
        <x:v>tonnes</x:v>
      </x:c>
      <x:c r="G31" s="115" t="n">
        <x:v>14.67</x:v>
      </x:c>
      <x:c r="H31" s="115" t="n">
        <x:v>15.16</x:v>
      </x:c>
      <x:c r="I31" s="115" t="n">
        <x:v>16.67</x:v>
      </x:c>
      <x:c r="J31" s="115" t="n">
        <x:v>14.66</x:v>
      </x:c>
      <x:c r="K31" s="115" t="n">
        <x:v>15.19</x:v>
      </x:c>
      <x:c r="L31" s="115" t="n">
        <x:v>13.32</x:v>
      </x:c>
      <x:c r="M31" s="115" t="n">
        <x:v>18.69</x:v>
      </x:c>
      <x:c r="N31" s="115" t="n">
        <x:v>18.89</x:v>
      </x:c>
      <x:c r="O31" s="115" t="n">
        <x:v>12.49</x:v>
      </x:c>
      <x:c r="P31" s="115" t="n">
        <x:v>14.8</x:v>
      </x:c>
      <x:c r="Q31" s="115" t="n">
        <x:v>12.51</x:v>
      </x:c>
      <x:c r="R31" s="115" t="n">
        <x:v>13.17</x:v>
      </x:c>
      <x:c r="S31" s="115" t="n">
        <x:v>180.22</x:v>
      </x:c>
    </x:row>
    <x:row r="32">
      <x:c r="A32" s="102" t="str">
        <x:v>Russie</x:v>
      </x:c>
      <x:c r="B32" s="102" t="str">
        <x:v>ELINAR</x:v>
      </x:c>
      <x:c r="C32" s="103" t="str">
        <x:v>FP2 COUPE</x:v>
      </x:c>
      <x:c r="D32" s="103" t="str">
        <x:v>USD</x:v>
      </x:c>
      <x:c r="E32" s="103" t="str">
        <x:v>Chiffre d'affaires devise</x:v>
      </x:c>
      <x:c r="F32" s="103" t="str">
        <x:v>USD</x:v>
      </x:c>
      <x:c r="G32" s="115" t="n">
        <x:v>18630.9</x:v>
      </x:c>
      <x:c r="H32" s="115" t="n">
        <x:v>19253.2</x:v>
      </x:c>
      <x:c r="I32" s="115" t="n">
        <x:v>21170.9</x:v>
      </x:c>
      <x:c r="J32" s="115" t="n">
        <x:v>18618.2</x:v>
      </x:c>
      <x:c r="K32" s="115" t="n">
        <x:v>19291.3</x:v>
      </x:c>
      <x:c r="L32" s="115" t="n">
        <x:v>16916.4</x:v>
      </x:c>
      <x:c r="M32" s="115" t="n">
        <x:v>23736.3</x:v>
      </x:c>
      <x:c r="N32" s="115" t="n">
        <x:v>23990.3</x:v>
      </x:c>
      <x:c r="O32" s="115" t="n">
        <x:v>15862.3</x:v>
      </x:c>
      <x:c r="P32" s="115" t="n">
        <x:v>18796</x:v>
      </x:c>
      <x:c r="Q32" s="115" t="n">
        <x:v>15887.7</x:v>
      </x:c>
      <x:c r="R32" s="115" t="n">
        <x:v>16725.9</x:v>
      </x:c>
      <x:c r="S32" s="115" t="n">
        <x:v>228879.4</x:v>
      </x:c>
    </x:row>
    <x:row r="33">
      <x:c r="A33" s="104" t="str">
        <x:v>Russie</x:v>
      </x:c>
      <x:c r="B33" s="104" t="str">
        <x:v>ELINAR</x:v>
      </x:c>
      <x:c r="C33" s="104" t="str">
        <x:v>FP2 COUPE</x:v>
      </x:c>
      <x:c r="D33" s="104" t="str">
        <x:v>USD</x:v>
      </x:c>
      <x:c r="E33" s="104" t="str">
        <x:v>Chiffre d'affaires MGA</x:v>
      </x:c>
      <x:c r="F33" s="104" t="str">
        <x:v>MGA</x:v>
      </x:c>
      <x:c r="G33" s="116" t="n">
        <x:v>82907505</x:v>
      </x:c>
      <x:c r="H33" s="116" t="n">
        <x:v>85676740</x:v>
      </x:c>
      <x:c r="I33" s="116" t="n">
        <x:v>94210505</x:v>
      </x:c>
      <x:c r="J33" s="116" t="n">
        <x:v>82850990</x:v>
      </x:c>
      <x:c r="K33" s="116" t="n">
        <x:v>85846285</x:v>
      </x:c>
      <x:c r="L33" s="116" t="n">
        <x:v>75277980</x:v>
      </x:c>
      <x:c r="M33" s="116" t="n">
        <x:v>105626535</x:v>
      </x:c>
      <x:c r="N33" s="116" t="n">
        <x:v>106756835</x:v>
      </x:c>
      <x:c r="O33" s="116" t="n">
        <x:v>70587235</x:v>
      </x:c>
      <x:c r="P33" s="116" t="n">
        <x:v>83642200</x:v>
      </x:c>
      <x:c r="Q33" s="116" t="n">
        <x:v>70700265</x:v>
      </x:c>
      <x:c r="R33" s="116" t="n">
        <x:v>74430255</x:v>
      </x:c>
      <x:c r="S33" s="116" t="n">
        <x:v>1018513330</x:v>
      </x:c>
    </x:row>
    <x:row r="34">
      <x:c r="A34" s="102" t="str">
        <x:v>Russie</x:v>
      </x:c>
      <x:c r="B34" s="102" t="str">
        <x:v>ELINAR</x:v>
      </x:c>
      <x:c r="C34" s="103" t="str">
        <x:v>TRA</x:v>
      </x:c>
      <x:c r="D34" s="103" t="str">
        <x:v>USD</x:v>
      </x:c>
      <x:c r="E34" s="103" t="str">
        <x:v>Quantité exportée</x:v>
      </x:c>
      <x:c r="F34" s="103" t="str">
        <x:v>tonnes</x:v>
      </x:c>
      <x:c r="G34" s="115" t="n">
        <x:v>19.18</x:v>
      </x:c>
      <x:c r="H34" s="115" t="n">
        <x:v>25.19</x:v>
      </x:c>
      <x:c r="I34" s="115" t="n">
        <x:v>16.03</x:v>
      </x:c>
      <x:c r="J34" s="115" t="n">
        <x:v>21.7</x:v>
      </x:c>
      <x:c r="K34" s="115" t="n">
        <x:v>19.09</x:v>
      </x:c>
      <x:c r="L34" s="115" t="n">
        <x:v>17.42</x:v>
      </x:c>
      <x:c r="M34" s="115" t="n">
        <x:v>22.46</x:v>
      </x:c>
      <x:c r="N34" s="115" t="n">
        <x:v>23.18</x:v>
      </x:c>
      <x:c r="O34" s="115" t="n">
        <x:v>16.12</x:v>
      </x:c>
      <x:c r="P34" s="115" t="n">
        <x:v>15.33</x:v>
      </x:c>
      <x:c r="Q34" s="115" t="n">
        <x:v>25.26</x:v>
      </x:c>
      <x:c r="R34" s="115" t="n">
        <x:v>20.56</x:v>
      </x:c>
      <x:c r="S34" s="115" t="n">
        <x:v>241.52</x:v>
      </x:c>
    </x:row>
    <x:row r="35">
      <x:c r="A35" s="102" t="str">
        <x:v>Russie</x:v>
      </x:c>
      <x:c r="B35" s="102" t="str">
        <x:v>ELINAR</x:v>
      </x:c>
      <x:c r="C35" s="103" t="str">
        <x:v>TRA</x:v>
      </x:c>
      <x:c r="D35" s="103" t="str">
        <x:v>USD</x:v>
      </x:c>
      <x:c r="E35" s="103" t="str">
        <x:v>Chiffre d'affaires devise</x:v>
      </x:c>
      <x:c r="F35" s="103" t="str">
        <x:v>USD</x:v>
      </x:c>
      <x:c r="G35" s="115" t="n">
        <x:v>26660.2</x:v>
      </x:c>
      <x:c r="H35" s="115" t="n">
        <x:v>35014.1</x:v>
      </x:c>
      <x:c r="I35" s="115" t="n">
        <x:v>22281.7</x:v>
      </x:c>
      <x:c r="J35" s="115" t="n">
        <x:v>30163</x:v>
      </x:c>
      <x:c r="K35" s="115" t="n">
        <x:v>26535.1</x:v>
      </x:c>
      <x:c r="L35" s="115" t="n">
        <x:v>24213.8</x:v>
      </x:c>
      <x:c r="M35" s="115" t="n">
        <x:v>31219.4</x:v>
      </x:c>
      <x:c r="N35" s="115" t="n">
        <x:v>32220.2</x:v>
      </x:c>
      <x:c r="O35" s="115" t="n">
        <x:v>22406.8</x:v>
      </x:c>
      <x:c r="P35" s="115" t="n">
        <x:v>21308.7</x:v>
      </x:c>
      <x:c r="Q35" s="115" t="n">
        <x:v>35111.4</x:v>
      </x:c>
      <x:c r="R35" s="115" t="n">
        <x:v>28578.4</x:v>
      </x:c>
      <x:c r="S35" s="115" t="n">
        <x:v>335712.8</x:v>
      </x:c>
    </x:row>
    <x:row r="36">
      <x:c r="A36" s="104" t="str">
        <x:v>Russie</x:v>
      </x:c>
      <x:c r="B36" s="104" t="str">
        <x:v>ELINAR</x:v>
      </x:c>
      <x:c r="C36" s="104" t="str">
        <x:v>TRA</x:v>
      </x:c>
      <x:c r="D36" s="104" t="str">
        <x:v>USD</x:v>
      </x:c>
      <x:c r="E36" s="104" t="str">
        <x:v>Chiffre d'affaires MGA</x:v>
      </x:c>
      <x:c r="F36" s="104" t="str">
        <x:v>MGA</x:v>
      </x:c>
      <x:c r="G36" s="116" t="n">
        <x:v>118637890</x:v>
      </x:c>
      <x:c r="H36" s="116" t="n">
        <x:v>155812745</x:v>
      </x:c>
      <x:c r="I36" s="116" t="n">
        <x:v>99153565</x:v>
      </x:c>
      <x:c r="J36" s="116" t="n">
        <x:v>134225350</x:v>
      </x:c>
      <x:c r="K36" s="116" t="n">
        <x:v>118081195</x:v>
      </x:c>
      <x:c r="L36" s="116" t="n">
        <x:v>107751410</x:v>
      </x:c>
      <x:c r="M36" s="116" t="n">
        <x:v>138926330</x:v>
      </x:c>
      <x:c r="N36" s="116" t="n">
        <x:v>143379890</x:v>
      </x:c>
      <x:c r="O36" s="116" t="n">
        <x:v>99710260</x:v>
      </x:c>
      <x:c r="P36" s="116" t="n">
        <x:v>94823715</x:v>
      </x:c>
      <x:c r="Q36" s="116" t="n">
        <x:v>156245730</x:v>
      </x:c>
      <x:c r="R36" s="116" t="n">
        <x:v>127173880</x:v>
      </x:c>
      <x:c r="S36" s="116" t="n">
        <x:v>1493921960</x:v>
      </x:c>
    </x:row>
    <x:row r="37">
      <x:c r="A37" s="102" t="str">
        <x:v>Russie</x:v>
      </x:c>
      <x:c r="B37" s="102" t="str">
        <x:v>ELINAR</x:v>
      </x:c>
      <x:c r="C37" s="103" t="str">
        <x:v>BSA</x:v>
      </x:c>
      <x:c r="D37" s="103" t="str">
        <x:v>USD</x:v>
      </x:c>
      <x:c r="E37" s="103" t="str">
        <x:v>Quantité exportée</x:v>
      </x:c>
      <x:c r="F37" s="103" t="str">
        <x:v>tonnes</x:v>
      </x:c>
      <x:c r="G37" s="115" t="n">
        <x:v>12.62</x:v>
      </x:c>
      <x:c r="H37" s="115" t="n">
        <x:v>11.98</x:v>
      </x:c>
      <x:c r="I37" s="115" t="n">
        <x:v>10.11</x:v>
      </x:c>
      <x:c r="J37" s="115" t="n">
        <x:v>14.04</x:v>
      </x:c>
      <x:c r="K37" s="115" t="n">
        <x:v>13.66</x:v>
      </x:c>
      <x:c r="L37" s="115" t="n">
        <x:v>9.69</x:v>
      </x:c>
      <x:c r="M37" s="115" t="n">
        <x:v>10.37</x:v>
      </x:c>
      <x:c r="N37" s="115" t="n">
        <x:v>9.66</x:v>
      </x:c>
      <x:c r="O37" s="115" t="n">
        <x:v>15.09</x:v>
      </x:c>
      <x:c r="P37" s="115" t="n">
        <x:v>12.24</x:v>
      </x:c>
      <x:c r="Q37" s="115" t="n">
        <x:v>10.73</x:v>
      </x:c>
      <x:c r="R37" s="115" t="n">
        <x:v>14.41</x:v>
      </x:c>
      <x:c r="S37" s="115" t="n">
        <x:v>144.6</x:v>
      </x:c>
    </x:row>
    <x:row r="38">
      <x:c r="A38" s="102" t="str">
        <x:v>Russie</x:v>
      </x:c>
      <x:c r="B38" s="102" t="str">
        <x:v>ELINAR</x:v>
      </x:c>
      <x:c r="C38" s="103" t="str">
        <x:v>BSA</x:v>
      </x:c>
      <x:c r="D38" s="103" t="str">
        <x:v>USD</x:v>
      </x:c>
      <x:c r="E38" s="103" t="str">
        <x:v>Chiffre d'affaires devise</x:v>
      </x:c>
      <x:c r="F38" s="103" t="str">
        <x:v>USD</x:v>
      </x:c>
      <x:c r="G38" s="115" t="n">
        <x:v>14891.6</x:v>
      </x:c>
      <x:c r="H38" s="115" t="n">
        <x:v>14136.4</x:v>
      </x:c>
      <x:c r="I38" s="115" t="n">
        <x:v>11929.8</x:v>
      </x:c>
      <x:c r="J38" s="115" t="n">
        <x:v>16567.2</x:v>
      </x:c>
      <x:c r="K38" s="115" t="n">
        <x:v>16118.8</x:v>
      </x:c>
      <x:c r="L38" s="115" t="n">
        <x:v>11434.2</x:v>
      </x:c>
      <x:c r="M38" s="115" t="n">
        <x:v>12236.6</x:v>
      </x:c>
      <x:c r="N38" s="115" t="n">
        <x:v>11398.8</x:v>
      </x:c>
      <x:c r="O38" s="115" t="n">
        <x:v>17806.2</x:v>
      </x:c>
      <x:c r="P38" s="115" t="n">
        <x:v>14443.2</x:v>
      </x:c>
      <x:c r="Q38" s="115" t="n">
        <x:v>12661.4</x:v>
      </x:c>
      <x:c r="R38" s="115" t="n">
        <x:v>17003.8</x:v>
      </x:c>
      <x:c r="S38" s="115" t="n">
        <x:v>170628</x:v>
      </x:c>
    </x:row>
    <x:row r="39">
      <x:c r="A39" s="104" t="str">
        <x:v>Russie</x:v>
      </x:c>
      <x:c r="B39" s="104" t="str">
        <x:v>ELINAR</x:v>
      </x:c>
      <x:c r="C39" s="104" t="str">
        <x:v>BSA</x:v>
      </x:c>
      <x:c r="D39" s="104" t="str">
        <x:v>USD</x:v>
      </x:c>
      <x:c r="E39" s="104" t="str">
        <x:v>Chiffre d'affaires MGA</x:v>
      </x:c>
      <x:c r="F39" s="104" t="str">
        <x:v>MGA</x:v>
      </x:c>
      <x:c r="G39" s="116" t="n">
        <x:v>66267620</x:v>
      </x:c>
      <x:c r="H39" s="116" t="n">
        <x:v>62906980</x:v>
      </x:c>
      <x:c r="I39" s="116" t="n">
        <x:v>53087610</x:v>
      </x:c>
      <x:c r="J39" s="116" t="n">
        <x:v>73724040</x:v>
      </x:c>
      <x:c r="K39" s="116" t="n">
        <x:v>71728660</x:v>
      </x:c>
      <x:c r="L39" s="116" t="n">
        <x:v>50882190</x:v>
      </x:c>
      <x:c r="M39" s="116" t="n">
        <x:v>54452870</x:v>
      </x:c>
      <x:c r="N39" s="116" t="n">
        <x:v>50724660</x:v>
      </x:c>
      <x:c r="O39" s="116" t="n">
        <x:v>79237590</x:v>
      </x:c>
      <x:c r="P39" s="116" t="n">
        <x:v>64272240</x:v>
      </x:c>
      <x:c r="Q39" s="116" t="n">
        <x:v>56343230</x:v>
      </x:c>
      <x:c r="R39" s="116" t="n">
        <x:v>75666910</x:v>
      </x:c>
      <x:c r="S39" s="116" t="n">
        <x:v>759294600</x:v>
      </x:c>
    </x:row>
    <x:row r="40">
      <x:c r="A40" s="105" t="str">
        <x:v>Chine</x:v>
      </x:c>
      <x:c r="B40" s="105" t="str">
        <x:v>REPRESENTANT CHINE - A VALIDER</x:v>
      </x:c>
      <x:c r="C40" s="106" t="str">
        <x:v>ABR COUPE</x:v>
      </x:c>
      <x:c r="D40" s="106" t="str">
        <x:v>USD</x:v>
      </x:c>
      <x:c r="E40" s="106" t="str">
        <x:v>Quantité exportée</x:v>
      </x:c>
      <x:c r="F40" s="106" t="str">
        <x:v>tonnes</x:v>
      </x:c>
      <x:c r="G40" s="117" t="n">
        <x:v>19.87</x:v>
      </x:c>
      <x:c r="H40" s="117" t="n">
        <x:v>24.57</x:v>
      </x:c>
      <x:c r="I40" s="117" t="n">
        <x:v>21.9</x:v>
      </x:c>
      <x:c r="J40" s="117" t="n">
        <x:v>18.13</x:v>
      </x:c>
      <x:c r="K40" s="117" t="n">
        <x:v>18.81</x:v>
      </x:c>
      <x:c r="L40" s="117" t="n">
        <x:v>20.63</x:v>
      </x:c>
      <x:c r="M40" s="117" t="n">
        <x:v>16.81</x:v>
      </x:c>
      <x:c r="N40" s="117" t="n">
        <x:v>24.79</x:v>
      </x:c>
      <x:c r="O40" s="117" t="n">
        <x:v>16.37</x:v>
      </x:c>
      <x:c r="P40" s="117" t="n">
        <x:v>20.94</x:v>
      </x:c>
      <x:c r="Q40" s="117" t="n">
        <x:v>17.91</x:v>
      </x:c>
      <x:c r="R40" s="117" t="n">
        <x:v>18.35</x:v>
      </x:c>
      <x:c r="S40" s="117" t="n">
        <x:v>239.07999999999998</x:v>
      </x:c>
    </x:row>
    <x:row r="41">
      <x:c r="A41" s="107" t="str">
        <x:v>Chine</x:v>
      </x:c>
      <x:c r="B41" s="107" t="str">
        <x:v>REPRESENTANT CHINE - A VALIDER</x:v>
      </x:c>
      <x:c r="C41" s="108" t="str">
        <x:v>ABR COUPE</x:v>
      </x:c>
      <x:c r="D41" s="108" t="str">
        <x:v>USD</x:v>
      </x:c>
      <x:c r="E41" s="108" t="str">
        <x:v>Chiffre d'affaires devise</x:v>
      </x:c>
      <x:c r="F41" s="108" t="str">
        <x:v>USD</x:v>
      </x:c>
      <x:c r="G41" s="118" t="n">
        <x:v>28811.5</x:v>
      </x:c>
      <x:c r="H41" s="118" t="n">
        <x:v>35626.5</x:v>
      </x:c>
      <x:c r="I41" s="118" t="n">
        <x:v>31755</x:v>
      </x:c>
      <x:c r="J41" s="118" t="n">
        <x:v>26288.5</x:v>
      </x:c>
      <x:c r="K41" s="118" t="n">
        <x:v>27274.5</x:v>
      </x:c>
      <x:c r="L41" s="118" t="n">
        <x:v>29913.5</x:v>
      </x:c>
      <x:c r="M41" s="118" t="n">
        <x:v>24374.5</x:v>
      </x:c>
      <x:c r="N41" s="118" t="n">
        <x:v>35945.5</x:v>
      </x:c>
      <x:c r="O41" s="118" t="n">
        <x:v>23736.5</x:v>
      </x:c>
      <x:c r="P41" s="118" t="n">
        <x:v>30363</x:v>
      </x:c>
      <x:c r="Q41" s="118" t="n">
        <x:v>25969.5</x:v>
      </x:c>
      <x:c r="R41" s="118" t="n">
        <x:v>26607.5</x:v>
      </x:c>
      <x:c r="S41" s="118" t="n">
        <x:v>346666</x:v>
      </x:c>
    </x:row>
    <x:row r="42">
      <x:c r="A42" s="109" t="str">
        <x:v>Chine</x:v>
      </x:c>
      <x:c r="B42" s="109" t="str">
        <x:v>REPRESENTANT CHINE - A VALIDER</x:v>
      </x:c>
      <x:c r="C42" s="109" t="str">
        <x:v>ABR COUPE</x:v>
      </x:c>
      <x:c r="D42" s="109" t="str">
        <x:v>USD</x:v>
      </x:c>
      <x:c r="E42" s="109" t="str">
        <x:v>Chiffre d'affaires MGA</x:v>
      </x:c>
      <x:c r="F42" s="109" t="str">
        <x:v>MGA</x:v>
      </x:c>
      <x:c r="G42" s="119" t="n">
        <x:v>128211175</x:v>
      </x:c>
      <x:c r="H42" s="119" t="n">
        <x:v>158537925</x:v>
      </x:c>
      <x:c r="I42" s="119" t="n">
        <x:v>141309750</x:v>
      </x:c>
      <x:c r="J42" s="119" t="n">
        <x:v>116983825</x:v>
      </x:c>
      <x:c r="K42" s="119" t="n">
        <x:v>121371525</x:v>
      </x:c>
      <x:c r="L42" s="119" t="n">
        <x:v>133115075</x:v>
      </x:c>
      <x:c r="M42" s="119" t="n">
        <x:v>108466525</x:v>
      </x:c>
      <x:c r="N42" s="119" t="n">
        <x:v>159957475</x:v>
      </x:c>
      <x:c r="O42" s="119" t="n">
        <x:v>105627425</x:v>
      </x:c>
      <x:c r="P42" s="119" t="n">
        <x:v>135115350</x:v>
      </x:c>
      <x:c r="Q42" s="119" t="n">
        <x:v>115564275</x:v>
      </x:c>
      <x:c r="R42" s="119" t="n">
        <x:v>118403375</x:v>
      </x:c>
      <x:c r="S42" s="119" t="n">
        <x:v>1542663700</x:v>
      </x:c>
    </x:row>
    <x:row r="43">
      <x:c r="A43" s="107" t="str">
        <x:v>Chine</x:v>
      </x:c>
      <x:c r="B43" s="107" t="str">
        <x:v>REPRESENTANT CHINE - A VALIDER</x:v>
      </x:c>
      <x:c r="C43" s="108" t="str">
        <x:v>FP1 COUPE</x:v>
      </x:c>
      <x:c r="D43" s="108" t="str">
        <x:v>USD</x:v>
      </x:c>
      <x:c r="E43" s="108" t="str">
        <x:v>Quantité exportée</x:v>
      </x:c>
      <x:c r="F43" s="108" t="str">
        <x:v>tonnes</x:v>
      </x:c>
      <x:c r="G43" s="118" t="n">
        <x:v>12.67</x:v>
      </x:c>
      <x:c r="H43" s="118" t="n">
        <x:v>21.44</x:v>
      </x:c>
      <x:c r="I43" s="118" t="n">
        <x:v>17.88</x:v>
      </x:c>
      <x:c r="J43" s="118" t="n">
        <x:v>18.28</x:v>
      </x:c>
      <x:c r="K43" s="118" t="n">
        <x:v>21.06</x:v>
      </x:c>
      <x:c r="L43" s="118" t="n">
        <x:v>20</x:v>
      </x:c>
      <x:c r="M43" s="118" t="n">
        <x:v>14.02</x:v>
      </x:c>
      <x:c r="N43" s="118" t="n">
        <x:v>13.37</x:v>
      </x:c>
      <x:c r="O43" s="118" t="n">
        <x:v>15.46</x:v>
      </x:c>
      <x:c r="P43" s="118" t="n">
        <x:v>19.14</x:v>
      </x:c>
      <x:c r="Q43" s="118" t="n">
        <x:v>17.55</x:v>
      </x:c>
      <x:c r="R43" s="118" t="n">
        <x:v>21.56</x:v>
      </x:c>
      <x:c r="S43" s="118" t="n">
        <x:v>212.43</x:v>
      </x:c>
    </x:row>
    <x:row r="44">
      <x:c r="A44" s="107" t="str">
        <x:v>Chine</x:v>
      </x:c>
      <x:c r="B44" s="107" t="str">
        <x:v>REPRESENTANT CHINE - A VALIDER</x:v>
      </x:c>
      <x:c r="C44" s="108" t="str">
        <x:v>FP1 COUPE</x:v>
      </x:c>
      <x:c r="D44" s="108" t="str">
        <x:v>USD</x:v>
      </x:c>
      <x:c r="E44" s="108" t="str">
        <x:v>Chiffre d'affaires devise</x:v>
      </x:c>
      <x:c r="F44" s="108" t="str">
        <x:v>USD</x:v>
      </x:c>
      <x:c r="G44" s="118" t="n">
        <x:v>16724.4</x:v>
      </x:c>
      <x:c r="H44" s="118" t="n">
        <x:v>28300.8</x:v>
      </x:c>
      <x:c r="I44" s="118" t="n">
        <x:v>23601.6</x:v>
      </x:c>
      <x:c r="J44" s="118" t="n">
        <x:v>24129.6</x:v>
      </x:c>
      <x:c r="K44" s="118" t="n">
        <x:v>27799.2</x:v>
      </x:c>
      <x:c r="L44" s="118" t="n">
        <x:v>26400</x:v>
      </x:c>
      <x:c r="M44" s="118" t="n">
        <x:v>18506.4</x:v>
      </x:c>
      <x:c r="N44" s="118" t="n">
        <x:v>17648.4</x:v>
      </x:c>
      <x:c r="O44" s="118" t="n">
        <x:v>20407.2</x:v>
      </x:c>
      <x:c r="P44" s="118" t="n">
        <x:v>25264.8</x:v>
      </x:c>
      <x:c r="Q44" s="118" t="n">
        <x:v>23166</x:v>
      </x:c>
      <x:c r="R44" s="118" t="n">
        <x:v>28459.2</x:v>
      </x:c>
      <x:c r="S44" s="118" t="n">
        <x:v>280407.6</x:v>
      </x:c>
    </x:row>
    <x:row r="45">
      <x:c r="A45" s="109" t="str">
        <x:v>Chine</x:v>
      </x:c>
      <x:c r="B45" s="109" t="str">
        <x:v>REPRESENTANT CHINE - A VALIDER</x:v>
      </x:c>
      <x:c r="C45" s="109" t="str">
        <x:v>FP1 COUPE</x:v>
      </x:c>
      <x:c r="D45" s="109" t="str">
        <x:v>USD</x:v>
      </x:c>
      <x:c r="E45" s="109" t="str">
        <x:v>Chiffre d'affaires MGA</x:v>
      </x:c>
      <x:c r="F45" s="109" t="str">
        <x:v>MGA</x:v>
      </x:c>
      <x:c r="G45" s="119" t="n">
        <x:v>74423580</x:v>
      </x:c>
      <x:c r="H45" s="119" t="n">
        <x:v>125938560</x:v>
      </x:c>
      <x:c r="I45" s="119" t="n">
        <x:v>105027120</x:v>
      </x:c>
      <x:c r="J45" s="119" t="n">
        <x:v>107376720</x:v>
      </x:c>
      <x:c r="K45" s="119" t="n">
        <x:v>123706440</x:v>
      </x:c>
      <x:c r="L45" s="119" t="n">
        <x:v>117480000</x:v>
      </x:c>
      <x:c r="M45" s="119" t="n">
        <x:v>82353480</x:v>
      </x:c>
      <x:c r="N45" s="119" t="n">
        <x:v>78535380</x:v>
      </x:c>
      <x:c r="O45" s="119" t="n">
        <x:v>90812040</x:v>
      </x:c>
      <x:c r="P45" s="119" t="n">
        <x:v>112428360</x:v>
      </x:c>
      <x:c r="Q45" s="119" t="n">
        <x:v>103088700</x:v>
      </x:c>
      <x:c r="R45" s="119" t="n">
        <x:v>126643440</x:v>
      </x:c>
      <x:c r="S45" s="119" t="n">
        <x:v>1247813820</x:v>
      </x:c>
    </x:row>
    <x:row r="46">
      <x:c r="A46" s="107" t="str">
        <x:v>Chine</x:v>
      </x:c>
      <x:c r="B46" s="107" t="str">
        <x:v>REPRESENTANT CHINE - A VALIDER</x:v>
      </x:c>
      <x:c r="C46" s="108" t="str">
        <x:v>FP2 COUPE</x:v>
      </x:c>
      <x:c r="D46" s="108" t="str">
        <x:v>USD</x:v>
      </x:c>
      <x:c r="E46" s="108" t="str">
        <x:v>Quantité exportée</x:v>
      </x:c>
      <x:c r="F46" s="108" t="str">
        <x:v>tonnes</x:v>
      </x:c>
      <x:c r="G46" s="118" t="n">
        <x:v>17.99</x:v>
      </x:c>
      <x:c r="H46" s="118" t="n">
        <x:v>18.1</x:v>
      </x:c>
      <x:c r="I46" s="118" t="n">
        <x:v>15.91</x:v>
      </x:c>
      <x:c r="J46" s="118" t="n">
        <x:v>14.67</x:v>
      </x:c>
      <x:c r="K46" s="118" t="n">
        <x:v>14.81</x:v>
      </x:c>
      <x:c r="L46" s="118" t="n">
        <x:v>10.9</x:v>
      </x:c>
      <x:c r="M46" s="118" t="n">
        <x:v>16.96</x:v>
      </x:c>
      <x:c r="N46" s="118" t="n">
        <x:v>17.89</x:v>
      </x:c>
      <x:c r="O46" s="118" t="n">
        <x:v>14.05</x:v>
      </x:c>
      <x:c r="P46" s="118" t="n">
        <x:v>19.18</x:v>
      </x:c>
      <x:c r="Q46" s="118" t="n">
        <x:v>11.04</x:v>
      </x:c>
      <x:c r="R46" s="118" t="n">
        <x:v>17.98</x:v>
      </x:c>
      <x:c r="S46" s="118" t="n">
        <x:v>189.48</x:v>
      </x:c>
    </x:row>
    <x:row r="47">
      <x:c r="A47" s="107" t="str">
        <x:v>Chine</x:v>
      </x:c>
      <x:c r="B47" s="107" t="str">
        <x:v>REPRESENTANT CHINE - A VALIDER</x:v>
      </x:c>
      <x:c r="C47" s="108" t="str">
        <x:v>FP2 COUPE</x:v>
      </x:c>
      <x:c r="D47" s="108" t="str">
        <x:v>USD</x:v>
      </x:c>
      <x:c r="E47" s="108" t="str">
        <x:v>Chiffre d'affaires devise</x:v>
      </x:c>
      <x:c r="F47" s="108" t="str">
        <x:v>USD</x:v>
      </x:c>
      <x:c r="G47" s="118" t="n">
        <x:v>22847.3</x:v>
      </x:c>
      <x:c r="H47" s="118" t="n">
        <x:v>22987</x:v>
      </x:c>
      <x:c r="I47" s="118" t="n">
        <x:v>20205.7</x:v>
      </x:c>
      <x:c r="J47" s="118" t="n">
        <x:v>18630.9</x:v>
      </x:c>
      <x:c r="K47" s="118" t="n">
        <x:v>18808.7</x:v>
      </x:c>
      <x:c r="L47" s="118" t="n">
        <x:v>13843</x:v>
      </x:c>
      <x:c r="M47" s="118" t="n">
        <x:v>21539.2</x:v>
      </x:c>
      <x:c r="N47" s="118" t="n">
        <x:v>22720.3</x:v>
      </x:c>
      <x:c r="O47" s="118" t="n">
        <x:v>17843.5</x:v>
      </x:c>
      <x:c r="P47" s="118" t="n">
        <x:v>24358.6</x:v>
      </x:c>
      <x:c r="Q47" s="118" t="n">
        <x:v>14020.8</x:v>
      </x:c>
      <x:c r="R47" s="118" t="n">
        <x:v>22834.6</x:v>
      </x:c>
      <x:c r="S47" s="118" t="n">
        <x:v>240639.6</x:v>
      </x:c>
    </x:row>
    <x:row r="48">
      <x:c r="A48" s="109" t="str">
        <x:v>Chine</x:v>
      </x:c>
      <x:c r="B48" s="109" t="str">
        <x:v>REPRESENTANT CHINE - A VALIDER</x:v>
      </x:c>
      <x:c r="C48" s="109" t="str">
        <x:v>FP2 COUPE</x:v>
      </x:c>
      <x:c r="D48" s="109" t="str">
        <x:v>USD</x:v>
      </x:c>
      <x:c r="E48" s="109" t="str">
        <x:v>Chiffre d'affaires MGA</x:v>
      </x:c>
      <x:c r="F48" s="109" t="str">
        <x:v>MGA</x:v>
      </x:c>
      <x:c r="G48" s="119" t="n">
        <x:v>101670485</x:v>
      </x:c>
      <x:c r="H48" s="119" t="n">
        <x:v>102292150</x:v>
      </x:c>
      <x:c r="I48" s="119" t="n">
        <x:v>89915365</x:v>
      </x:c>
      <x:c r="J48" s="119" t="n">
        <x:v>82907505</x:v>
      </x:c>
      <x:c r="K48" s="119" t="n">
        <x:v>83698715</x:v>
      </x:c>
      <x:c r="L48" s="119" t="n">
        <x:v>61601350</x:v>
      </x:c>
      <x:c r="M48" s="119" t="n">
        <x:v>95849440</x:v>
      </x:c>
      <x:c r="N48" s="119" t="n">
        <x:v>101105335</x:v>
      </x:c>
      <x:c r="O48" s="119" t="n">
        <x:v>79403575</x:v>
      </x:c>
      <x:c r="P48" s="119" t="n">
        <x:v>108395770</x:v>
      </x:c>
      <x:c r="Q48" s="119" t="n">
        <x:v>62392560</x:v>
      </x:c>
      <x:c r="R48" s="119" t="n">
        <x:v>101613970</x:v>
      </x:c>
      <x:c r="S48" s="119" t="n">
        <x:v>1070846220</x:v>
      </x:c>
    </x:row>
    <x:row r="49">
      <x:c r="A49" s="107" t="str">
        <x:v>Chine</x:v>
      </x:c>
      <x:c r="B49" s="107" t="str">
        <x:v>REPRESENTANT CHINE - A VALIDER</x:v>
      </x:c>
      <x:c r="C49" s="108" t="str">
        <x:v>TRA</x:v>
      </x:c>
      <x:c r="D49" s="108" t="str">
        <x:v>USD</x:v>
      </x:c>
      <x:c r="E49" s="108" t="str">
        <x:v>Quantité exportée</x:v>
      </x:c>
      <x:c r="F49" s="108" t="str">
        <x:v>tonnes</x:v>
      </x:c>
      <x:c r="G49" s="118" t="n">
        <x:v>22.73</x:v>
      </x:c>
      <x:c r="H49" s="118" t="n">
        <x:v>23.74</x:v>
      </x:c>
      <x:c r="I49" s="118" t="n">
        <x:v>22.85</x:v>
      </x:c>
      <x:c r="J49" s="118" t="n">
        <x:v>18.55</x:v>
      </x:c>
      <x:c r="K49" s="118" t="n">
        <x:v>18.96</x:v>
      </x:c>
      <x:c r="L49" s="118" t="n">
        <x:v>20.47</x:v>
      </x:c>
      <x:c r="M49" s="118" t="n">
        <x:v>25.54</x:v>
      </x:c>
      <x:c r="N49" s="118" t="n">
        <x:v>16.07</x:v>
      </x:c>
      <x:c r="O49" s="118" t="n">
        <x:v>17.62</x:v>
      </x:c>
      <x:c r="P49" s="118" t="n">
        <x:v>23.8</x:v>
      </x:c>
      <x:c r="Q49" s="118" t="n">
        <x:v>15.8</x:v>
      </x:c>
      <x:c r="R49" s="118" t="n">
        <x:v>16.23</x:v>
      </x:c>
      <x:c r="S49" s="118" t="n">
        <x:v>242.36</x:v>
      </x:c>
    </x:row>
    <x:row r="50">
      <x:c r="A50" s="107" t="str">
        <x:v>Chine</x:v>
      </x:c>
      <x:c r="B50" s="107" t="str">
        <x:v>REPRESENTANT CHINE - A VALIDER</x:v>
      </x:c>
      <x:c r="C50" s="108" t="str">
        <x:v>TRA</x:v>
      </x:c>
      <x:c r="D50" s="108" t="str">
        <x:v>USD</x:v>
      </x:c>
      <x:c r="E50" s="108" t="str">
        <x:v>Chiffre d'affaires devise</x:v>
      </x:c>
      <x:c r="F50" s="108" t="str">
        <x:v>USD</x:v>
      </x:c>
      <x:c r="G50" s="118" t="n">
        <x:v>31594.7</x:v>
      </x:c>
      <x:c r="H50" s="118" t="n">
        <x:v>32998.6</x:v>
      </x:c>
      <x:c r="I50" s="118" t="n">
        <x:v>31761.5</x:v>
      </x:c>
      <x:c r="J50" s="118" t="n">
        <x:v>25784.5</x:v>
      </x:c>
      <x:c r="K50" s="118" t="n">
        <x:v>26354.4</x:v>
      </x:c>
      <x:c r="L50" s="118" t="n">
        <x:v>28453.3</x:v>
      </x:c>
      <x:c r="M50" s="118" t="n">
        <x:v>35500.6</x:v>
      </x:c>
      <x:c r="N50" s="118" t="n">
        <x:v>22337.3</x:v>
      </x:c>
      <x:c r="O50" s="118" t="n">
        <x:v>24491.8</x:v>
      </x:c>
      <x:c r="P50" s="118" t="n">
        <x:v>33082</x:v>
      </x:c>
      <x:c r="Q50" s="118" t="n">
        <x:v>21962</x:v>
      </x:c>
      <x:c r="R50" s="118" t="n">
        <x:v>22559.7</x:v>
      </x:c>
      <x:c r="S50" s="118" t="n">
        <x:v>336880.4</x:v>
      </x:c>
    </x:row>
    <x:row r="51">
      <x:c r="A51" s="109" t="str">
        <x:v>Chine</x:v>
      </x:c>
      <x:c r="B51" s="109" t="str">
        <x:v>REPRESENTANT CHINE - A VALIDER</x:v>
      </x:c>
      <x:c r="C51" s="109" t="str">
        <x:v>TRA</x:v>
      </x:c>
      <x:c r="D51" s="109" t="str">
        <x:v>USD</x:v>
      </x:c>
      <x:c r="E51" s="109" t="str">
        <x:v>Chiffre d'affaires MGA</x:v>
      </x:c>
      <x:c r="F51" s="109" t="str">
        <x:v>MGA</x:v>
      </x:c>
      <x:c r="G51" s="119" t="n">
        <x:v>140596415</x:v>
      </x:c>
      <x:c r="H51" s="119" t="n">
        <x:v>146843770</x:v>
      </x:c>
      <x:c r="I51" s="119" t="n">
        <x:v>141338675</x:v>
      </x:c>
      <x:c r="J51" s="119" t="n">
        <x:v>114741025</x:v>
      </x:c>
      <x:c r="K51" s="119" t="n">
        <x:v>117277080</x:v>
      </x:c>
      <x:c r="L51" s="119" t="n">
        <x:v>126617185</x:v>
      </x:c>
      <x:c r="M51" s="119" t="n">
        <x:v>157977670</x:v>
      </x:c>
      <x:c r="N51" s="119" t="n">
        <x:v>99400985</x:v>
      </x:c>
      <x:c r="O51" s="119" t="n">
        <x:v>108988510</x:v>
      </x:c>
      <x:c r="P51" s="119" t="n">
        <x:v>147214900</x:v>
      </x:c>
      <x:c r="Q51" s="119" t="n">
        <x:v>97730900</x:v>
      </x:c>
      <x:c r="R51" s="119" t="n">
        <x:v>100390665</x:v>
      </x:c>
      <x:c r="S51" s="119" t="n">
        <x:v>1499117780</x:v>
      </x:c>
    </x:row>
    <x:row r="52">
      <x:c r="A52" s="107" t="str">
        <x:v>Chine</x:v>
      </x:c>
      <x:c r="B52" s="107" t="str">
        <x:v>REPRESENTANT CHINE - A VALIDER</x:v>
      </x:c>
      <x:c r="C52" s="108" t="str">
        <x:v>BSA</x:v>
      </x:c>
      <x:c r="D52" s="108" t="str">
        <x:v>USD</x:v>
      </x:c>
      <x:c r="E52" s="108" t="str">
        <x:v>Quantité exportée</x:v>
      </x:c>
      <x:c r="F52" s="108" t="str">
        <x:v>tonnes</x:v>
      </x:c>
      <x:c r="G52" s="118" t="n">
        <x:v>13.16</x:v>
      </x:c>
      <x:c r="H52" s="118" t="n">
        <x:v>10.15</x:v>
      </x:c>
      <x:c r="I52" s="118" t="n">
        <x:v>11.08</x:v>
      </x:c>
      <x:c r="J52" s="118" t="n">
        <x:v>13.87</x:v>
      </x:c>
      <x:c r="K52" s="118" t="n">
        <x:v>14.4</x:v>
      </x:c>
      <x:c r="L52" s="118" t="n">
        <x:v>11.31</x:v>
      </x:c>
      <x:c r="M52" s="118" t="n">
        <x:v>14.48</x:v>
      </x:c>
      <x:c r="N52" s="118" t="n">
        <x:v>13.7</x:v>
      </x:c>
      <x:c r="O52" s="118" t="n">
        <x:v>9.52</x:v>
      </x:c>
      <x:c r="P52" s="118" t="n">
        <x:v>13.14</x:v>
      </x:c>
      <x:c r="Q52" s="118" t="n">
        <x:v>9.13</x:v>
      </x:c>
      <x:c r="R52" s="118" t="n">
        <x:v>10.3</x:v>
      </x:c>
      <x:c r="S52" s="118" t="n">
        <x:v>144.24</x:v>
      </x:c>
    </x:row>
    <x:row r="53">
      <x:c r="A53" s="107" t="str">
        <x:v>Chine</x:v>
      </x:c>
      <x:c r="B53" s="107" t="str">
        <x:v>REPRESENTANT CHINE - A VALIDER</x:v>
      </x:c>
      <x:c r="C53" s="108" t="str">
        <x:v>BSA</x:v>
      </x:c>
      <x:c r="D53" s="108" t="str">
        <x:v>USD</x:v>
      </x:c>
      <x:c r="E53" s="108" t="str">
        <x:v>Chiffre d'affaires devise</x:v>
      </x:c>
      <x:c r="F53" s="108" t="str">
        <x:v>USD</x:v>
      </x:c>
      <x:c r="G53" s="118" t="n">
        <x:v>15528.8</x:v>
      </x:c>
      <x:c r="H53" s="118" t="n">
        <x:v>11977</x:v>
      </x:c>
      <x:c r="I53" s="118" t="n">
        <x:v>13074.4</x:v>
      </x:c>
      <x:c r="J53" s="118" t="n">
        <x:v>16366.6</x:v>
      </x:c>
      <x:c r="K53" s="118" t="n">
        <x:v>16992</x:v>
      </x:c>
      <x:c r="L53" s="118" t="n">
        <x:v>13345.8</x:v>
      </x:c>
      <x:c r="M53" s="118" t="n">
        <x:v>17086.4</x:v>
      </x:c>
      <x:c r="N53" s="118" t="n">
        <x:v>16166</x:v>
      </x:c>
      <x:c r="O53" s="118" t="n">
        <x:v>11233.6</x:v>
      </x:c>
      <x:c r="P53" s="118" t="n">
        <x:v>15505.2</x:v>
      </x:c>
      <x:c r="Q53" s="118" t="n">
        <x:v>10773.4</x:v>
      </x:c>
      <x:c r="R53" s="118" t="n">
        <x:v>12154</x:v>
      </x:c>
      <x:c r="S53" s="118" t="n">
        <x:v>170203.2</x:v>
      </x:c>
    </x:row>
    <x:row r="54">
      <x:c r="A54" s="109" t="str">
        <x:v>Chine</x:v>
      </x:c>
      <x:c r="B54" s="109" t="str">
        <x:v>REPRESENTANT CHINE - A VALIDER</x:v>
      </x:c>
      <x:c r="C54" s="109" t="str">
        <x:v>BSA</x:v>
      </x:c>
      <x:c r="D54" s="109" t="str">
        <x:v>USD</x:v>
      </x:c>
      <x:c r="E54" s="109" t="str">
        <x:v>Chiffre d'affaires MGA</x:v>
      </x:c>
      <x:c r="F54" s="109" t="str">
        <x:v>MGA</x:v>
      </x:c>
      <x:c r="G54" s="119" t="n">
        <x:v>69103160</x:v>
      </x:c>
      <x:c r="H54" s="119" t="n">
        <x:v>53297650</x:v>
      </x:c>
      <x:c r="I54" s="119" t="n">
        <x:v>58181080</x:v>
      </x:c>
      <x:c r="J54" s="119" t="n">
        <x:v>72831370</x:v>
      </x:c>
      <x:c r="K54" s="119" t="n">
        <x:v>75614400</x:v>
      </x:c>
      <x:c r="L54" s="119" t="n">
        <x:v>59388810</x:v>
      </x:c>
      <x:c r="M54" s="119" t="n">
        <x:v>76034480</x:v>
      </x:c>
      <x:c r="N54" s="119" t="n">
        <x:v>71938700</x:v>
      </x:c>
      <x:c r="O54" s="119" t="n">
        <x:v>49989520</x:v>
      </x:c>
      <x:c r="P54" s="119" t="n">
        <x:v>68998140</x:v>
      </x:c>
      <x:c r="Q54" s="119" t="n">
        <x:v>47941630</x:v>
      </x:c>
      <x:c r="R54" s="119" t="n">
        <x:v>54085300</x:v>
      </x:c>
      <x:c r="S54" s="119" t="n">
        <x:v>757404240</x:v>
      </x:c>
    </x:row>
  </x:sheetData>
  <x:mergeCells>
    <x:mergeCell ref="A1:S1"/>
    <x:mergeCell ref="A2:S2"/>
    <x:mergeCell ref="A4:C4"/>
    <x:mergeCell ref="D4:F4"/>
    <x:mergeCell ref="G4:I4"/>
    <x:mergeCell ref="J4:L4"/>
    <x:mergeCell ref="M4:O4"/>
    <x:mergeCell ref="P4:S4"/>
    <x:mergeCell ref="A5:C5"/>
    <x:mergeCell ref="D5:F5"/>
    <x:mergeCell ref="G5:I5"/>
    <x:mergeCell ref="J5:L5"/>
    <x:mergeCell ref="M5:O5"/>
    <x:mergeCell ref="P5:S5"/>
    <x:mergeCell ref="A7:S7"/>
  </x:mergeCells>
  <x:conditionalFormatting sqref="S10:S54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{55A74A3F-6AFA-3C89-6848-3917534EA35A}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5A74A3F-6AFA-3C89-6848-3917534EA35A}">
            <x14:dataBar gradient="1">
              <x14:cfvo type="min"/>
              <x14:cfvo type="max"/>
              <x14:fillColor rgb="FFA02B93"/>
            </x14:dataBar>
          </x14:cfRule>
          <xm:sqref>S10:S54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5.25" hidden="0" customWidth="1"/>
    <x:col min="2" max="2" width="30" hidden="0" customWidth="1"/>
    <x:col min="3" max="3" width="24" hidden="0" customWidth="1"/>
    <x:col min="4" max="4" width="4.75" hidden="0" customWidth="1"/>
    <x:col min="5" max="5" width="8.880000114440918" hidden="0" customWidth="1"/>
    <x:col min="6" max="6" width="8.880000114440918" hidden="0" customWidth="1"/>
    <x:col min="7" max="7" width="8.880000114440918" hidden="0" customWidth="1"/>
    <x:col min="8" max="8" width="8.880000114440918" hidden="0" customWidth="1"/>
    <x:col min="9" max="9" width="8.880000114440918" hidden="0" customWidth="1"/>
    <x:col min="10" max="10" width="8.880000114440918" hidden="0" customWidth="1"/>
    <x:col min="11" max="11" width="8.880000114440918" hidden="0" customWidth="1"/>
    <x:col min="12" max="12" width="8.880000114440918" hidden="0" customWidth="1"/>
    <x:col min="13" max="13" width="8.880000114440918" hidden="0" customWidth="1"/>
    <x:col min="14" max="14" width="8.880000114440918" hidden="0" customWidth="1"/>
    <x:col min="15" max="15" width="8.880000114440918" hidden="0" customWidth="1"/>
    <x:col min="16" max="16" width="8.880000114440918" hidden="0" customWidth="1"/>
    <x:col min="17" max="17" width="9.880000114440918" hidden="0" customWidth="1"/>
  </x:cols>
  <x:sheetData>
    <x:row r="1">
      <x:c r="A1" s="6" t="str">
        <x:v>Pays</x:v>
      </x:c>
      <x:c r="B1" s="6" t="str">
        <x:v>Entité représentatrice</x:v>
      </x:c>
      <x:c r="C1" s="6" t="str">
        <x:v>Nature frais</x:v>
      </x:c>
      <x:c r="D1" s="6" t="str">
        <x:v>Unité</x:v>
      </x:c>
      <x:c r="E1" s="6" t="str">
        <x:v>Janvier</x:v>
      </x:c>
      <x:c r="F1" s="6" t="str">
        <x:v>Février</x:v>
      </x:c>
      <x:c r="G1" s="6" t="str">
        <x:v>Mars</x:v>
      </x:c>
      <x:c r="H1" s="6" t="str">
        <x:v>Avril</x:v>
      </x:c>
      <x:c r="I1" s="6" t="str">
        <x:v>Mai</x:v>
      </x:c>
      <x:c r="J1" s="6" t="str">
        <x:v>Juin</x:v>
      </x:c>
      <x:c r="K1" s="6" t="str">
        <x:v>Juillet</x:v>
      </x:c>
      <x:c r="L1" s="6" t="str">
        <x:v>Août</x:v>
      </x:c>
      <x:c r="M1" s="6" t="str">
        <x:v>Septembre</x:v>
      </x:c>
      <x:c r="N1" s="6" t="str">
        <x:v>Octobre</x:v>
      </x:c>
      <x:c r="O1" s="6" t="str">
        <x:v>Novembre</x:v>
      </x:c>
      <x:c r="P1" s="6" t="str">
        <x:v>Décembre</x:v>
      </x:c>
      <x:c r="Q1" s="6" t="str">
        <x:v>Total annuel</x:v>
      </x:c>
    </x:row>
    <x:row r="2">
      <x:c r="A2" t="str">
        <x:v>Japon</x:v>
      </x:c>
      <x:c r="B2" t="str">
        <x:v>GOODEIS</x:v>
      </x:c>
      <x:c r="C2" t="str">
        <x:v>Transport local</x:v>
      </x:c>
      <x:c r="D2" t="str">
        <x:v>MGA</x:v>
      </x:c>
      <x:c r="E2" s="16" t="n">
        <x:v>15459000</x:v>
      </x:c>
      <x:c r="F2" s="16" t="n">
        <x:v>13310000</x:v>
      </x:c>
      <x:c r="G2" s="16" t="n">
        <x:v>12505000</x:v>
      </x:c>
      <x:c r="H2" s="16" t="n">
        <x:v>14540000</x:v>
      </x:c>
      <x:c r="I2" s="16" t="n">
        <x:v>14596000</x:v>
      </x:c>
      <x:c r="J2" s="16" t="n">
        <x:v>14147000</x:v>
      </x:c>
      <x:c r="K2" s="16" t="n">
        <x:v>14864000</x:v>
      </x:c>
      <x:c r="L2" s="16" t="n">
        <x:v>13826000</x:v>
      </x:c>
      <x:c r="M2" s="16" t="n">
        <x:v>12952000</x:v>
      </x:c>
      <x:c r="N2" s="16" t="n">
        <x:v>16240000</x:v>
      </x:c>
      <x:c r="O2" s="16" t="n">
        <x:v>12290000</x:v>
      </x:c>
      <x:c r="P2" s="16" t="n">
        <x:v>12958000</x:v>
      </x:c>
      <x:c r="Q2" s="16" t="n">
        <x:v>167687000</x:v>
      </x:c>
    </x:row>
    <x:row r="3">
      <x:c r="A3" t="str">
        <x:v>Japon</x:v>
      </x:c>
      <x:c r="B3" t="str">
        <x:v>GOODEIS</x:v>
      </x:c>
      <x:c r="C3" t="str">
        <x:v>Transit &amp; documents</x:v>
      </x:c>
      <x:c r="D3" t="str">
        <x:v>MGA</x:v>
      </x:c>
      <x:c r="E3" s="16" t="n">
        <x:v>6129000</x:v>
      </x:c>
      <x:c r="F3" s="16" t="n">
        <x:v>6722000</x:v>
      </x:c>
      <x:c r="G3" s="16" t="n">
        <x:v>7207000</x:v>
      </x:c>
      <x:c r="H3" s="16" t="n">
        <x:v>6738000</x:v>
      </x:c>
      <x:c r="I3" s="16" t="n">
        <x:v>5533000</x:v>
      </x:c>
      <x:c r="J3" s="16" t="n">
        <x:v>5968000</x:v>
      </x:c>
      <x:c r="K3" s="16" t="n">
        <x:v>6557000</x:v>
      </x:c>
      <x:c r="L3" s="16" t="n">
        <x:v>6476000</x:v>
      </x:c>
      <x:c r="M3" s="16" t="n">
        <x:v>6986000</x:v>
      </x:c>
      <x:c r="N3" s="16" t="n">
        <x:v>6522000</x:v>
      </x:c>
      <x:c r="O3" s="16" t="n">
        <x:v>7462000</x:v>
      </x:c>
      <x:c r="P3" s="16" t="n">
        <x:v>6749000</x:v>
      </x:c>
      <x:c r="Q3" s="16" t="n">
        <x:v>79049000</x:v>
      </x:c>
    </x:row>
    <x:row r="4">
      <x:c r="A4" t="str">
        <x:v>Japon</x:v>
      </x:c>
      <x:c r="B4" t="str">
        <x:v>GOODEIS</x:v>
      </x:c>
      <x:c r="C4" t="str">
        <x:v>Manutention portuaire</x:v>
      </x:c>
      <x:c r="D4" t="str">
        <x:v>MGA</x:v>
      </x:c>
      <x:c r="E4" s="16" t="n">
        <x:v>8498000</x:v>
      </x:c>
      <x:c r="F4" s="16" t="n">
        <x:v>9006000</x:v>
      </x:c>
      <x:c r="G4" s="16" t="n">
        <x:v>7622000</x:v>
      </x:c>
      <x:c r="H4" s="16" t="n">
        <x:v>9242000</x:v>
      </x:c>
      <x:c r="I4" s="16" t="n">
        <x:v>8370000</x:v>
      </x:c>
      <x:c r="J4" s="16" t="n">
        <x:v>8568000</x:v>
      </x:c>
      <x:c r="K4" s="16" t="n">
        <x:v>7737000</x:v>
      </x:c>
      <x:c r="L4" s="16" t="n">
        <x:v>8357000</x:v>
      </x:c>
      <x:c r="M4" s="16" t="n">
        <x:v>9697000</x:v>
      </x:c>
      <x:c r="N4" s="16" t="n">
        <x:v>9406000</x:v>
      </x:c>
      <x:c r="O4" s="16" t="n">
        <x:v>8223000</x:v>
      </x:c>
      <x:c r="P4" s="16" t="n">
        <x:v>9865000</x:v>
      </x:c>
      <x:c r="Q4" s="16" t="n">
        <x:v>104591000</x:v>
      </x:c>
    </x:row>
    <x:row r="5">
      <x:c r="A5" t="str">
        <x:v>Japon</x:v>
      </x:c>
      <x:c r="B5" t="str">
        <x:v>GOODEIS</x:v>
      </x:c>
      <x:c r="C5" t="str">
        <x:v>Fret international</x:v>
      </x:c>
      <x:c r="D5" t="str">
        <x:v>MGA</x:v>
      </x:c>
      <x:c r="E5" s="16" t="n">
        <x:v>44071000</x:v>
      </x:c>
      <x:c r="F5" s="16" t="n">
        <x:v>52068000</x:v>
      </x:c>
      <x:c r="G5" s="16" t="n">
        <x:v>51155000</x:v>
      </x:c>
      <x:c r="H5" s="16" t="n">
        <x:v>43594000</x:v>
      </x:c>
      <x:c r="I5" s="16" t="n">
        <x:v>50871000</x:v>
      </x:c>
      <x:c r="J5" s="16" t="n">
        <x:v>52049000</x:v>
      </x:c>
      <x:c r="K5" s="16" t="n">
        <x:v>47609000</x:v>
      </x:c>
      <x:c r="L5" s="16" t="n">
        <x:v>56141000</x:v>
      </x:c>
      <x:c r="M5" s="16" t="n">
        <x:v>42383000</x:v>
      </x:c>
      <x:c r="N5" s="16" t="n">
        <x:v>51569000</x:v>
      </x:c>
      <x:c r="O5" s="16" t="n">
        <x:v>52253000</x:v>
      </x:c>
      <x:c r="P5" s="16" t="n">
        <x:v>47695000</x:v>
      </x:c>
      <x:c r="Q5" s="16" t="n">
        <x:v>591458000</x:v>
      </x:c>
    </x:row>
    <x:row r="6">
      <x:c r="A6" t="str">
        <x:v>Japon</x:v>
      </x:c>
      <x:c r="B6" t="str">
        <x:v>GOODEIS</x:v>
      </x:c>
      <x:c r="C6" t="str">
        <x:v>Assurance transport</x:v>
      </x:c>
      <x:c r="D6" t="str">
        <x:v>MGA</x:v>
      </x:c>
      <x:c r="E6" s="16" t="n">
        <x:v>4098000</x:v>
      </x:c>
      <x:c r="F6" s="16" t="n">
        <x:v>5257000</x:v>
      </x:c>
      <x:c r="G6" s="16" t="n">
        <x:v>5277000</x:v>
      </x:c>
      <x:c r="H6" s="16" t="n">
        <x:v>5207000</x:v>
      </x:c>
      <x:c r="I6" s="16" t="n">
        <x:v>5287000</x:v>
      </x:c>
      <x:c r="J6" s="16" t="n">
        <x:v>4862000</x:v>
      </x:c>
      <x:c r="K6" s="16" t="n">
        <x:v>5230000</x:v>
      </x:c>
      <x:c r="L6" s="16" t="n">
        <x:v>5380000</x:v>
      </x:c>
      <x:c r="M6" s="16" t="n">
        <x:v>4330000</x:v>
      </x:c>
      <x:c r="N6" s="16" t="n">
        <x:v>4945000</x:v>
      </x:c>
      <x:c r="O6" s="16" t="n">
        <x:v>5318000</x:v>
      </x:c>
      <x:c r="P6" s="16" t="n">
        <x:v>4404000</x:v>
      </x:c>
      <x:c r="Q6" s="16" t="n">
        <x:v>59595000</x:v>
      </x:c>
    </x:row>
    <x:row r="7">
      <x:c r="A7" t="str">
        <x:v>Japon</x:v>
      </x:c>
      <x:c r="B7" t="str">
        <x:v>GOODEIS</x:v>
      </x:c>
      <x:c r="C7" t="str">
        <x:v>Frais bancaires export</x:v>
      </x:c>
      <x:c r="D7" t="str">
        <x:v>MGA</x:v>
      </x:c>
      <x:c r="E7" s="16" t="n">
        <x:v>3111000</x:v>
      </x:c>
      <x:c r="F7" s="16" t="n">
        <x:v>2815000</x:v>
      </x:c>
      <x:c r="G7" s="16" t="n">
        <x:v>3177000</x:v>
      </x:c>
      <x:c r="H7" s="16" t="n">
        <x:v>3226000</x:v>
      </x:c>
      <x:c r="I7" s="16" t="n">
        <x:v>3415000</x:v>
      </x:c>
      <x:c r="J7" s="16" t="n">
        <x:v>2822000</x:v>
      </x:c>
      <x:c r="K7" s="16" t="n">
        <x:v>2849000</x:v>
      </x:c>
      <x:c r="L7" s="16" t="n">
        <x:v>3707000</x:v>
      </x:c>
      <x:c r="M7" s="16" t="n">
        <x:v>3643000</x:v>
      </x:c>
      <x:c r="N7" s="16" t="n">
        <x:v>2862000</x:v>
      </x:c>
      <x:c r="O7" s="16" t="n">
        <x:v>2996000</x:v>
      </x:c>
      <x:c r="P7" s="16" t="n">
        <x:v>2996000</x:v>
      </x:c>
      <x:c r="Q7" s="16" t="n">
        <x:v>37619000</x:v>
      </x:c>
    </x:row>
    <x:row r="8">
      <x:c r="A8" t="str">
        <x:v>Russie</x:v>
      </x:c>
      <x:c r="B8" t="str">
        <x:v>ELINAR</x:v>
      </x:c>
      <x:c r="C8" t="str">
        <x:v>Transport local</x:v>
      </x:c>
      <x:c r="D8" t="str">
        <x:v>MGA</x:v>
      </x:c>
      <x:c r="E8" s="16" t="n">
        <x:v>14165000</x:v>
      </x:c>
      <x:c r="F8" s="16" t="n">
        <x:v>15237000</x:v>
      </x:c>
      <x:c r="G8" s="16" t="n">
        <x:v>15725000</x:v>
      </x:c>
      <x:c r="H8" s="16" t="n">
        <x:v>15379000</x:v>
      </x:c>
      <x:c r="I8" s="16" t="n">
        <x:v>13119000</x:v>
      </x:c>
      <x:c r="J8" s="16" t="n">
        <x:v>16977000</x:v>
      </x:c>
      <x:c r="K8" s="16" t="n">
        <x:v>13506000</x:v>
      </x:c>
      <x:c r="L8" s="16" t="n">
        <x:v>13582000</x:v>
      </x:c>
      <x:c r="M8" s="16" t="n">
        <x:v>16299000</x:v>
      </x:c>
      <x:c r="N8" s="16" t="n">
        <x:v>16760000</x:v>
      </x:c>
      <x:c r="O8" s="16" t="n">
        <x:v>17053000</x:v>
      </x:c>
      <x:c r="P8" s="16" t="n">
        <x:v>16623000</x:v>
      </x:c>
      <x:c r="Q8" s="16" t="n">
        <x:v>184425000</x:v>
      </x:c>
    </x:row>
    <x:row r="9">
      <x:c r="A9" t="str">
        <x:v>Russie</x:v>
      </x:c>
      <x:c r="B9" t="str">
        <x:v>ELINAR</x:v>
      </x:c>
      <x:c r="C9" t="str">
        <x:v>Transit &amp; documents</x:v>
      </x:c>
      <x:c r="D9" t="str">
        <x:v>MGA</x:v>
      </x:c>
      <x:c r="E9" s="16" t="n">
        <x:v>7683000</x:v>
      </x:c>
      <x:c r="F9" s="16" t="n">
        <x:v>7264000</x:v>
      </x:c>
      <x:c r="G9" s="16" t="n">
        <x:v>7878000</x:v>
      </x:c>
      <x:c r="H9" s="16" t="n">
        <x:v>7601000</x:v>
      </x:c>
      <x:c r="I9" s="16" t="n">
        <x:v>7045000</x:v>
      </x:c>
      <x:c r="J9" s="16" t="n">
        <x:v>6064000</x:v>
      </x:c>
      <x:c r="K9" s="16" t="n">
        <x:v>6233000</x:v>
      </x:c>
      <x:c r="L9" s="16" t="n">
        <x:v>7190000</x:v>
      </x:c>
      <x:c r="M9" s="16" t="n">
        <x:v>7830000</x:v>
      </x:c>
      <x:c r="N9" s="16" t="n">
        <x:v>6135000</x:v>
      </x:c>
      <x:c r="O9" s="16" t="n">
        <x:v>6117000</x:v>
      </x:c>
      <x:c r="P9" s="16" t="n">
        <x:v>8063000</x:v>
      </x:c>
      <x:c r="Q9" s="16" t="n">
        <x:v>85103000</x:v>
      </x:c>
    </x:row>
    <x:row r="10">
      <x:c r="A10" t="str">
        <x:v>Russie</x:v>
      </x:c>
      <x:c r="B10" t="str">
        <x:v>ELINAR</x:v>
      </x:c>
      <x:c r="C10" t="str">
        <x:v>Manutention portuaire</x:v>
      </x:c>
      <x:c r="D10" t="str">
        <x:v>MGA</x:v>
      </x:c>
      <x:c r="E10" s="16" t="n">
        <x:v>8441000</x:v>
      </x:c>
      <x:c r="F10" s="16" t="n">
        <x:v>9389000</x:v>
      </x:c>
      <x:c r="G10" s="16" t="n">
        <x:v>10408000</x:v>
      </x:c>
      <x:c r="H10" s="16" t="n">
        <x:v>8389000</x:v>
      </x:c>
      <x:c r="I10" s="16" t="n">
        <x:v>8472000</x:v>
      </x:c>
      <x:c r="J10" s="16" t="n">
        <x:v>10564000</x:v>
      </x:c>
      <x:c r="K10" s="16" t="n">
        <x:v>10540000</x:v>
      </x:c>
      <x:c r="L10" s="16" t="n">
        <x:v>9393000</x:v>
      </x:c>
      <x:c r="M10" s="16" t="n">
        <x:v>10447000</x:v>
      </x:c>
      <x:c r="N10" s="16" t="n">
        <x:v>10370000</x:v>
      </x:c>
      <x:c r="O10" s="16" t="n">
        <x:v>10391000</x:v>
      </x:c>
      <x:c r="P10" s="16" t="n">
        <x:v>10992000</x:v>
      </x:c>
      <x:c r="Q10" s="16" t="n">
        <x:v>117796000</x:v>
      </x:c>
    </x:row>
    <x:row r="11">
      <x:c r="A11" t="str">
        <x:v>Russie</x:v>
      </x:c>
      <x:c r="B11" t="str">
        <x:v>ELINAR</x:v>
      </x:c>
      <x:c r="C11" t="str">
        <x:v>Fret international</x:v>
      </x:c>
      <x:c r="D11" t="str">
        <x:v>MGA</x:v>
      </x:c>
      <x:c r="E11" s="16" t="n">
        <x:v>46401000</x:v>
      </x:c>
      <x:c r="F11" s="16" t="n">
        <x:v>53435000</x:v>
      </x:c>
      <x:c r="G11" s="16" t="n">
        <x:v>61706000</x:v>
      </x:c>
      <x:c r="H11" s="16" t="n">
        <x:v>47465000</x:v>
      </x:c>
      <x:c r="I11" s="16" t="n">
        <x:v>51886000</x:v>
      </x:c>
      <x:c r="J11" s="16" t="n">
        <x:v>47977000</x:v>
      </x:c>
      <x:c r="K11" s="16" t="n">
        <x:v>57969000</x:v>
      </x:c>
      <x:c r="L11" s="16" t="n">
        <x:v>48532000</x:v>
      </x:c>
      <x:c r="M11" s="16" t="n">
        <x:v>55908000</x:v>
      </x:c>
      <x:c r="N11" s="16" t="n">
        <x:v>57871000</x:v>
      </x:c>
      <x:c r="O11" s="16" t="n">
        <x:v>48110000</x:v>
      </x:c>
      <x:c r="P11" s="16" t="n">
        <x:v>60561000</x:v>
      </x:c>
      <x:c r="Q11" s="16" t="n">
        <x:v>637821000</x:v>
      </x:c>
    </x:row>
    <x:row r="12">
      <x:c r="A12" t="str">
        <x:v>Russie</x:v>
      </x:c>
      <x:c r="B12" t="str">
        <x:v>ELINAR</x:v>
      </x:c>
      <x:c r="C12" t="str">
        <x:v>Assurance transport</x:v>
      </x:c>
      <x:c r="D12" t="str">
        <x:v>MGA</x:v>
      </x:c>
      <x:c r="E12" s="16" t="n">
        <x:v>4425000</x:v>
      </x:c>
      <x:c r="F12" s="16" t="n">
        <x:v>5120000</x:v>
      </x:c>
      <x:c r="G12" s="16" t="n">
        <x:v>4811000</x:v>
      </x:c>
      <x:c r="H12" s="16" t="n">
        <x:v>5460000</x:v>
      </x:c>
      <x:c r="I12" s="16" t="n">
        <x:v>5690000</x:v>
      </x:c>
      <x:c r="J12" s="16" t="n">
        <x:v>4904000</x:v>
      </x:c>
      <x:c r="K12" s="16" t="n">
        <x:v>4395000</x:v>
      </x:c>
      <x:c r="L12" s="16" t="n">
        <x:v>5218000</x:v>
      </x:c>
      <x:c r="M12" s="16" t="n">
        <x:v>5111000</x:v>
      </x:c>
      <x:c r="N12" s="16" t="n">
        <x:v>5614000</x:v>
      </x:c>
      <x:c r="O12" s="16" t="n">
        <x:v>5658000</x:v>
      </x:c>
      <x:c r="P12" s="16" t="n">
        <x:v>4373000</x:v>
      </x:c>
      <x:c r="Q12" s="16" t="n">
        <x:v>60779000</x:v>
      </x:c>
    </x:row>
    <x:row r="13">
      <x:c r="A13" t="str">
        <x:v>Russie</x:v>
      </x:c>
      <x:c r="B13" t="str">
        <x:v>ELINAR</x:v>
      </x:c>
      <x:c r="C13" t="str">
        <x:v>Frais bancaires export</x:v>
      </x:c>
      <x:c r="D13" t="str">
        <x:v>MGA</x:v>
      </x:c>
      <x:c r="E13" s="16" t="n">
        <x:v>3354000</x:v>
      </x:c>
      <x:c r="F13" s="16" t="n">
        <x:v>4022000</x:v>
      </x:c>
      <x:c r="G13" s="16" t="n">
        <x:v>3974000</x:v>
      </x:c>
      <x:c r="H13" s="16" t="n">
        <x:v>3440000</x:v>
      </x:c>
      <x:c r="I13" s="16" t="n">
        <x:v>3518000</x:v>
      </x:c>
      <x:c r="J13" s="16" t="n">
        <x:v>3182000</x:v>
      </x:c>
      <x:c r="K13" s="16" t="n">
        <x:v>3795000</x:v>
      </x:c>
      <x:c r="L13" s="16" t="n">
        <x:v>3610000</x:v>
      </x:c>
      <x:c r="M13" s="16" t="n">
        <x:v>3260000</x:v>
      </x:c>
      <x:c r="N13" s="16" t="n">
        <x:v>3474000</x:v>
      </x:c>
      <x:c r="O13" s="16" t="n">
        <x:v>3279000</x:v>
      </x:c>
      <x:c r="P13" s="16" t="n">
        <x:v>3852000</x:v>
      </x:c>
      <x:c r="Q13" s="16" t="n">
        <x:v>42760000</x:v>
      </x:c>
    </x:row>
    <x:row r="14">
      <x:c r="A14" t="str">
        <x:v>Chine</x:v>
      </x:c>
      <x:c r="B14" t="str">
        <x:v>REPRESENTANT CHINE - A VALIDER</x:v>
      </x:c>
      <x:c r="C14" t="str">
        <x:v>Transport local</x:v>
      </x:c>
      <x:c r="D14" t="str">
        <x:v>MGA</x:v>
      </x:c>
      <x:c r="E14" s="16" t="n">
        <x:v>11499000</x:v>
      </x:c>
      <x:c r="F14" s="16" t="n">
        <x:v>14182000</x:v>
      </x:c>
      <x:c r="G14" s="16" t="n">
        <x:v>12543000</x:v>
      </x:c>
      <x:c r="H14" s="16" t="n">
        <x:v>13123000</x:v>
      </x:c>
      <x:c r="I14" s="16" t="n">
        <x:v>13554000</x:v>
      </x:c>
      <x:c r="J14" s="16" t="n">
        <x:v>10725000</x:v>
      </x:c>
      <x:c r="K14" s="16" t="n">
        <x:v>12207000</x:v>
      </x:c>
      <x:c r="L14" s="16" t="n">
        <x:v>13386000</x:v>
      </x:c>
      <x:c r="M14" s="16" t="n">
        <x:v>13285000</x:v>
      </x:c>
      <x:c r="N14" s="16" t="n">
        <x:v>13864000</x:v>
      </x:c>
      <x:c r="O14" s="16" t="n">
        <x:v>12349000</x:v>
      </x:c>
      <x:c r="P14" s="16" t="n">
        <x:v>11394000</x:v>
      </x:c>
      <x:c r="Q14" s="16" t="n">
        <x:v>152111000</x:v>
      </x:c>
    </x:row>
    <x:row r="15">
      <x:c r="A15" t="str">
        <x:v>Chine</x:v>
      </x:c>
      <x:c r="B15" t="str">
        <x:v>REPRESENTANT CHINE - A VALIDER</x:v>
      </x:c>
      <x:c r="C15" t="str">
        <x:v>Transit &amp; documents</x:v>
      </x:c>
      <x:c r="D15" t="str">
        <x:v>MGA</x:v>
      </x:c>
      <x:c r="E15" s="16" t="n">
        <x:v>5653000</x:v>
      </x:c>
      <x:c r="F15" s="16" t="n">
        <x:v>5750000</x:v>
      </x:c>
      <x:c r="G15" s="16" t="n">
        <x:v>5664000</x:v>
      </x:c>
      <x:c r="H15" s="16" t="n">
        <x:v>4999000</x:v>
      </x:c>
      <x:c r="I15" s="16" t="n">
        <x:v>6107000</x:v>
      </x:c>
      <x:c r="J15" s="16" t="n">
        <x:v>4982000</x:v>
      </x:c>
      <x:c r="K15" s="16" t="n">
        <x:v>5204000</x:v>
      </x:c>
      <x:c r="L15" s="16" t="n">
        <x:v>5889000</x:v>
      </x:c>
      <x:c r="M15" s="16" t="n">
        <x:v>5718000</x:v>
      </x:c>
      <x:c r="N15" s="16" t="n">
        <x:v>5521000</x:v>
      </x:c>
      <x:c r="O15" s="16" t="n">
        <x:v>5094000</x:v>
      </x:c>
      <x:c r="P15" s="16" t="n">
        <x:v>6626000</x:v>
      </x:c>
      <x:c r="Q15" s="16" t="n">
        <x:v>67207000</x:v>
      </x:c>
    </x:row>
    <x:row r="16">
      <x:c r="A16" t="str">
        <x:v>Chine</x:v>
      </x:c>
      <x:c r="B16" t="str">
        <x:v>REPRESENTANT CHINE - A VALIDER</x:v>
      </x:c>
      <x:c r="C16" t="str">
        <x:v>Manutention portuaire</x:v>
      </x:c>
      <x:c r="D16" t="str">
        <x:v>MGA</x:v>
      </x:c>
      <x:c r="E16" s="16" t="n">
        <x:v>7168000</x:v>
      </x:c>
      <x:c r="F16" s="16" t="n">
        <x:v>7135000</x:v>
      </x:c>
      <x:c r="G16" s="16" t="n">
        <x:v>6780000</x:v>
      </x:c>
      <x:c r="H16" s="16" t="n">
        <x:v>8964000</x:v>
      </x:c>
      <x:c r="I16" s="16" t="n">
        <x:v>8437000</x:v>
      </x:c>
      <x:c r="J16" s="16" t="n">
        <x:v>7448000</x:v>
      </x:c>
      <x:c r="K16" s="16" t="n">
        <x:v>7468000</x:v>
      </x:c>
      <x:c r="L16" s="16" t="n">
        <x:v>8359000</x:v>
      </x:c>
      <x:c r="M16" s="16" t="n">
        <x:v>7477000</x:v>
      </x:c>
      <x:c r="N16" s="16" t="n">
        <x:v>7700000</x:v>
      </x:c>
      <x:c r="O16" s="16" t="n">
        <x:v>8338000</x:v>
      </x:c>
      <x:c r="P16" s="16" t="n">
        <x:v>7642000</x:v>
      </x:c>
      <x:c r="Q16" s="16" t="n">
        <x:v>92916000</x:v>
      </x:c>
    </x:row>
    <x:row r="17">
      <x:c r="A17" t="str">
        <x:v>Chine</x:v>
      </x:c>
      <x:c r="B17" t="str">
        <x:v>REPRESENTANT CHINE - A VALIDER</x:v>
      </x:c>
      <x:c r="C17" t="str">
        <x:v>Fret international</x:v>
      </x:c>
      <x:c r="D17" t="str">
        <x:v>MGA</x:v>
      </x:c>
      <x:c r="E17" s="16" t="n">
        <x:v>45937000</x:v>
      </x:c>
      <x:c r="F17" s="16" t="n">
        <x:v>45483000</x:v>
      </x:c>
      <x:c r="G17" s="16" t="n">
        <x:v>48051000</x:v>
      </x:c>
      <x:c r="H17" s="16" t="n">
        <x:v>38921000</x:v>
      </x:c>
      <x:c r="I17" s="16" t="n">
        <x:v>47515000</x:v>
      </x:c>
      <x:c r="J17" s="16" t="n">
        <x:v>49392000</x:v>
      </x:c>
      <x:c r="K17" s="16" t="n">
        <x:v>38350000</x:v>
      </x:c>
      <x:c r="L17" s="16" t="n">
        <x:v>48084000</x:v>
      </x:c>
      <x:c r="M17" s="16" t="n">
        <x:v>47278000</x:v>
      </x:c>
      <x:c r="N17" s="16" t="n">
        <x:v>43925000</x:v>
      </x:c>
      <x:c r="O17" s="16" t="n">
        <x:v>41337000</x:v>
      </x:c>
      <x:c r="P17" s="16" t="n">
        <x:v>46336000</x:v>
      </x:c>
      <x:c r="Q17" s="16" t="n">
        <x:v>540609000</x:v>
      </x:c>
    </x:row>
    <x:row r="18">
      <x:c r="A18" t="str">
        <x:v>Chine</x:v>
      </x:c>
      <x:c r="B18" t="str">
        <x:v>REPRESENTANT CHINE - A VALIDER</x:v>
      </x:c>
      <x:c r="C18" t="str">
        <x:v>Assurance transport</x:v>
      </x:c>
      <x:c r="D18" t="str">
        <x:v>MGA</x:v>
      </x:c>
      <x:c r="E18" s="16" t="n">
        <x:v>4005000</x:v>
      </x:c>
      <x:c r="F18" s="16" t="n">
        <x:v>3641000</x:v>
      </x:c>
      <x:c r="G18" s="16" t="n">
        <x:v>3617000</x:v>
      </x:c>
      <x:c r="H18" s="16" t="n">
        <x:v>4139000</x:v>
      </x:c>
      <x:c r="I18" s="16" t="n">
        <x:v>4339000</x:v>
      </x:c>
      <x:c r="J18" s="16" t="n">
        <x:v>4175000</x:v>
      </x:c>
      <x:c r="K18" s="16" t="n">
        <x:v>3837000</x:v>
      </x:c>
      <x:c r="L18" s="16" t="n">
        <x:v>3652000</x:v>
      </x:c>
      <x:c r="M18" s="16" t="n">
        <x:v>3686000</x:v>
      </x:c>
      <x:c r="N18" s="16" t="n">
        <x:v>4009000</x:v>
      </x:c>
      <x:c r="O18" s="16" t="n">
        <x:v>4759000</x:v>
      </x:c>
      <x:c r="P18" s="16" t="n">
        <x:v>4655000</x:v>
      </x:c>
      <x:c r="Q18" s="16" t="n">
        <x:v>48514000</x:v>
      </x:c>
    </x:row>
    <x:row r="19">
      <x:c r="A19" t="str">
        <x:v>Chine</x:v>
      </x:c>
      <x:c r="B19" t="str">
        <x:v>REPRESENTANT CHINE - A VALIDER</x:v>
      </x:c>
      <x:c r="C19" t="str">
        <x:v>Frais bancaires export</x:v>
      </x:c>
      <x:c r="D19" t="str">
        <x:v>MGA</x:v>
      </x:c>
      <x:c r="E19" s="16" t="n">
        <x:v>2956000</x:v>
      </x:c>
      <x:c r="F19" s="16" t="n">
        <x:v>3084000</x:v>
      </x:c>
      <x:c r="G19" s="16" t="n">
        <x:v>2711000</x:v>
      </x:c>
      <x:c r="H19" s="16" t="n">
        <x:v>2529000</x:v>
      </x:c>
      <x:c r="I19" s="16" t="n">
        <x:v>2501000</x:v>
      </x:c>
      <x:c r="J19" s="16" t="n">
        <x:v>2567000</x:v>
      </x:c>
      <x:c r="K19" s="16" t="n">
        <x:v>2562000</x:v>
      </x:c>
      <x:c r="L19" s="16" t="n">
        <x:v>3180000</x:v>
      </x:c>
      <x:c r="M19" s="16" t="n">
        <x:v>2525000</x:v>
      </x:c>
      <x:c r="N19" s="16" t="n">
        <x:v>2545000</x:v>
      </x:c>
      <x:c r="O19" s="16" t="n">
        <x:v>3020000</x:v>
      </x:c>
      <x:c r="P19" s="16" t="n">
        <x:v>3337000</x:v>
      </x:c>
      <x:c r="Q19" s="16" t="n">
        <x:v>33517000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.75" hidden="0" customWidth="1"/>
    <x:col min="3" max="3" width="11.25" hidden="0" customWidth="1"/>
    <x:col min="4" max="4" width="11.25" hidden="0" customWidth="1"/>
    <x:col min="5" max="5" width="11.25" hidden="0" customWidth="1"/>
    <x:col min="6" max="6" width="11.25" hidden="0" customWidth="1"/>
    <x:col min="7" max="7" width="11.25" hidden="0" customWidth="1"/>
    <x:col min="8" max="8" width="11.25" hidden="0" customWidth="1"/>
    <x:col min="9" max="9" width="11.25" hidden="0" customWidth="1"/>
    <x:col min="10" max="10" width="11.25" hidden="0" customWidth="1"/>
    <x:col min="11" max="11" width="11.25" hidden="0" customWidth="1"/>
    <x:col min="12" max="12" width="11.25" hidden="0" customWidth="1"/>
    <x:col min="13" max="13" width="11.25" hidden="0" customWidth="1"/>
    <x:col min="14" max="14" width="11.25" hidden="0" customWidth="1"/>
    <x:col min="15" max="15" width="12.130000114440918" hidden="0" customWidth="1"/>
  </x:cols>
  <x:sheetData>
    <x:row r="1">
      <x:c r="A1" s="6" t="str">
        <x:v>Indicateur</x:v>
      </x:c>
      <x:c r="B1" s="6" t="str">
        <x:v>Unité</x:v>
      </x:c>
      <x:c r="C1" s="6" t="str">
        <x:v>Janvier</x:v>
      </x:c>
      <x:c r="D1" s="6" t="str">
        <x:v>Février</x:v>
      </x:c>
      <x:c r="E1" s="6" t="str">
        <x:v>Mars</x:v>
      </x:c>
      <x:c r="F1" s="6" t="str">
        <x:v>Avril</x:v>
      </x:c>
      <x:c r="G1" s="6" t="str">
        <x:v>Mai</x:v>
      </x:c>
      <x:c r="H1" s="6" t="str">
        <x:v>Juin</x:v>
      </x:c>
      <x:c r="I1" s="6" t="str">
        <x:v>Juillet</x:v>
      </x:c>
      <x:c r="J1" s="6" t="str">
        <x:v>Août</x:v>
      </x:c>
      <x:c r="K1" s="6" t="str">
        <x:v>Septembre</x:v>
      </x:c>
      <x:c r="L1" s="6" t="str">
        <x:v>Octobre</x:v>
      </x:c>
      <x:c r="M1" s="6" t="str">
        <x:v>Novembre</x:v>
      </x:c>
      <x:c r="N1" s="6" t="str">
        <x:v>Décembre</x:v>
      </x:c>
      <x:c r="O1" s="6" t="str">
        <x:v>Total annuel</x:v>
      </x:c>
    </x:row>
    <x:row r="2">
      <x:c r="A2" t="str">
        <x:v>CA export</x:v>
      </x:c>
      <x:c r="B2" t="str">
        <x:v>MGA</x:v>
      </x:c>
      <x:c r="C2" s="16" t="n">
        <x:f>SUMIF(Exportations!$E$2:$E$46,"Chiffre d'affaires MGA",Exportations!$G$2:$G$46)</x:f>
        <x:v>1231654200</x:v>
      </x:c>
      <x:c r="D2" s="16" t="n">
        <x:f>SUMIF(Exportations!$E$2:$E$46,"Chiffre d'affaires MGA",Exportations!$H$2:$H$46)</x:f>
        <x:v>1241735655</x:v>
      </x:c>
      <x:c r="E2" s="16" t="n">
        <x:f>SUMIF(Exportations!$E$2:$E$46,"Chiffre d'affaires MGA",Exportations!$I$2:$I$46)</x:f>
        <x:v>1232355075</x:v>
      </x:c>
      <x:c r="F2" s="16" t="n">
        <x:f>SUMIF(Exportations!$E$2:$E$46,"Chiffre d'affaires MGA",Exportations!$J$2:$J$46)</x:f>
        <x:v>1098155410</x:v>
      </x:c>
      <x:c r="G2" s="16" t="n">
        <x:f>SUMIF(Exportations!$E$2:$E$46,"Chiffre d'affaires MGA",Exportations!$K$2:$K$46)</x:f>
        <x:v>1222025970</x:v>
      </x:c>
      <x:c r="H2" s="16" t="n">
        <x:f>SUMIF(Exportations!$E$2:$E$46,"Chiffre d'affaires MGA",Exportations!$L$2:$L$46)</x:f>
        <x:v>1228057480</x:v>
      </x:c>
      <x:c r="I2" s="16" t="n">
        <x:f>SUMIF(Exportations!$E$2:$E$46,"Chiffre d'affaires MGA",Exportations!$M$2:$M$46)</x:f>
        <x:v>1140252640</x:v>
      </x:c>
      <x:c r="J2" s="16" t="n">
        <x:f>SUMIF(Exportations!$E$2:$E$46,"Chiffre d'affaires MGA",Exportations!$N$2:$N$46)</x:f>
        <x:v>1275120150</x:v>
      </x:c>
      <x:c r="K2" s="16" t="n">
        <x:f>SUMIF(Exportations!$E$2:$E$46,"Chiffre d'affaires MGA",Exportations!$O$2:$O$46)</x:f>
        <x:v>1164413865</x:v>
      </x:c>
      <x:c r="L2" s="16" t="n">
        <x:f>SUMIF(Exportations!$E$2:$E$46,"Chiffre d'affaires MGA",Exportations!$P$2:$P$46)</x:f>
        <x:v>1182499070</x:v>
      </x:c>
      <x:c r="M2" s="16" t="n">
        <x:f>SUMIF(Exportations!$E$2:$E$46,"Chiffre d'affaires MGA",Exportations!$Q$2:$Q$46)</x:f>
        <x:v>1119988090</x:v>
      </x:c>
      <x:c r="N2" s="16" t="n">
        <x:f>SUMIF(Exportations!$E$2:$E$46,"Chiffre d'affaires MGA",Exportations!$R$2:$R$46)</x:f>
        <x:v>1274120995</x:v>
      </x:c>
      <x:c r="O2" s="16" t="n">
        <x:f>SUM(C2:N2)</x:f>
        <x:v>14410378600</x:v>
      </x:c>
    </x:row>
    <x:row r="3">
      <x:c r="A3" t="str">
        <x:v>Charges exploitation</x:v>
      </x:c>
      <x:c r="B3" t="str">
        <x:v>MGA</x:v>
      </x:c>
      <x:c r="C3" s="16" t="n">
        <x:f>SUM(Charges!$E$2:$E$15)</x:f>
        <x:v>544802000</x:v>
      </x:c>
      <x:c r="D3" s="16" t="n">
        <x:f>SUM(Charges!$F$2:$F$15)</x:f>
        <x:v>553997000</x:v>
      </x:c>
      <x:c r="E3" s="16" t="n">
        <x:f>SUM(Charges!$G$2:$G$15)</x:f>
        <x:v>577993000</x:v>
      </x:c>
      <x:c r="F3" s="16" t="n">
        <x:f>SUM(Charges!$H$2:$H$15)</x:f>
        <x:v>529987000</x:v>
      </x:c>
      <x:c r="G3" s="16" t="n">
        <x:f>SUM(Charges!$I$2:$I$15)</x:f>
        <x:v>568542000</x:v>
      </x:c>
      <x:c r="H3" s="16" t="n">
        <x:f>SUM(Charges!$J$2:$J$15)</x:f>
        <x:v>532341000</x:v>
      </x:c>
      <x:c r="I3" s="16" t="n">
        <x:f>SUM(Charges!$K$2:$K$15)</x:f>
        <x:v>546742000</x:v>
      </x:c>
      <x:c r="J3" s="16" t="n">
        <x:f>SUM(Charges!$L$2:$L$15)</x:f>
        <x:v>549532000</x:v>
      </x:c>
      <x:c r="K3" s="16" t="n">
        <x:f>SUM(Charges!$M$2:$M$15)</x:f>
        <x:v>519197000</x:v>
      </x:c>
      <x:c r="L3" s="16" t="n">
        <x:f>SUM(Charges!$N$2:$N$15)</x:f>
        <x:v>529792000</x:v>
      </x:c>
      <x:c r="M3" s="16" t="n">
        <x:f>SUM(Charges!$O$2:$O$15)</x:f>
        <x:v>557816000</x:v>
      </x:c>
      <x:c r="N3" s="16" t="n">
        <x:f>SUM(Charges!$P$2:$P$15)</x:f>
        <x:v>556847000</x:v>
      </x:c>
      <x:c r="O3" s="16" t="n">
        <x:f>SUM(C3:N3)</x:f>
        <x:v>6567588000</x:v>
      </x:c>
    </x:row>
    <x:row r="4">
      <x:c r="A4" t="str">
        <x:v>Frais export</x:v>
      </x:c>
      <x:c r="B4" t="str">
        <x:v>MGA</x:v>
      </x:c>
      <x:c r="C4" s="16" t="n">
        <x:f>SUM('Frais Export'!$E$2:$E$19)</x:f>
        <x:v>243053000</x:v>
      </x:c>
      <x:c r="D4" s="16" t="n">
        <x:f>SUM('Frais Export'!$F$2:$F$19)</x:f>
        <x:v>262920000</x:v>
      </x:c>
      <x:c r="E4" s="16" t="n">
        <x:f>SUM('Frais Export'!$G$2:$G$19)</x:f>
        <x:v>270811000</x:v>
      </x:c>
      <x:c r="F4" s="16" t="n">
        <x:f>SUM('Frais Export'!$H$2:$H$19)</x:f>
        <x:v>242956000</x:v>
      </x:c>
      <x:c r="G4" s="16" t="n">
        <x:f>SUM('Frais Export'!$I$2:$I$19)</x:f>
        <x:v>260255000</x:v>
      </x:c>
      <x:c r="H4" s="16" t="n">
        <x:f>SUM('Frais Export'!$J$2:$J$19)</x:f>
        <x:v>257373000</x:v>
      </x:c>
      <x:c r="I4" s="16" t="n">
        <x:f>SUM('Frais Export'!$K$2:$K$19)</x:f>
        <x:v>250912000</x:v>
      </x:c>
      <x:c r="J4" s="16" t="n">
        <x:f>SUM('Frais Export'!$L$2:$L$19)</x:f>
        <x:v>263962000</x:v>
      </x:c>
      <x:c r="K4" s="16" t="n">
        <x:f>SUM('Frais Export'!$M$2:$M$19)</x:f>
        <x:v>258815000</x:v>
      </x:c>
      <x:c r="L4" s="16" t="n">
        <x:f>SUM('Frais Export'!$N$2:$N$19)</x:f>
        <x:v>269332000</x:v>
      </x:c>
      <x:c r="M4" s="16" t="n">
        <x:f>SUM('Frais Export'!$O$2:$O$19)</x:f>
        <x:v>254047000</x:v>
      </x:c>
      <x:c r="N4" s="16" t="n">
        <x:f>SUM('Frais Export'!$P$2:$P$19)</x:f>
        <x:v>269121000</x:v>
      </x:c>
      <x:c r="O4" s="16" t="n">
        <x:f>SUM(C4:N4)</x:f>
        <x:v>3103557000</x:v>
      </x:c>
    </x:row>
    <x:row r="5">
      <x:c r="A5" t="str">
        <x:v>Masse salariale</x:v>
      </x:c>
      <x:c r="B5" t="str">
        <x:v>MGA</x:v>
      </x:c>
      <x:c r="C5" s="16" t="n">
        <x:f>SUM(Employes!$I$2:$I$61)</x:f>
        <x:v>311533000</x:v>
      </x:c>
      <x:c r="D5" s="16" t="n">
        <x:f>SUM(Employes!$I$2:$I$61)</x:f>
        <x:v>311533000</x:v>
      </x:c>
      <x:c r="E5" s="16" t="n">
        <x:f>SUM(Employes!$I$2:$I$61)</x:f>
        <x:v>311533000</x:v>
      </x:c>
      <x:c r="F5" s="16" t="n">
        <x:f>SUM(Employes!$I$2:$I$61)</x:f>
        <x:v>311533000</x:v>
      </x:c>
      <x:c r="G5" s="16" t="n">
        <x:f>SUM(Employes!$I$2:$I$61)</x:f>
        <x:v>311533000</x:v>
      </x:c>
      <x:c r="H5" s="16" t="n">
        <x:f>SUM(Employes!$I$2:$I$61)</x:f>
        <x:v>311533000</x:v>
      </x:c>
      <x:c r="I5" s="16" t="n">
        <x:f>SUM(Employes!$I$2:$I$61)</x:f>
        <x:v>311533000</x:v>
      </x:c>
      <x:c r="J5" s="16" t="n">
        <x:f>SUM(Employes!$I$2:$I$61)</x:f>
        <x:v>311533000</x:v>
      </x:c>
      <x:c r="K5" s="16" t="n">
        <x:f>SUM(Employes!$I$2:$I$61)</x:f>
        <x:v>311533000</x:v>
      </x:c>
      <x:c r="L5" s="16" t="n">
        <x:f>SUM(Employes!$I$2:$I$61)</x:f>
        <x:v>311533000</x:v>
      </x:c>
      <x:c r="M5" s="16" t="n">
        <x:f>SUM(Employes!$I$2:$I$61)</x:f>
        <x:v>311533000</x:v>
      </x:c>
      <x:c r="N5" s="16" t="n">
        <x:f>SUM(Employes!$I$2:$I$61)</x:f>
        <x:v>311533000</x:v>
      </x:c>
      <x:c r="O5" s="16" t="n">
        <x:f>SUM(C5:N5)</x:f>
        <x:v>3738396000</x:v>
      </x:c>
    </x:row>
    <x:row r="6">
      <x:c r="A6" t="str">
        <x:v>Résultat opérationnel</x:v>
      </x:c>
      <x:c r="B6" t="str">
        <x:v>MGA</x:v>
      </x:c>
      <x:c r="C6" s="16" t="n">
        <x:f>C2-C3-C4-C5</x:f>
        <x:v>132266200</x:v>
      </x:c>
      <x:c r="D6" s="16" t="n">
        <x:f>D2-D3-D4-D5</x:f>
        <x:v>113285655</x:v>
      </x:c>
      <x:c r="E6" s="16" t="n">
        <x:f>E2-E3-E4-E5</x:f>
        <x:v>72018075</x:v>
      </x:c>
      <x:c r="F6" s="16" t="n">
        <x:f>F2-F3-F4-F5</x:f>
        <x:v>13679410</x:v>
      </x:c>
      <x:c r="G6" s="16" t="n">
        <x:f>G2-G3-G4-G5</x:f>
        <x:v>81695970</x:v>
      </x:c>
      <x:c r="H6" s="16" t="n">
        <x:f>H2-H3-H4-H5</x:f>
        <x:v>126810480</x:v>
      </x:c>
      <x:c r="I6" s="16" t="n">
        <x:f>I2-I3-I4-I5</x:f>
        <x:v>31065640</x:v>
      </x:c>
      <x:c r="J6" s="16" t="n">
        <x:f>J2-J3-J4-J5</x:f>
        <x:v>150093150</x:v>
      </x:c>
      <x:c r="K6" s="16" t="n">
        <x:f>K2-K3-K4-K5</x:f>
        <x:v>74868865</x:v>
      </x:c>
      <x:c r="L6" s="16" t="n">
        <x:f>L2-L3-L4-L5</x:f>
        <x:v>71842070</x:v>
      </x:c>
      <x:c r="M6" s="16" t="n">
        <x:f>M2-M3-M4-M5</x:f>
        <x:v>-3407910</x:v>
      </x:c>
      <x:c r="N6" s="16" t="n">
        <x:f>N2-N3-N4-N5</x:f>
        <x:v>136619995</x:v>
      </x:c>
      <x:c r="O6" s="16" t="n">
        <x:f>SUM(C6:N6)</x:f>
        <x:v>1000837600</x:v>
      </x:c>
    </x:row>
    <x:row r="7">
      <x:c r="A7" t="str">
        <x:v>Marge opérationnelle</x:v>
      </x:c>
      <x:c r="B7" t="str">
        <x:v>%</x:v>
      </x:c>
      <x:c r="C7" s="20" t="n">
        <x:f>IFERROR(C6/C2,0)</x:f>
        <x:v>0.10738907073105422</x:v>
      </x:c>
      <x:c r="D7" s="20" t="n">
        <x:f>IFERROR(D6/D2,0)</x:f>
        <x:v>0.09123170019628694</x:v>
      </x:c>
      <x:c r="E7" s="20" t="n">
        <x:f>IFERROR(E6/E2,0)</x:f>
        <x:v>0.05843938687881819</x:v>
      </x:c>
      <x:c r="F7" s="20" t="n">
        <x:f>IFERROR(F6/F2,0)</x:f>
        <x:v>0.012456715939686534</x:v>
      </x:c>
      <x:c r="G7" s="20" t="n">
        <x:f>IFERROR(G6/G2,0)</x:f>
        <x:v>0.06685289184157027</x:v>
      </x:c>
      <x:c r="H7" s="20" t="n">
        <x:f>IFERROR(H6/H2,0)</x:f>
        <x:v>0.10326102976873688</x:v>
      </x:c>
      <x:c r="I7" s="20" t="n">
        <x:f>IFERROR(I6/I2,0)</x:f>
        <x:v>0.027244523634692045</x:v>
      </x:c>
      <x:c r="J7" s="20" t="n">
        <x:f>IFERROR(J6/J2,0)</x:f>
        <x:v>0.11770902530243915</x:v>
      </x:c>
      <x:c r="K7" s="20" t="n">
        <x:f>IFERROR(K6/K2,0)</x:f>
        <x:v>0.06429746952557973</x:v>
      </x:c>
      <x:c r="L7" s="20" t="n">
        <x:f>IFERROR(L6/L2,0)</x:f>
        <x:v>0.06075444101617771</x:v>
      </x:c>
      <x:c r="M7" s="20" t="n">
        <x:f>IFERROR(M6/M2,0)</x:f>
        <x:v>-0.003042809142729366</x:v>
      </x:c>
      <x:c r="N7" s="20" t="n">
        <x:f>IFERROR(N6/N2,0)</x:f>
        <x:v>0.10722686113495838</x:v>
      </x:c>
      <x:c r="O7" s="20" t="n">
        <x:f>IFERROR(O6/O2,0)</x:f>
        <x:v>0.06945255414732823</x:v>
      </x:c>
    </x:row>
  </x:sheetData>
  <x:pageMargins left="0.7" right="0.7" top="0.75" bottom="0.75" header="0.3" footer="0.3"/>
</x:worksheet>
</file>