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971917c06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f63a0f67fff0460f"/>
    <x:sheet xmlns:r="http://schemas.openxmlformats.org/officeDocument/2006/relationships" name="Employes" sheetId="2" r:id="R8cfe632ec06a4725"/>
    <x:sheet xmlns:r="http://schemas.openxmlformats.org/officeDocument/2006/relationships" name="Production" sheetId="3" r:id="Rddbb74cd27774c48"/>
    <x:sheet xmlns:r="http://schemas.openxmlformats.org/officeDocument/2006/relationships" name="Charges" sheetId="4" r:id="R27b569e5806143f2"/>
    <x:sheet xmlns:r="http://schemas.openxmlformats.org/officeDocument/2006/relationships" name="Exportations" sheetId="5" r:id="Rfa19b323b2f44eec"/>
    <x:sheet xmlns:r="http://schemas.openxmlformats.org/officeDocument/2006/relationships" name="Frais Export" sheetId="6" r:id="R1e97310f813b4615"/>
    <x:sheet xmlns:r="http://schemas.openxmlformats.org/officeDocument/2006/relationships" name="Synthese" sheetId="7" r:id="Rffcff74acb1745d0"/>
    <x:sheet xmlns:r="http://schemas.openxmlformats.org/officeDocument/2006/relationships" name="Amortissements" sheetId="8" r:id="Re38c0a0e709248bc"/>
    <x:sheet xmlns:r="http://schemas.openxmlformats.org/officeDocument/2006/relationships" name="CR" sheetId="9" r:id="Re0f5c29b5629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;[Red](#,##0);-"/>
    <x:numFmt numFmtId="202" formatCode="#,##0.00;[Red](#,##0.00);-"/>
    <x:numFmt numFmtId="203" formatCode="0.0%;[Red](0.0%);-"/>
    <x:numFmt numFmtId="204" formatCode="#,##0.00 &quot;t&quot;;[Red](#,##0.00);-"/>
    <x:numFmt numFmtId="205" formatCode="#,##0;[Red](#,##0);–"/>
    <x:numFmt numFmtId="206" formatCode="0.00%"/>
  </x:numFmts>
  <x:fonts count="19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sz val="11"/>
      <x:color rgb="FF243447"/>
      <x:name val="Carlito"/>
    </x:font>
    <x:font>
      <x:sz val="11"/>
      <x:name val="Calibri"/>
    </x:font>
    <x:font>
      <x:sz val="10"/>
      <x:name val="Calibri"/>
    </x:font>
    <x:font>
      <x:b/>
      <x:sz val="15"/>
      <x:color rgb="FFFFFFFF"/>
      <x:name val="Calibri"/>
    </x:font>
    <x:font>
      <x:i/>
      <x:sz val="10"/>
      <x:color rgb="FF475569"/>
      <x:name val="Calibri"/>
    </x:font>
    <x:font>
      <x:b/>
      <x:sz val="10"/>
      <x:color rgb="FFFFFFFF"/>
      <x:name val="Calibri"/>
    </x:font>
    <x:font>
      <x:b/>
      <x:sz val="10"/>
      <x:color rgb="FF17365D"/>
      <x:name val="Calibri"/>
    </x:font>
    <x:font>
      <x:b/>
      <x:sz val="10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  <x:fill>
      <x:patternFill patternType="solid">
        <x:fgColor rgb="FF17365D"/>
      </x:patternFill>
    </x:fill>
    <x:fill>
      <x:patternFill patternType="solid">
        <x:fgColor rgb="FFE8EFF7"/>
      </x:patternFill>
    </x:fill>
    <x:fill>
      <x:patternFill patternType="solid">
        <x:fgColor rgb="FF28527A"/>
      </x:patternFill>
    </x:fill>
    <x:fill>
      <x:patternFill patternType="solid">
        <x:fgColor rgb="FFF2F6FA"/>
      </x:patternFill>
    </x:fill>
    <x:fill>
      <x:patternFill patternType="solid">
        <x:fgColor rgb="FFDCE8F3"/>
      </x:patternFill>
    </x:fill>
    <x:fill>
      <x:patternFill patternType="solid">
        <x:fgColor rgb="FFEAF2F8"/>
      </x:patternFill>
    </x:fill>
    <x:fill>
      <x:patternFill patternType="solid">
        <x:fgColor rgb="FFE5EEF8"/>
      </x:patternFill>
    </x:fill>
  </x:fills>
  <x:borders count="3">
    <x:border/>
    <x:border/>
    <x:border>
      <x:top style="medium">
        <x:color rgb="FF17365D"/>
      </x:top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202" fontId="4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2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202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2" fontId="8" fillId="8" borderId="2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202" fontId="8" fillId="9" borderId="2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2" fontId="8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202" fontId="8" fillId="10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2" fontId="10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202" fontId="5" fillId="7" borderId="0" xfId="0" applyNumberFormat="1" applyFont="1" applyFill="1" applyBorder="1" applyAlignment="1">
      <x:alignment horizontal="right" vertical="center" wrapText="1"/>
    </x:xf>
    <x:xf numFmtId="202" fontId="8" fillId="8" borderId="2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2" fontId="8" fillId="9" borderId="2" xfId="0" applyNumberFormat="1" applyFont="1" applyFill="1" applyBorder="1" applyAlignment="1">
      <x:alignment horizontal="right" vertical="center"/>
    </x:xf>
    <x:xf numFmtId="202" fontId="8" fillId="9" borderId="0" xfId="0" applyNumberFormat="1" applyFont="1" applyFill="1" applyBorder="1" applyAlignment="1">
      <x:alignment horizontal="right" vertical="center"/>
    </x:xf>
    <x:xf numFmtId="202" fontId="10" fillId="9" borderId="0" xfId="0" applyNumberFormat="1" applyFont="1" applyFill="1" applyBorder="1" applyAlignment="1">
      <x:alignment horizontal="right" vertical="center"/>
    </x:xf>
    <x:xf numFmtId="202" fontId="8" fillId="10" borderId="2" xfId="0" applyNumberFormat="1" applyFont="1" applyFill="1" applyBorder="1" applyAlignment="1">
      <x:alignment horizontal="right" vertical="center"/>
    </x:xf>
    <x:xf numFmtId="202" fontId="8" fillId="10" borderId="0" xfId="0" applyNumberFormat="1" applyFont="1" applyFill="1" applyBorder="1" applyAlignment="1">
      <x:alignment horizontal="right" vertical="center"/>
    </x:xf>
    <x:xf numFmtId="202" fontId="10" fillId="1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202" fontId="0" fillId="2" borderId="0" xfId="0" applyNumberFormat="1" applyFont="1" applyFill="1" applyBorder="1"/>
    <x:xf numFmtId="0" fontId="7" fillId="2" borderId="0" xfId="0" applyNumberFormat="1" applyFont="1" applyFill="1" applyBorder="1"/>
    <x:xf numFmtId="202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202" fontId="7" fillId="2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205" fontId="0" fillId="0" borderId="0" xfId="0" applyNumberFormat="1" applyFont="1" applyFill="1" applyBorder="1"/>
    <x:xf numFmtId="0" fontId="11" fillId="12" borderId="0" xfId="0" applyNumberFormat="1" applyFont="1" applyFill="1" applyBorder="1"/>
    <x:xf numFmtId="205" fontId="0" fillId="1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3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/>
    <x:xf numFmtId="0" fontId="15" fillId="14" borderId="0" xfId="0" applyNumberFormat="1" applyFont="1" applyFill="1" applyBorder="1"/>
    <x:xf numFmtId="0" fontId="13" fillId="15" borderId="0" xfId="0" applyNumberFormat="1" applyFont="1" applyFill="1" applyBorder="1"/>
    <x:xf numFmtId="0" fontId="16" fillId="15" borderId="0" xfId="0" applyNumberFormat="1" applyFont="1" applyFill="1" applyBorder="1"/>
    <x:xf numFmtId="0" fontId="16" fillId="15" borderId="0" xfId="0" applyNumberFormat="1" applyFont="1" applyFill="1" applyBorder="1" applyAlignment="1">
      <x:alignment horizontal="center"/>
    </x:xf>
    <x:xf numFmtId="0" fontId="16" fillId="15" borderId="0" xfId="0" applyNumberFormat="1" applyFont="1" applyFill="1" applyBorder="1" applyAlignment="1">
      <x:alignment horizontal="left"/>
    </x:xf>
    <x:xf numFmtId="0" fontId="13" fillId="16" borderId="0" xfId="0" applyNumberFormat="1" applyFont="1" applyFill="1" applyBorder="1"/>
    <x:xf numFmtId="201" fontId="13" fillId="16" borderId="0" xfId="0" applyNumberFormat="1" applyFont="1" applyFill="1" applyBorder="1"/>
    <x:xf numFmtId="0" fontId="13" fillId="17" borderId="0" xfId="0" applyNumberFormat="1" applyFont="1" applyFill="1" applyBorder="1"/>
    <x:xf numFmtId="201" fontId="13" fillId="17" borderId="0" xfId="0" applyNumberFormat="1" applyFont="1" applyFill="1" applyBorder="1"/>
    <x:xf numFmtId="0" fontId="17" fillId="17" borderId="0" xfId="0" applyNumberFormat="1" applyFont="1" applyFill="1" applyBorder="1"/>
    <x:xf numFmtId="201" fontId="17" fillId="17" borderId="0" xfId="0" applyNumberFormat="1" applyFont="1" applyFill="1" applyBorder="1"/>
    <x:xf numFmtId="0" fontId="17" fillId="15" borderId="0" xfId="0" applyNumberFormat="1" applyFont="1" applyFill="1" applyBorder="1"/>
    <x:xf numFmtId="201" fontId="17" fillId="15" borderId="0" xfId="0" applyNumberFormat="1" applyFont="1" applyFill="1" applyBorder="1"/>
    <x:xf numFmtId="201" fontId="16" fillId="15" borderId="0" xfId="0" applyNumberFormat="1" applyFont="1" applyFill="1" applyBorder="1"/>
    <x:xf numFmtId="0" fontId="13" fillId="18" borderId="0" xfId="0" applyNumberFormat="1" applyFont="1" applyFill="1" applyBorder="1"/>
    <x:xf numFmtId="201" fontId="13" fillId="18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/>
    <x:xf numFmtId="201" fontId="13" fillId="6" borderId="0" xfId="0" applyNumberFormat="1" applyFont="1" applyFill="1" applyBorder="1"/>
    <x:xf numFmtId="206" fontId="0" fillId="0" borderId="0" xfId="0" applyNumberFormat="1" applyFont="1" applyFill="1" applyBorder="1"/>
    <x:xf numFmtId="206" fontId="13" fillId="0" borderId="0" xfId="0" applyNumberFormat="1" applyFont="1" applyFill="1" applyBorder="1"/>
    <x:xf numFmtId="0" fontId="13" fillId="19" borderId="0" xfId="0" applyNumberFormat="1" applyFont="1" applyFill="1" applyBorder="1"/>
    <x:xf numFmtId="206" fontId="13" fillId="19" borderId="0" xfId="0" applyNumberFormat="1" applyFont="1" applyFill="1" applyBorder="1"/>
    <x:xf numFmtId="0" fontId="18" fillId="19" borderId="0" xfId="0" applyNumberFormat="1" applyFont="1" applyFill="1" applyBorder="1"/>
    <x:xf numFmtId="206" fontId="18" fillId="1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05e0e9ed54e05" /><Relationship Type="http://schemas.openxmlformats.org/officeDocument/2006/relationships/theme" Target="/xl/theme/theme1.xml" Id="R665a35635fb743bc" /><Relationship Type="http://schemas.openxmlformats.org/officeDocument/2006/relationships/sharedStrings" Target="/xl/sharedStrings.xml" Id="R7df72236e91246cc" /><Relationship Type="http://schemas.openxmlformats.org/officeDocument/2006/relationships/worksheet" Target="/xl/worksheets/sheet1.xml" Id="Rf63a0f67fff0460f" /><Relationship Type="http://schemas.openxmlformats.org/officeDocument/2006/relationships/worksheet" Target="/xl/worksheets/sheet2.xml" Id="R8cfe632ec06a4725" /><Relationship Type="http://schemas.openxmlformats.org/officeDocument/2006/relationships/worksheet" Target="/xl/worksheets/sheet3.xml" Id="Rddbb74cd27774c48" /><Relationship Type="http://schemas.openxmlformats.org/officeDocument/2006/relationships/worksheet" Target="/xl/worksheets/sheet4.xml" Id="R27b569e5806143f2" /><Relationship Type="http://schemas.openxmlformats.org/officeDocument/2006/relationships/worksheet" Target="/xl/worksheets/sheet5.xml" Id="Rfa19b323b2f44eec" /><Relationship Type="http://schemas.openxmlformats.org/officeDocument/2006/relationships/worksheet" Target="/xl/worksheets/sheet6.xml" Id="R1e97310f813b4615" /><Relationship Type="http://schemas.openxmlformats.org/officeDocument/2006/relationships/worksheet" Target="/xl/worksheets/sheet7.xml" Id="Rffcff74acb1745d0" /><Relationship Type="http://schemas.openxmlformats.org/officeDocument/2006/relationships/worksheet" Target="/xl/worksheets/sheet8.xml" Id="Re38c0a0e709248bc" /><Relationship Type="http://schemas.openxmlformats.org/officeDocument/2006/relationships/worksheet" Target="/xl/worksheets/sheet9.xml" Id="Re0f5c29b562943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.25" hidden="0" customWidth="1"/>
    <x:col min="3" max="3" width="11.25" hidden="0" customWidth="1"/>
    <x:col min="4" max="4" width="40" hidden="0" customWidth="1"/>
  </x:cols>
  <x:sheetData>
    <x:row r="1">
      <x:c r="A1" s="6" t="str">
        <x:v>DONNEES SOMIDA - PARAMETRES ET REFERENTIELS</x:v>
      </x:c>
      <x:c r="B1" s="6"/>
      <x:c r="C1" s="6"/>
      <x:c r="D1" s="6"/>
    </x:row>
    <x:row r="2">
      <x:c r="A2" s="6" t="str">
        <x:v>Paramètre</x:v>
      </x:c>
      <x:c r="B2" s="6" t="str">
        <x:v>Valeur</x:v>
      </x:c>
      <x:c r="C2" s="6" t="str">
        <x:v>Unité / devise</x:v>
      </x:c>
      <x:c r="D2" s="6" t="str">
        <x:v>Commentaire</x:v>
      </x:c>
    </x:row>
    <x:row r="3">
      <x:c r="A3" t="str">
        <x:v>Exercice</x:v>
      </x:c>
      <x:c r="B3" s="12" t="n">
        <x:v>2020</x:v>
      </x:c>
      <x:c r="C3" t="str">
        <x:v>année</x:v>
      </x:c>
      <x:c r="D3" t="str">
        <x:v>Exercice budgétaire</x:v>
      </x:c>
    </x:row>
    <x:row r="4">
      <x:c r="A4" t="str">
        <x:v>Inflation annuelle</x:v>
      </x:c>
      <x:c r="B4" s="14" t="n">
        <x:v>0.067</x:v>
      </x:c>
      <x:c r="C4" t="str">
        <x:v>%</x:v>
      </x:c>
      <x:c r="D4" t="str">
        <x:v>Hypothèse budgétaire</x:v>
      </x:c>
    </x:row>
    <x:row r="5">
      <x:c r="A5" t="str">
        <x:v>Taux USD/MGA</x:v>
      </x:c>
      <x:c r="B5" s="12" t="n">
        <x:v>3780</x:v>
      </x:c>
      <x:c r="C5" t="str">
        <x:v>MGA/USD</x:v>
      </x:c>
      <x:c r="D5" t="str">
        <x:v>Hypothèse de change</x:v>
      </x:c>
    </x:row>
    <x:row r="6">
      <x:c r="A6" t="str">
        <x:v>Taux JPY/MGA</x:v>
      </x:c>
      <x:c r="B6" s="12" t="n">
        <x:v>35.4</x:v>
      </x:c>
      <x:c r="C6" t="str">
        <x:v>MGA/JPY</x:v>
      </x:c>
      <x:c r="D6" t="str">
        <x:v>Hypothèse de change</x:v>
      </x:c>
    </x:row>
    <x:row r="7">
      <x:c r="A7" t="str">
        <x:v>Augmentation salariale</x:v>
      </x:c>
      <x:c r="B7" s="14" t="n">
        <x:v>0.07500000000000001</x:v>
      </x:c>
      <x:c r="C7" t="str">
        <x:v>%</x:v>
      </x:c>
      <x:c r="D7" t="str">
        <x:v>Hypothèse RH</x:v>
      </x:c>
    </x:row>
    <x:row r="8">
      <x:c r="A8" t="str">
        <x:v>TVA</x:v>
      </x:c>
      <x:c r="B8" s="14" t="n">
        <x:v>0.2</x:v>
      </x:c>
      <x:c r="C8" t="str">
        <x:v>%</x:v>
      </x:c>
      <x:c r="D8" t="str">
        <x:v>Paramètre fiscal</x:v>
      </x:c>
    </x:row>
    <x:row r="9">
      <x:c r="A9" t="str">
        <x:v>Site principal</x:v>
      </x:c>
      <x:c r="B9" t="str">
        <x:v>FORT DAUPHIN</x:v>
      </x:c>
      <x:c r="C9" t="str"/>
      <x:c r="D9" t="str">
        <x:v>Administration / export</x:v>
      </x:c>
    </x:row>
    <x:row r="10">
      <x:c r="A10" t="str">
        <x:v>Site production</x:v>
      </x:c>
      <x:c r="B10" t="str">
        <x:v>AMPANDRANDAVA</x:v>
      </x:c>
      <x:c r="C10" t="str"/>
      <x:c r="D10" t="str">
        <x:v>Production</x:v>
      </x:c>
    </x:row>
    <x:row r="11">
      <x:c r="A11"/>
      <x:c r="B11"/>
      <x:c r="C11"/>
      <x:c r="D11"/>
    </x:row>
    <x:row r="12">
      <x:c r="A12" s="6" t="str">
        <x:v>MARCHES EXPORT</x:v>
      </x:c>
      <x:c r="B12" s="6"/>
      <x:c r="C12" s="6"/>
      <x:c r="D12" s="6"/>
    </x:row>
    <x:row r="13">
      <x:c r="A13" s="6" t="str">
        <x:v>Pays</x:v>
      </x:c>
      <x:c r="B13" s="6" t="str">
        <x:v>Entité représentatrice</x:v>
      </x:c>
      <x:c r="C13" s="6" t="str">
        <x:v>Devise</x:v>
      </x:c>
      <x:c r="D13" s="6" t="str">
        <x:v>Observation</x:v>
      </x:c>
    </x:row>
    <x:row r="14">
      <x:c r="A14" t="str">
        <x:v>Japon</x:v>
      </x:c>
      <x:c r="B14" t="str">
        <x:v>GOODEIS</x:v>
      </x:c>
      <x:c r="C14" t="str">
        <x:v>JPY</x:v>
      </x:c>
      <x:c r="D14" t="str">
        <x:v>Relation export issue de la correction utilisateur</x:v>
      </x:c>
    </x:row>
    <x:row r="15">
      <x:c r="A15" t="str">
        <x:v>Russie</x:v>
      </x:c>
      <x:c r="B15" t="str">
        <x:v>ELINAR</x:v>
      </x:c>
      <x:c r="C15" t="str">
        <x:v>USD</x:v>
      </x:c>
      <x:c r="D15" t="str">
        <x:v>Relation export issue de la correction utilisateur</x:v>
      </x:c>
    </x:row>
    <x:row r="16">
      <x:c r="A16" t="str">
        <x:v>Chine</x:v>
      </x:c>
      <x:c r="B16" t="str">
        <x:v>REPRESENTANT CHINE - A VALIDER</x:v>
      </x:c>
      <x:c r="C16" t="str">
        <x:v>USD</x:v>
      </x:c>
      <x:c r="D16" t="str">
        <x:v>Nom exact à confirmer depuis Données SOMIDA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14.75" hidden="0" customWidth="1"/>
    <x:col min="4" max="4" width="11.630000114440918" hidden="0" customWidth="1"/>
    <x:col min="5" max="5" width="26" hidden="0" customWidth="1"/>
    <x:col min="6" max="6" width="22" hidden="0" customWidth="1"/>
    <x:col min="7" max="7" width="18.75" hidden="0" customWidth="1"/>
    <x:col min="8" max="8" width="20.5" hidden="0" customWidth="1"/>
    <x:col min="9" max="9" width="20.5" hidden="0" customWidth="1"/>
    <x:col min="10" max="10" width="5.130000114440918" hidden="0" customWidth="1"/>
  </x:cols>
  <x:sheetData>
    <x:row r="1">
      <x:c r="A1" s="6" t="str">
        <x:v>Matricule</x:v>
      </x:c>
      <x:c r="B1" s="6" t="str">
        <x:v>Nom simulé</x:v>
      </x:c>
      <x:c r="C1" s="6" t="str">
        <x:v>Site</x:v>
      </x:c>
      <x:c r="D1" s="6" t="str">
        <x:v>Département</x:v>
      </x:c>
      <x:c r="E1" s="6" t="str">
        <x:v>Poste</x:v>
      </x:c>
      <x:c r="F1" s="6" t="str">
        <x:v>Salaire base mensuel (MGA)</x:v>
      </x:c>
      <x:c r="G1" s="6" t="str">
        <x:v>Prime mensuelle (MGA)</x:v>
      </x:c>
      <x:c r="H1" s="6" t="str">
        <x:v>Charges patronales (MGA)</x:v>
      </x:c>
      <x:c r="I1" s="6" t="str">
        <x:v>Coût mensuel total (MGA)</x:v>
      </x:c>
      <x:c r="J1" s="6" t="str">
        <x:v>Statut</x:v>
      </x:c>
    </x:row>
    <x:row r="2">
      <x:c r="A2" t="str">
        <x:v>EMP-001</x:v>
      </x:c>
      <x:c r="B2" t="str">
        <x:v>RABE Hery</x:v>
      </x:c>
      <x:c r="C2" t="str">
        <x:v>AMBOASARY</x:v>
      </x:c>
      <x:c r="D2" t="str">
        <x:v>Direction</x:v>
      </x:c>
      <x:c r="E2" t="str">
        <x:v>Directeur Général</x:v>
      </x:c>
      <x:c r="F2" s="16" t="n">
        <x:v>9136800</x:v>
      </x:c>
      <x:c r="G2" s="16" t="n">
        <x:v>1096416</x:v>
      </x:c>
      <x:c r="H2" s="16" t="n">
        <x:v>1644624</x:v>
      </x:c>
      <x:c r="I2" s="16" t="n">
        <x:f>SUM(F2:H2)</x:f>
        <x:v>11877840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AMBOASARY</x:v>
      </x:c>
      <x:c r="D3" t="str">
        <x:v>Direction</x:v>
      </x:c>
      <x:c r="E3" t="str">
        <x:v>DAF</x:v>
      </x:c>
      <x:c r="F3" s="16" t="n">
        <x:v>6551424</x:v>
      </x:c>
      <x:c r="G3" s="16" t="n">
        <x:v>655142</x:v>
      </x:c>
      <x:c r="H3" s="16" t="n">
        <x:v>1178986</x:v>
      </x:c>
      <x:c r="I3" s="16" t="n">
        <x:f>SUM(F3:H3)</x:f>
        <x:v>8385552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16" t="n">
        <x:v>3810384</x:v>
      </x:c>
      <x:c r="G4" s="16" t="n">
        <x:v>190858</x:v>
      </x:c>
      <x:c r="H4" s="16" t="n">
        <x:v>685598</x:v>
      </x:c>
      <x:c r="I4" s="16" t="n">
        <x:f>SUM(F4:H4)</x:f>
        <x:v>4686840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AMPANDRANDAVA</x:v>
      </x:c>
      <x:c r="D5" t="str">
        <x:v>Finance</x:v>
      </x:c>
      <x:c r="E5" t="str">
        <x:v>Comptable</x:v>
      </x:c>
      <x:c r="F5" s="16" t="n">
        <x:v>2301120</x:v>
      </x:c>
      <x:c r="G5" s="16" t="n">
        <x:v>115056</x:v>
      </x:c>
      <x:c r="H5" s="16" t="n">
        <x:v>414202</x:v>
      </x:c>
      <x:c r="I5" s="16" t="n">
        <x:f>SUM(F5:H5)</x:f>
        <x:v>2830378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FORT DAUPHIN</x:v>
      </x:c>
      <x:c r="D6" t="str">
        <x:v>Finance</x:v>
      </x:c>
      <x:c r="E6" t="str">
        <x:v>Assistant comptable</x:v>
      </x:c>
      <x:c r="F6" s="16" t="n">
        <x:v>1719072</x:v>
      </x:c>
      <x:c r="G6" s="16" t="n">
        <x:v>85954</x:v>
      </x:c>
      <x:c r="H6" s="16" t="n">
        <x:v>309298</x:v>
      </x:c>
      <x:c r="I6" s="16" t="n">
        <x:f>SUM(F6:H6)</x:f>
        <x:v>2114324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16" t="n">
        <x:v>3241872</x:v>
      </x:c>
      <x:c r="G7" s="16" t="n">
        <x:v>162432</x:v>
      </x:c>
      <x:c r="H7" s="16" t="n">
        <x:v>583402</x:v>
      </x:c>
      <x:c r="I7" s="16" t="n">
        <x:f>SUM(F7:H7)</x:f>
        <x:v>3987706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FORT DAUPHIN</x:v>
      </x:c>
      <x:c r="D8" t="str">
        <x:v>Commercial</x:v>
      </x:c>
      <x:c r="E8" t="str">
        <x:v>Responsable commercial export</x:v>
      </x:c>
      <x:c r="F8" s="16" t="n">
        <x:v>3580272</x:v>
      </x:c>
      <x:c r="G8" s="16" t="n">
        <x:v>286286</x:v>
      </x:c>
      <x:c r="H8" s="16" t="n">
        <x:v>644314</x:v>
      </x:c>
      <x:c r="I8" s="16" t="n">
        <x:f>SUM(F8:H8)</x:f>
        <x:v>4510872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AMBOASARY</x:v>
      </x:c>
      <x:c r="D9" t="str">
        <x:v>Commercial</x:v>
      </x:c>
      <x:c r="E9" t="str">
        <x:v>Agent export</x:v>
      </x:c>
      <x:c r="F9" s="16" t="n">
        <x:v>2010096</x:v>
      </x:c>
      <x:c r="G9" s="16" t="n">
        <x:v>240941</x:v>
      </x:c>
      <x:c r="H9" s="16" t="n">
        <x:v>362088</x:v>
      </x:c>
      <x:c r="I9" s="16" t="n">
        <x:f>SUM(F9:H9)</x:f>
        <x:v>2613125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16" t="n">
        <x:v>2334960</x:v>
      </x:c>
      <x:c r="G10" s="16" t="n">
        <x:v>186797</x:v>
      </x:c>
      <x:c r="H10" s="16" t="n">
        <x:v>420293</x:v>
      </x:c>
      <x:c r="I10" s="16" t="n">
        <x:f>SUM(F10:H10)</x:f>
        <x:v>2942050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AMPANDRANDAVA</x:v>
      </x:c>
      <x:c r="D11" t="str">
        <x:v>Production</x:v>
      </x:c>
      <x:c r="E11" t="str">
        <x:v>Contrôleur qualité</x:v>
      </x:c>
      <x:c r="F11" s="16" t="n">
        <x:v>1915344</x:v>
      </x:c>
      <x:c r="G11" s="16" t="n">
        <x:v>96106</x:v>
      </x:c>
      <x:c r="H11" s="16" t="n">
        <x:v>344491</x:v>
      </x:c>
      <x:c r="I11" s="16" t="n">
        <x:f>SUM(F11:H11)</x:f>
        <x:v>2355941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FORT DAUPHIN</x:v>
      </x:c>
      <x:c r="D12" t="str">
        <x:v>Production</x:v>
      </x:c>
      <x:c r="E12" t="str">
        <x:v>Opérateur traitement</x:v>
      </x:c>
      <x:c r="F12" s="16" t="n">
        <x:v>1238544</x:v>
      </x:c>
      <x:c r="G12" s="16" t="n">
        <x:v>123854</x:v>
      </x:c>
      <x:c r="H12" s="16" t="n">
        <x:v>222667</x:v>
      </x:c>
      <x:c r="I12" s="16" t="n">
        <x:f>SUM(F12:H12)</x:f>
        <x:v>1585065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16" t="n">
        <x:v>954288</x:v>
      </x:c>
      <x:c r="G13" s="16" t="n">
        <x:v>95429</x:v>
      </x:c>
      <x:c r="H13" s="16" t="n">
        <x:v>171907</x:v>
      </x:c>
      <x:c r="I13" s="16" t="n">
        <x:f>SUM(F13:H13)</x:f>
        <x:v>1221624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TRANOMARO</x:v>
      </x:c>
      <x:c r="D14" t="str">
        <x:v>Logistique</x:v>
      </x:c>
      <x:c r="E14" t="str">
        <x:v>Responsable logistique</x:v>
      </x:c>
      <x:c r="F14" s="16" t="n">
        <x:v>3099744</x:v>
      </x:c>
      <x:c r="G14" s="16" t="n">
        <x:v>247709</x:v>
      </x:c>
      <x:c r="H14" s="16" t="n">
        <x:v>557683</x:v>
      </x:c>
      <x:c r="I14" s="16" t="n">
        <x:f>SUM(F14:H14)</x:f>
        <x:v>3905136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16" t="n">
        <x:v>1164096</x:v>
      </x:c>
      <x:c r="G15" s="16" t="n">
        <x:v>139421</x:v>
      </x:c>
      <x:c r="H15" s="16" t="n">
        <x:v>209808</x:v>
      </x:c>
      <x:c r="I15" s="16" t="n">
        <x:f>SUM(F15:H15)</x:f>
        <x:v>1513325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16" t="n">
        <x:v>1746144</x:v>
      </x:c>
      <x:c r="G16" s="16" t="n">
        <x:v>209808</x:v>
      </x:c>
      <x:c r="H16" s="16" t="n">
        <x:v>314035</x:v>
      </x:c>
      <x:c r="I16" s="16" t="n">
        <x:f>SUM(F16:H16)</x:f>
        <x:v>2269987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AMPANDRANDAVA</x:v>
      </x:c>
      <x:c r="D17" t="str">
        <x:v>Sécurité</x:v>
      </x:c>
      <x:c r="E17" t="str">
        <x:v>Agent de sécurité</x:v>
      </x:c>
      <x:c r="F17" s="16" t="n">
        <x:v>906912</x:v>
      </x:c>
      <x:c r="G17" s="16" t="n">
        <x:v>108965</x:v>
      </x:c>
      <x:c r="H17" s="16" t="n">
        <x:v>163109</x:v>
      </x:c>
      <x:c r="I17" s="16" t="n">
        <x:f>SUM(F17:H17)</x:f>
        <x:v>1178986</x:v>
      </x:c>
      <x:c r="J17" t="str">
        <x:v>Actif</x:v>
      </x:c>
    </x:row>
    <x:row r="18">
      <x:c r="A18" t="str">
        <x:v>EMP-018</x:v>
      </x:c>
      <x:c r="B18" t="str">
        <x:v>RAKOTONDRABE Tsiory</x:v>
      </x:c>
      <x:c r="C18" t="str">
        <x:v>TRANOMARO</x:v>
      </x:c>
      <x:c r="D18" t="str">
        <x:v>Administration</x:v>
      </x:c>
      <x:c r="E18" t="str">
        <x:v>Assistant administratif</x:v>
      </x:c>
      <x:c r="F18" s="16" t="n">
        <x:v>1394208</x:v>
      </x:c>
      <x:c r="G18" s="16" t="n">
        <x:v>139421</x:v>
      </x:c>
      <x:c r="H18" s="16" t="n">
        <x:v>251093</x:v>
      </x:c>
      <x:c r="I18" s="16" t="n">
        <x:f>SUM(F18:H18)</x:f>
        <x:v>1784722</x:v>
      </x:c>
      <x:c r="J18" t="str">
        <x:v>Actif</x:v>
      </x:c>
    </x:row>
    <x:row r="19">
      <x:c r="A19" t="str">
        <x:v>EMP-019</x:v>
      </x:c>
      <x:c r="B19" t="str">
        <x:v>ANDRIANIRINA Mamy</x:v>
      </x:c>
      <x:c r="C19" t="str">
        <x:v>TRANOMARO</x:v>
      </x:c>
      <x:c r="D19" t="str">
        <x:v>Production</x:v>
      </x:c>
      <x:c r="E19" t="str">
        <x:v>Coupeuse / trieuse</x:v>
      </x:c>
      <x:c r="F19" s="16" t="n">
        <x:v>9542880</x:v>
      </x:c>
      <x:c r="G19" s="16" t="n">
        <x:v>954288</x:v>
      </x:c>
      <x:c r="H19" s="16" t="n">
        <x:v>1717718</x:v>
      </x:c>
      <x:c r="I19" s="16" t="n">
        <x:f>SUM(F19:H19)</x:f>
        <x:v>12214886</x:v>
      </x:c>
      <x:c r="J19" t="str">
        <x:v>Actif</x:v>
      </x:c>
    </x:row>
    <x:row r="20">
      <x:c r="A20" t="str">
        <x:v>EMP-020</x:v>
      </x:c>
      <x:c r="B20" t="str">
        <x:v>RABENJA Felana</x:v>
      </x:c>
      <x:c r="C20" t="str">
        <x:v>TRANOMARO</x:v>
      </x:c>
      <x:c r="D20" t="str">
        <x:v>Production</x:v>
      </x:c>
      <x:c r="E20" t="str">
        <x:v>Coupeuse / trieuse</x:v>
      </x:c>
      <x:c r="F20" s="16" t="n">
        <x:v>6551424</x:v>
      </x:c>
      <x:c r="G20" s="16" t="n">
        <x:v>655142</x:v>
      </x:c>
      <x:c r="H20" s="16" t="n">
        <x:v>1178986</x:v>
      </x:c>
      <x:c r="I20" s="16" t="n">
        <x:f>SUM(F20:H20)</x:f>
        <x:v>8385552</x:v>
      </x:c>
      <x:c r="J20" t="str">
        <x:v>Actif</x:v>
      </x:c>
    </x:row>
    <x:row r="21">
      <x:c r="A21" t="str">
        <x:v>EMP-021</x:v>
      </x:c>
      <x:c r="B21" t="str">
        <x:v>RAJAONARIVELO Faly</x:v>
      </x:c>
      <x:c r="C21" t="str">
        <x:v>TRANOMARO</x:v>
      </x:c>
      <x:c r="D21" t="str">
        <x:v>Production</x:v>
      </x:c>
      <x:c r="E21" t="str">
        <x:v>Coupeuse / trieuse</x:v>
      </x:c>
      <x:c r="F21" s="16" t="n">
        <x:v>3634416</x:v>
      </x:c>
      <x:c r="G21" s="16" t="n">
        <x:v>363442</x:v>
      </x:c>
      <x:c r="H21" s="16" t="n">
        <x:v>654466</x:v>
      </x:c>
      <x:c r="I21" s="16" t="n">
        <x:f>SUM(F21:H21)</x:f>
        <x:v>4652324</x:v>
      </x:c>
      <x:c r="J21" t="str">
        <x:v>Actif</x:v>
      </x:c>
    </x:row>
    <x:row r="22">
      <x:c r="A22" t="str">
        <x:v>EMP-022</x:v>
      </x:c>
      <x:c r="B22" t="str">
        <x:v>RANORO Haja</x:v>
      </x:c>
      <x:c r="C22" t="str">
        <x:v>ANIVORANO</x:v>
      </x:c>
      <x:c r="D22" t="str">
        <x:v>Production</x:v>
      </x:c>
      <x:c r="E22" t="str">
        <x:v>Coupeuse / trieuse</x:v>
      </x:c>
      <x:c r="F22" s="16" t="n">
        <x:v>2294352</x:v>
      </x:c>
      <x:c r="G22" s="16" t="n">
        <x:v>183413</x:v>
      </x:c>
      <x:c r="H22" s="16" t="n">
        <x:v>412848</x:v>
      </x:c>
      <x:c r="I22" s="16" t="n">
        <x:f>SUM(F22:H22)</x:f>
        <x:v>2890613</x:v>
      </x:c>
      <x:c r="J22" t="str">
        <x:v>Actif</x:v>
      </x:c>
    </x:row>
    <x:row r="23">
      <x:c r="A23" t="str">
        <x:v>EMP-023</x:v>
      </x:c>
      <x:c r="B23" t="str">
        <x:v>RAKOTOARISOA Tsanta</x:v>
      </x:c>
      <x:c r="C23" t="str">
        <x:v>ANIVORANO</x:v>
      </x:c>
      <x:c r="D23" t="str">
        <x:v>Production</x:v>
      </x:c>
      <x:c r="E23" t="str">
        <x:v>Coupeuse / trieuse</x:v>
      </x:c>
      <x:c r="F23" s="16" t="n">
        <x:v>1536336</x:v>
      </x:c>
      <x:c r="G23" s="16" t="n">
        <x:v>153634</x:v>
      </x:c>
      <x:c r="H23" s="16" t="n">
        <x:v>276811</x:v>
      </x:c>
      <x:c r="I23" s="16" t="n">
        <x:f>SUM(F23:H23)</x:f>
        <x:v>1966781</x:v>
      </x:c>
      <x:c r="J23" t="str">
        <x:v>Actif</x:v>
      </x:c>
    </x:row>
    <x:row r="24">
      <x:c r="A24" t="str">
        <x:v>EMP-024</x:v>
      </x:c>
      <x:c r="B24" t="str">
        <x:v>RASOANIRINA Lova</x:v>
      </x:c>
      <x:c r="C24" t="str">
        <x:v>ANIVORANO</x:v>
      </x:c>
      <x:c r="D24" t="str">
        <x:v>Production</x:v>
      </x:c>
      <x:c r="E24" t="str">
        <x:v>Coupeuse / trieuse</x:v>
      </x:c>
      <x:c r="F24" s="16" t="n">
        <x:v>3390768</x:v>
      </x:c>
      <x:c r="G24" s="16" t="n">
        <x:v>169200</x:v>
      </x:c>
      <x:c r="H24" s="16" t="n">
        <x:v>610474</x:v>
      </x:c>
      <x:c r="I24" s="16" t="n">
        <x:f>SUM(F24:H24)</x:f>
        <x:v>4170442</x:v>
      </x:c>
      <x:c r="J24" t="str">
        <x:v>Actif</x:v>
      </x:c>
    </x:row>
    <x:row r="25">
      <x:c r="A25" t="str">
        <x:v>EMP-025</x:v>
      </x:c>
      <x:c r="B25" t="str">
        <x:v>ANDRIAMAHENINA Onja</x:v>
      </x:c>
      <x:c r="C25" t="str">
        <x:v>ANIVORANO</x:v>
      </x:c>
      <x:c r="D25" t="str">
        <x:v>Production</x:v>
      </x:c>
      <x:c r="E25" t="str">
        <x:v>Coupeuse / trieuse</x:v>
      </x:c>
      <x:c r="F25" s="16" t="n">
        <x:v>3905136</x:v>
      </x:c>
      <x:c r="G25" s="16" t="n">
        <x:v>312682</x:v>
      </x:c>
      <x:c r="H25" s="16" t="n">
        <x:v>703195</x:v>
      </x:c>
      <x:c r="I25" s="16" t="n">
        <x:f>SUM(F25:H25)</x:f>
        <x:v>4921013</x:v>
      </x:c>
      <x:c r="J25" t="str">
        <x:v>Actif</x:v>
      </x:c>
    </x:row>
    <x:row r="26">
      <x:c r="A26" t="str">
        <x:v>EMP-026</x:v>
      </x:c>
      <x:c r="B26" t="str">
        <x:v>RAKOTOMANGA Fitia</x:v>
      </x:c>
      <x:c r="C26" t="str">
        <x:v>ANIVORANO</x:v>
      </x:c>
      <x:c r="D26" t="str">
        <x:v>Production</x:v>
      </x:c>
      <x:c r="E26" t="str">
        <x:v>Coupeuse / trieuse</x:v>
      </x:c>
      <x:c r="F26" s="16" t="n">
        <x:v>2064240</x:v>
      </x:c>
      <x:c r="G26" s="16" t="n">
        <x:v>206424</x:v>
      </x:c>
      <x:c r="H26" s="16" t="n">
        <x:v>371563</x:v>
      </x:c>
      <x:c r="I26" s="16" t="n">
        <x:f>SUM(F26:H26)</x:f>
        <x:v>2642227</x:v>
      </x:c>
      <x:c r="J26" t="str">
        <x:v>Actif</x:v>
      </x:c>
    </x:row>
    <x:row r="27">
      <x:c r="A27" t="str">
        <x:v>EMP-027</x:v>
      </x:c>
      <x:c r="B27" t="str">
        <x:v>RAKOTOVAO Tovo</x:v>
      </x:c>
      <x:c r="C27" t="str">
        <x:v>ANIVORANO</x:v>
      </x:c>
      <x:c r="D27" t="str">
        <x:v>Production</x:v>
      </x:c>
      <x:c r="E27" t="str">
        <x:v>Coupeuse / trieuse</x:v>
      </x:c>
      <x:c r="F27" s="16" t="n">
        <x:v>3647952</x:v>
      </x:c>
      <x:c r="G27" s="16" t="n">
        <x:v>182736</x:v>
      </x:c>
      <x:c r="H27" s="16" t="n">
        <x:v>656496</x:v>
      </x:c>
      <x:c r="I27" s="16" t="n">
        <x:f>SUM(F27:H27)</x:f>
        <x:v>4487184</x:v>
      </x:c>
      <x:c r="J27" t="str">
        <x:v>Actif</x:v>
      </x:c>
    </x:row>
    <x:row r="28">
      <x:c r="A28" t="str">
        <x:v>EMP-028</x:v>
      </x:c>
      <x:c r="B28" t="str">
        <x:v>RANDRIANASOLO Mendrika</x:v>
      </x:c>
      <x:c r="C28" t="str">
        <x:v>ANIVORANO</x:v>
      </x:c>
      <x:c r="D28" t="str">
        <x:v>Production</x:v>
      </x:c>
      <x:c r="E28" t="str">
        <x:v>Coupeuse / trieuse</x:v>
      </x:c>
      <x:c r="F28" s="16" t="n">
        <x:v>2341728</x:v>
      </x:c>
      <x:c r="G28" s="16" t="n">
        <x:v>117086</x:v>
      </x:c>
      <x:c r="H28" s="16" t="n">
        <x:v>421646</x:v>
      </x:c>
      <x:c r="I28" s="16" t="n">
        <x:f>SUM(F28:H28)</x:f>
        <x:v>2880460</x:v>
      </x:c>
      <x:c r="J28" t="str">
        <x:v>Actif</x:v>
      </x:c>
    </x:row>
    <x:row r="29">
      <x:c r="A29" t="str">
        <x:v>EMP-029</x:v>
      </x:c>
      <x:c r="B29" t="str">
        <x:v>RAVELO Aro</x:v>
      </x:c>
      <x:c r="C29" t="str">
        <x:v>FORT DAUPHIN</x:v>
      </x:c>
      <x:c r="D29" t="str">
        <x:v>Production</x:v>
      </x:c>
      <x:c r="E29" t="str">
        <x:v>Coupeuse / trieuse</x:v>
      </x:c>
      <x:c r="F29" s="16" t="n">
        <x:v>1793520</x:v>
      </x:c>
      <x:c r="G29" s="16" t="n">
        <x:v>143482</x:v>
      </x:c>
      <x:c r="H29" s="16" t="n">
        <x:v>322834</x:v>
      </x:c>
      <x:c r="I29" s="16" t="n">
        <x:f>SUM(F29:H29)</x:f>
        <x:v>2259836</x:v>
      </x:c>
      <x:c r="J29" t="str">
        <x:v>Actif</x:v>
      </x:c>
    </x:row>
    <x:row r="30">
      <x:c r="A30" t="str">
        <x:v>EMP-030</x:v>
      </x:c>
      <x:c r="B30" t="str">
        <x:v>RAZAFIMAHATRATRA Vola</x:v>
      </x:c>
      <x:c r="C30" t="str">
        <x:v>FORT DAUPHIN</x:v>
      </x:c>
      <x:c r="D30" t="str">
        <x:v>Production</x:v>
      </x:c>
      <x:c r="E30" t="str">
        <x:v>Coupeuse / trieuse</x:v>
      </x:c>
      <x:c r="F30" s="16" t="n">
        <x:v>1299456</x:v>
      </x:c>
      <x:c r="G30" s="16" t="n">
        <x:v>104227</x:v>
      </x:c>
      <x:c r="H30" s="16" t="n">
        <x:v>234173</x:v>
      </x:c>
      <x:c r="I30" s="16" t="n">
        <x:f>SUM(F30:H30)</x:f>
        <x:v>1637856</x:v>
      </x:c>
      <x:c r="J30" t="str">
        <x:v>Actif</x:v>
      </x:c>
    </x:row>
    <x:row r="31">
      <x:c r="A31" t="str">
        <x:v>EMP-031</x:v>
      </x:c>
      <x:c r="B31" t="str">
        <x:v>RAKOTOVOLOLONA Rado</x:v>
      </x:c>
      <x:c r="C31" t="str">
        <x:v>FORT DAUPHIN</x:v>
      </x:c>
      <x:c r="D31" t="str">
        <x:v>Production</x:v>
      </x:c>
      <x:c r="E31" t="str">
        <x:v>Coupeuse / trieuse</x:v>
      </x:c>
      <x:c r="F31" s="16" t="n">
        <x:v>866304</x:v>
      </x:c>
      <x:c r="G31" s="16" t="n">
        <x:v>104227</x:v>
      </x:c>
      <x:c r="H31" s="16" t="n">
        <x:v>155664</x:v>
      </x:c>
      <x:c r="I31" s="16" t="n">
        <x:f>SUM(F31:H31)</x:f>
        <x:v>1126195</x:v>
      </x:c>
      <x:c r="J31" t="str">
        <x:v>Actif</x:v>
      </x:c>
    </x:row>
    <x:row r="32">
      <x:c r="A32" t="str">
        <x:v>EMP-032</x:v>
      </x:c>
      <x:c r="B32" t="str">
        <x:v>RABEMANANJARA Hery</x:v>
      </x:c>
      <x:c r="C32" t="str">
        <x:v>FORT DAUPHIN</x:v>
      </x:c>
      <x:c r="D32" t="str">
        <x:v>Production</x:v>
      </x:c>
      <x:c r="E32" t="str">
        <x:v>Coupeuse / trieuse</x:v>
      </x:c>
      <x:c r="F32" s="16" t="n">
        <x:v>2734272</x:v>
      </x:c>
      <x:c r="G32" s="16" t="n">
        <x:v>218606</x:v>
      </x:c>
      <x:c r="H32" s="16" t="n">
        <x:v>492034</x:v>
      </x:c>
      <x:c r="I32" s="16" t="n">
        <x:f>SUM(F32:H32)</x:f>
        <x:v>3444912</x:v>
      </x:c>
      <x:c r="J32" t="str">
        <x:v>Actif</x:v>
      </x:c>
    </x:row>
    <x:row r="33">
      <x:c r="A33" t="str">
        <x:v>EMP-033</x:v>
      </x:c>
      <x:c r="B33" t="str">
        <x:v>RAKOTOZAFY Mialy</x:v>
      </x:c>
      <x:c r="C33" t="str">
        <x:v>FORT DAUPHIN</x:v>
      </x:c>
      <x:c r="D33" t="str">
        <x:v>Production</x:v>
      </x:c>
      <x:c r="E33" t="str">
        <x:v>Coupeuse / trieuse</x:v>
      </x:c>
      <x:c r="F33" s="16" t="n">
        <x:v>1143792</x:v>
      </x:c>
      <x:c r="G33" s="16" t="n">
        <x:v>114379</x:v>
      </x:c>
      <x:c r="H33" s="16" t="n">
        <x:v>205747</x:v>
      </x:c>
      <x:c r="I33" s="16" t="n">
        <x:f>SUM(F33:H33)</x:f>
        <x:v>1463918</x:v>
      </x:c>
      <x:c r="J33" t="str">
        <x:v>Actif</x:v>
      </x:c>
    </x:row>
    <x:row r="34">
      <x:c r="A34" t="str">
        <x:v>EMP-034</x:v>
      </x:c>
      <x:c r="B34" t="str">
        <x:v>RAZAFINDRAKOTOA Ando</x:v>
      </x:c>
      <x:c r="C34" t="str">
        <x:v>FORT DAUPHIN</x:v>
      </x:c>
      <x:c r="D34" t="str">
        <x:v>Production</x:v>
      </x:c>
      <x:c r="E34" t="str">
        <x:v>Coupeuse / trieuse</x:v>
      </x:c>
      <x:c r="F34" s="16" t="n">
        <x:v>1773216</x:v>
      </x:c>
      <x:c r="G34" s="16" t="n">
        <x:v>142128</x:v>
      </x:c>
      <x:c r="H34" s="16" t="n">
        <x:v>319450</x:v>
      </x:c>
      <x:c r="I34" s="16" t="n">
        <x:f>SUM(F34:H34)</x:f>
        <x:v>2234794</x:v>
      </x:c>
      <x:c r="J34" t="str">
        <x:v>Actif</x:v>
      </x:c>
    </x:row>
    <x:row r="35">
      <x:c r="A35" t="str">
        <x:v>EMP-035</x:v>
      </x:c>
      <x:c r="B35" t="str">
        <x:v>RANAIVO Nantenaina</x:v>
      </x:c>
      <x:c r="C35" t="str">
        <x:v>FORT DAUPHIN</x:v>
      </x:c>
      <x:c r="D35" t="str">
        <x:v>Production</x:v>
      </x:c>
      <x:c r="E35" t="str">
        <x:v>Coupeuse / trieuse</x:v>
      </x:c>
      <x:c r="F35" s="16" t="n">
        <x:v>846000</x:v>
      </x:c>
      <x:c r="G35" s="16" t="n">
        <x:v>84600</x:v>
      </x:c>
      <x:c r="H35" s="16" t="n">
        <x:v>152280</x:v>
      </x:c>
      <x:c r="I35" s="16" t="n">
        <x:f>SUM(F35:H35)</x:f>
        <x:v>1082880</x:v>
      </x:c>
      <x:c r="J35" t="str">
        <x:v>Actif</x:v>
      </x:c>
    </x:row>
    <x:row r="36">
      <x:c r="A36" t="str">
        <x:v>EMP-036</x:v>
      </x:c>
      <x:c r="B36" t="str">
        <x:v>RABEHARISOA Nirina</x:v>
      </x:c>
      <x:c r="C36" t="str">
        <x:v>AMPANDRANDAVA</x:v>
      </x:c>
      <x:c r="D36" t="str">
        <x:v>Production</x:v>
      </x:c>
      <x:c r="E36" t="str">
        <x:v>Coupeuse / trieuse</x:v>
      </x:c>
      <x:c r="F36" s="16" t="n">
        <x:v>1475424</x:v>
      </x:c>
      <x:c r="G36" s="16" t="n">
        <x:v>117763</x:v>
      </x:c>
      <x:c r="H36" s="16" t="n">
        <x:v>265306</x:v>
      </x:c>
      <x:c r="I36" s="16" t="n">
        <x:f>SUM(F36:H36)</x:f>
        <x:v>1858493</x:v>
      </x:c>
      <x:c r="J36" t="str">
        <x:v>Actif</x:v>
      </x:c>
    </x:row>
    <x:row r="37">
      <x:c r="A37" t="str">
        <x:v>EMP-037</x:v>
      </x:c>
      <x:c r="B37" t="str">
        <x:v>RAKOTOMIARANA Toky</x:v>
      </x:c>
      <x:c r="C37" t="str">
        <x:v>AMPANDRANDAVA</x:v>
      </x:c>
      <x:c r="D37" t="str">
        <x:v>Production</x:v>
      </x:c>
      <x:c r="E37" t="str">
        <x:v>Coupeuse / trieuse</x:v>
      </x:c>
      <x:c r="F37" s="16" t="n">
        <x:v>8981136</x:v>
      </x:c>
      <x:c r="G37" s="16" t="n">
        <x:v>718762</x:v>
      </x:c>
      <x:c r="H37" s="16" t="n">
        <x:v>1616875</x:v>
      </x:c>
      <x:c r="I37" s="16" t="n">
        <x:f>SUM(F37:H37)</x:f>
        <x:v>11316773</x:v>
      </x:c>
      <x:c r="J37" t="str">
        <x:v>Actif</x:v>
      </x:c>
    </x:row>
    <x:row r="38">
      <x:c r="A38" t="str">
        <x:v>EMP-038</x:v>
      </x:c>
      <x:c r="B38" t="str">
        <x:v>ANDRIATSIMBA Tiana</x:v>
      </x:c>
      <x:c r="C38" t="str">
        <x:v>AMPANDRANDAVA</x:v>
      </x:c>
      <x:c r="D38" t="str">
        <x:v>Production</x:v>
      </x:c>
      <x:c r="E38" t="str">
        <x:v>Coupeuse / trieuse</x:v>
      </x:c>
      <x:c r="F38" s="16" t="n">
        <x:v>6531120</x:v>
      </x:c>
      <x:c r="G38" s="16" t="n">
        <x:v>522490</x:v>
      </x:c>
      <x:c r="H38" s="16" t="n">
        <x:v>1175602</x:v>
      </x:c>
      <x:c r="I38" s="16" t="n">
        <x:f>SUM(F38:H38)</x:f>
        <x:v>8229212</x:v>
      </x:c>
      <x:c r="J38" t="str">
        <x:v>Actif</x:v>
      </x:c>
    </x:row>
    <x:row r="39">
      <x:c r="A39" t="str">
        <x:v>EMP-039</x:v>
      </x:c>
      <x:c r="B39" t="str">
        <x:v>RASOAMALALA Sitraka</x:v>
      </x:c>
      <x:c r="C39" t="str">
        <x:v>AMPANDRANDAVA</x:v>
      </x:c>
      <x:c r="D39" t="str">
        <x:v>Production</x:v>
      </x:c>
      <x:c r="E39" t="str">
        <x:v>Coupeuse / trieuse</x:v>
      </x:c>
      <x:c r="F39" s="16" t="n">
        <x:v>3654720</x:v>
      </x:c>
      <x:c r="G39" s="16" t="n">
        <x:v>292378</x:v>
      </x:c>
      <x:c r="H39" s="16" t="n">
        <x:v>657850</x:v>
      </x:c>
      <x:c r="I39" s="16" t="n">
        <x:f>SUM(F39:H39)</x:f>
        <x:v>4604948</x:v>
      </x:c>
      <x:c r="J39" t="str">
        <x:v>Actif</x:v>
      </x:c>
    </x:row>
    <x:row r="40">
      <x:c r="A40" t="str">
        <x:v>EMP-040</x:v>
      </x:c>
      <x:c r="B40" t="str">
        <x:v>RAZAFINDRABE Aina</x:v>
      </x:c>
      <x:c r="C40" t="str">
        <x:v>AMPANDRANDAVA</x:v>
      </x:c>
      <x:c r="D40" t="str">
        <x:v>Production</x:v>
      </x:c>
      <x:c r="E40" t="str">
        <x:v>Coupeuse / trieuse</x:v>
      </x:c>
      <x:c r="F40" s="16" t="n">
        <x:v>2565072</x:v>
      </x:c>
      <x:c r="G40" s="16" t="n">
        <x:v>256507</x:v>
      </x:c>
      <x:c r="H40" s="16" t="n">
        <x:v>461578</x:v>
      </x:c>
      <x:c r="I40" s="16" t="n">
        <x:f>SUM(F40:H40)</x:f>
        <x:v>3283157</x:v>
      </x:c>
      <x:c r="J40" t="str">
        <x:v>Actif</x:v>
      </x:c>
    </x:row>
    <x:row r="41">
      <x:c r="A41" t="str">
        <x:v>EMP-041</x:v>
      </x:c>
      <x:c r="B41" t="str">
        <x:v>RATSIMANDRESY Fanja</x:v>
      </x:c>
      <x:c r="C41" t="str">
        <x:v>AMPANDRANDAVA</x:v>
      </x:c>
      <x:c r="D41" t="str">
        <x:v>Production</x:v>
      </x:c>
      <x:c r="E41" t="str">
        <x:v>Coupeuse / trieuse</x:v>
      </x:c>
      <x:c r="F41" s="16" t="n">
        <x:v>1583712</x:v>
      </x:c>
      <x:c r="G41" s="16" t="n">
        <x:v>158371</x:v>
      </x:c>
      <x:c r="H41" s="16" t="n">
        <x:v>284933</x:v>
      </x:c>
      <x:c r="I41" s="16" t="n">
        <x:f>SUM(F41:H41)</x:f>
        <x:v>2027016</x:v>
      </x:c>
      <x:c r="J41" t="str">
        <x:v>Actif</x:v>
      </x:c>
    </x:row>
    <x:row r="42">
      <x:c r="A42" t="str">
        <x:v>EMP-042</x:v>
      </x:c>
      <x:c r="B42" t="str">
        <x:v>RAKOTONIRINA Miora</x:v>
      </x:c>
      <x:c r="C42" t="str">
        <x:v>AMPANDRANDAVA</x:v>
      </x:c>
      <x:c r="D42" t="str">
        <x:v>Production</x:v>
      </x:c>
      <x:c r="E42" t="str">
        <x:v>Coupeuse / trieuse</x:v>
      </x:c>
      <x:c r="F42" s="16" t="n">
        <x:v>3438144</x:v>
      </x:c>
      <x:c r="G42" s="16" t="n">
        <x:v>274781</x:v>
      </x:c>
      <x:c r="H42" s="16" t="n">
        <x:v>618595</x:v>
      </x:c>
      <x:c r="I42" s="16" t="n">
        <x:f>SUM(F42:H42)</x:f>
        <x:v>4331520</x:v>
      </x:c>
      <x:c r="J42" t="str">
        <x:v>Actif</x:v>
      </x:c>
    </x:row>
    <x:row r="43">
      <x:c r="A43" t="str">
        <x:v>EMP-043</x:v>
      </x:c>
      <x:c r="B43" t="str">
        <x:v>RANDRIAMIHAMINA Hasina</x:v>
      </x:c>
      <x:c r="C43" t="str">
        <x:v>TRANOMARO</x:v>
      </x:c>
      <x:c r="D43" t="str">
        <x:v>Production</x:v>
      </x:c>
      <x:c r="E43" t="str">
        <x:v>Coupeuse / trieuse</x:v>
      </x:c>
      <x:c r="F43" s="16" t="n">
        <x:v>3769776</x:v>
      </x:c>
      <x:c r="G43" s="16" t="n">
        <x:v>452102</x:v>
      </x:c>
      <x:c r="H43" s="16" t="n">
        <x:v>678830</x:v>
      </x:c>
      <x:c r="I43" s="16" t="n">
        <x:f>SUM(F43:H43)</x:f>
        <x:v>4900708</x:v>
      </x:c>
      <x:c r="J43" t="str">
        <x:v>Actif</x:v>
      </x:c>
    </x:row>
    <x:row r="44">
      <x:c r="A44" t="str">
        <x:v>EMP-044</x:v>
      </x:c>
      <x:c r="B44" t="str">
        <x:v>RABEZAFY Feno</x:v>
      </x:c>
      <x:c r="C44" t="str">
        <x:v>TRANOMARO</x:v>
      </x:c>
      <x:c r="D44" t="str">
        <x:v>Production</x:v>
      </x:c>
      <x:c r="E44" t="str">
        <x:v>Coupeuse / trieuse</x:v>
      </x:c>
      <x:c r="F44" s="16" t="n">
        <x:v>2071008</x:v>
      </x:c>
      <x:c r="G44" s="16" t="n">
        <x:v>207101</x:v>
      </x:c>
      <x:c r="H44" s="16" t="n">
        <x:v>372917</x:v>
      </x:c>
      <x:c r="I44" s="16" t="n">
        <x:f>SUM(F44:H44)</x:f>
        <x:v>2651026</x:v>
      </x:c>
      <x:c r="J44" t="str">
        <x:v>Actif</x:v>
      </x:c>
    </x:row>
    <x:row r="45">
      <x:c r="A45" t="str">
        <x:v>EMP-045</x:v>
      </x:c>
      <x:c r="B45" t="str">
        <x:v>RANOMENJANAHARY Kanto</x:v>
      </x:c>
      <x:c r="C45" t="str">
        <x:v>TRANOMARO</x:v>
      </x:c>
      <x:c r="D45" t="str">
        <x:v>Production</x:v>
      </x:c>
      <x:c r="E45" t="str">
        <x:v>Coupeuse / trieuse</x:v>
      </x:c>
      <x:c r="F45" s="16" t="n">
        <x:v>3844224</x:v>
      </x:c>
      <x:c r="G45" s="16" t="n">
        <x:v>307267</x:v>
      </x:c>
      <x:c r="H45" s="16" t="n">
        <x:v>691690</x:v>
      </x:c>
      <x:c r="I45" s="16" t="n">
        <x:f>SUM(F45:H45)</x:f>
        <x:v>4843181</x:v>
      </x:c>
      <x:c r="J45" t="str">
        <x:v>Actif</x:v>
      </x:c>
    </x:row>
    <x:row r="46">
      <x:c r="A46" t="str">
        <x:v>EMP-046</x:v>
      </x:c>
      <x:c r="B46" t="str">
        <x:v>RAKOTONIAINA Mamy</x:v>
      </x:c>
      <x:c r="C46" t="str">
        <x:v>TRANOMARO</x:v>
      </x:c>
      <x:c r="D46" t="str">
        <x:v>Production</x:v>
      </x:c>
      <x:c r="E46" t="str">
        <x:v>Coupeuse / trieuse</x:v>
      </x:c>
      <x:c r="F46" s="16" t="n">
        <x:v>2470320</x:v>
      </x:c>
      <x:c r="G46" s="16" t="n">
        <x:v>197626</x:v>
      </x:c>
      <x:c r="H46" s="16" t="n">
        <x:v>444658</x:v>
      </x:c>
      <x:c r="I46" s="16" t="n">
        <x:f>SUM(F46:H46)</x:f>
        <x:v>3112604</x:v>
      </x:c>
      <x:c r="J46" t="str">
        <x:v>Actif</x:v>
      </x:c>
    </x:row>
    <x:row r="47">
      <x:c r="A47" t="str">
        <x:v>EMP-047</x:v>
      </x:c>
      <x:c r="B47" t="str">
        <x:v>RASOARIMALALA Tafita</x:v>
      </x:c>
      <x:c r="C47" t="str">
        <x:v>TRANOMARO</x:v>
      </x:c>
      <x:c r="D47" t="str">
        <x:v>Production</x:v>
      </x:c>
      <x:c r="E47" t="str">
        <x:v>Coupeuse / trieuse</x:v>
      </x:c>
      <x:c r="F47" s="16" t="n">
        <x:v>1766448</x:v>
      </x:c>
      <x:c r="G47" s="16" t="n">
        <x:v>141451</x:v>
      </x:c>
      <x:c r="H47" s="16" t="n">
        <x:v>318096</x:v>
      </x:c>
      <x:c r="I47" s="16" t="n">
        <x:f>SUM(F47:H47)</x:f>
        <x:v>2225995</x:v>
      </x:c>
      <x:c r="J47" t="str">
        <x:v>Actif</x:v>
      </x:c>
    </x:row>
    <x:row r="48">
      <x:c r="A48" t="str">
        <x:v>EMP-048</x:v>
      </x:c>
      <x:c r="B48" t="str">
        <x:v>ANDRIANJAFY Rija</x:v>
      </x:c>
      <x:c r="C48" t="str">
        <x:v>TRANOMARO</x:v>
      </x:c>
      <x:c r="D48" t="str">
        <x:v>Production</x:v>
      </x:c>
      <x:c r="E48" t="str">
        <x:v>Coupeuse / trieuse</x:v>
      </x:c>
      <x:c r="F48" s="16" t="n">
        <x:v>1231776</x:v>
      </x:c>
      <x:c r="G48" s="16" t="n">
        <x:v>98813</x:v>
      </x:c>
      <x:c r="H48" s="16" t="n">
        <x:v>221990</x:v>
      </x:c>
      <x:c r="I48" s="16" t="n">
        <x:f>SUM(F48:H48)</x:f>
        <x:v>1552579</x:v>
      </x:c>
      <x:c r="J48" t="str">
        <x:v>Actif</x:v>
      </x:c>
    </x:row>
    <x:row r="49">
      <x:c r="A49" t="str">
        <x:v>EMP-049</x:v>
      </x:c>
      <x:c r="B49" t="str">
        <x:v>RAKOTOMAHERY Vero</x:v>
      </x:c>
      <x:c r="C49" t="str">
        <x:v>TRANOMARO</x:v>
      </x:c>
      <x:c r="D49" t="str">
        <x:v>Production</x:v>
      </x:c>
      <x:c r="E49" t="str">
        <x:v>Coupeuse / trieuse</x:v>
      </x:c>
      <x:c r="F49" s="16" t="n">
        <x:v>961056</x:v>
      </x:c>
      <x:c r="G49" s="16" t="n">
        <x:v>48053</x:v>
      </x:c>
      <x:c r="H49" s="16" t="n">
        <x:v>173261</x:v>
      </x:c>
      <x:c r="I49" s="16" t="n">
        <x:f>SUM(F49:H49)</x:f>
        <x:v>1182370</x:v>
      </x:c>
      <x:c r="J49" t="str">
        <x:v>Actif</x:v>
      </x:c>
    </x:row>
    <x:row r="50">
      <x:c r="A50" t="str">
        <x:v>EMP-050</x:v>
      </x:c>
      <x:c r="B50" t="str">
        <x:v>RAKOTONDRAJAO Lanto</x:v>
      </x:c>
      <x:c r="C50" t="str">
        <x:v>ANIVORANO</x:v>
      </x:c>
      <x:c r="D50" t="str">
        <x:v>Production</x:v>
      </x:c>
      <x:c r="E50" t="str">
        <x:v>Coupeuse / trieuse</x:v>
      </x:c>
      <x:c r="F50" s="16" t="n">
        <x:v>2829024</x:v>
      </x:c>
      <x:c r="G50" s="16" t="n">
        <x:v>141451</x:v>
      </x:c>
      <x:c r="H50" s="16" t="n">
        <x:v>508954</x:v>
      </x:c>
      <x:c r="I50" s="16" t="n">
        <x:f>SUM(F50:H50)</x:f>
        <x:v>3479429</x:v>
      </x:c>
      <x:c r="J50" t="str">
        <x:v>Actif</x:v>
      </x:c>
    </x:row>
    <x:row r="51">
      <x:c r="A51" t="str">
        <x:v>EMP-051</x:v>
      </x:c>
      <x:c r="B51" t="str">
        <x:v>RANDRIANANTENAINA Rindra</x:v>
      </x:c>
      <x:c r="C51" t="str">
        <x:v>ANIVORANO</x:v>
      </x:c>
      <x:c r="D51" t="str">
        <x:v>Production</x:v>
      </x:c>
      <x:c r="E51" t="str">
        <x:v>Contrôleur qualité</x:v>
      </x:c>
      <x:c r="F51" s="16" t="n">
        <x:v>1103184</x:v>
      </x:c>
      <x:c r="G51" s="16" t="n">
        <x:v>55498</x:v>
      </x:c>
      <x:c r="H51" s="16" t="n">
        <x:v>198302</x:v>
      </x:c>
      <x:c r="I51" s="16" t="n">
        <x:f>SUM(F51:H51)</x:f>
        <x:v>1356984</x:v>
      </x:c>
      <x:c r="J51" t="str">
        <x:v>Actif</x:v>
      </x:c>
    </x:row>
    <x:row r="52">
      <x:c r="A52" t="str">
        <x:v>EMP-052</x:v>
      </x:c>
      <x:c r="B52" t="str">
        <x:v>RAVAOARISOA Miary</x:v>
      </x:c>
      <x:c r="C52" t="str">
        <x:v>ANIVORANO</x:v>
      </x:c>
      <x:c r="D52" t="str">
        <x:v>Production</x:v>
      </x:c>
      <x:c r="E52" t="str">
        <x:v>Contrôleur qualité</x:v>
      </x:c>
      <x:c r="F52" s="16" t="n">
        <x:v>1692000</x:v>
      </x:c>
      <x:c r="G52" s="16" t="n">
        <x:v>169200</x:v>
      </x:c>
      <x:c r="H52" s="16" t="n">
        <x:v>304560</x:v>
      </x:c>
      <x:c r="I52" s="16" t="n">
        <x:f>SUM(F52:H52)</x:f>
        <x:v>2165760</x:v>
      </x:c>
      <x:c r="J52" t="str">
        <x:v>Actif</x:v>
      </x:c>
    </x:row>
    <x:row r="53">
      <x:c r="A53" t="str">
        <x:v>EMP-053</x:v>
      </x:c>
      <x:c r="B53" t="str">
        <x:v>RAZAFIMANANTSOA Solo</x:v>
      </x:c>
      <x:c r="C53" t="str">
        <x:v>ANIVORANO</x:v>
      </x:c>
      <x:c r="D53" t="str">
        <x:v>Production</x:v>
      </x:c>
      <x:c r="E53" t="str">
        <x:v>Contrôleur qualité</x:v>
      </x:c>
      <x:c r="F53" s="16" t="n">
        <x:v>832464</x:v>
      </x:c>
      <x:c r="G53" s="16" t="n">
        <x:v>83246</x:v>
      </x:c>
      <x:c r="H53" s="16" t="n">
        <x:v>149573</x:v>
      </x:c>
      <x:c r="I53" s="16" t="n">
        <x:f>SUM(F53:H53)</x:f>
        <x:v>1065283</x:v>
      </x:c>
      <x:c r="J53" t="str">
        <x:v>Actif</x:v>
      </x:c>
    </x:row>
    <x:row r="54">
      <x:c r="A54" t="str">
        <x:v>EMP-054</x:v>
      </x:c>
      <x:c r="B54" t="str">
        <x:v>RAKOTONANAHARY Noro</x:v>
      </x:c>
      <x:c r="C54" t="str">
        <x:v>ANIVORANO</x:v>
      </x:c>
      <x:c r="D54" t="str">
        <x:v>Production</x:v>
      </x:c>
      <x:c r="E54" t="str">
        <x:v>Contrôleur qualité</x:v>
      </x:c>
      <x:c r="F54" s="16" t="n">
        <x:v>1306224</x:v>
      </x:c>
      <x:c r="G54" s="16" t="n">
        <x:v>64973</x:v>
      </x:c>
      <x:c r="H54" s="16" t="n">
        <x:v>234850</x:v>
      </x:c>
      <x:c r="I54" s="16" t="n">
        <x:f>SUM(F54:H54)</x:f>
        <x:v>1606047</x:v>
      </x:c>
      <x:c r="J54" t="str">
        <x:v>Actif</x:v>
      </x:c>
    </x:row>
    <x:row r="55">
      <x:c r="A55" t="str">
        <x:v>EMP-055</x:v>
      </x:c>
      <x:c r="B55" t="str">
        <x:v>RABEFENO Rina</x:v>
      </x:c>
      <x:c r="C55" t="str">
        <x:v>ANIVORANO</x:v>
      </x:c>
      <x:c r="D55" t="str">
        <x:v>Production</x:v>
      </x:c>
      <x:c r="E55" t="str">
        <x:v>Contrôleur qualité</x:v>
      </x:c>
      <x:c r="F55" s="16" t="n">
        <x:v>9136800</x:v>
      </x:c>
      <x:c r="G55" s="16" t="n">
        <x:v>1096416</x:v>
      </x:c>
      <x:c r="H55" s="16" t="n">
        <x:v>1644624</x:v>
      </x:c>
      <x:c r="I55" s="16" t="n">
        <x:f>SUM(F55:H55)</x:f>
        <x:v>11877840</x:v>
      </x:c>
      <x:c r="J55" t="str">
        <x:v>Actif</x:v>
      </x:c>
    </x:row>
    <x:row r="56">
      <x:c r="A56" t="str">
        <x:v>EMP-056</x:v>
      </x:c>
      <x:c r="B56" t="str">
        <x:v>RAKOTOMANANA Tina</x:v>
      </x:c>
      <x:c r="C56" t="str">
        <x:v>ANIVORANO</x:v>
      </x:c>
      <x:c r="D56" t="str">
        <x:v>Production</x:v>
      </x:c>
      <x:c r="E56" t="str">
        <x:v>Contrôleur qualité</x:v>
      </x:c>
      <x:c r="F56" s="16" t="n">
        <x:v>6294240</x:v>
      </x:c>
      <x:c r="G56" s="16" t="n">
        <x:v>629424</x:v>
      </x:c>
      <x:c r="H56" s="16" t="n">
        <x:v>1132963</x:v>
      </x:c>
      <x:c r="I56" s="16" t="n">
        <x:f>SUM(F56:H56)</x:f>
        <x:v>8056627</x:v>
      </x:c>
      <x:c r="J56" t="str">
        <x:v>Actif</x:v>
      </x:c>
    </x:row>
    <x:row r="57">
      <x:c r="A57" t="str">
        <x:v>EMP-058</x:v>
      </x:c>
      <x:c r="B57" t="str">
        <x:v>RANDRIATSARA Rado</x:v>
      </x:c>
      <x:c r="C57" t="str">
        <x:v>FORT DAUPHIN</x:v>
      </x:c>
      <x:c r="D57" t="str">
        <x:v>Production</x:v>
      </x:c>
      <x:c r="E57" t="str">
        <x:v>Contrôleur qualité</x:v>
      </x:c>
      <x:c r="F57" s="16" t="n">
        <x:v>2619216</x:v>
      </x:c>
      <x:c r="G57" s="16" t="n">
        <x:v>131299</x:v>
      </x:c>
      <x:c r="H57" s="16" t="n">
        <x:v>471730</x:v>
      </x:c>
      <x:c r="I57" s="16" t="n">
        <x:f>SUM(F57:H57)</x:f>
        <x:v>3222245</x:v>
      </x:c>
      <x:c r="J57" t="str">
        <x:v>Actif</x:v>
      </x:c>
    </x:row>
    <x:row r="58">
      <x:c r="A58" t="str">
        <x:v>EMP-059</x:v>
      </x:c>
      <x:c r="B58" t="str">
        <x:v>RASOLOFONIAINA Fetra</x:v>
      </x:c>
      <x:c r="C58" t="str">
        <x:v>FORT DAUPHIN</x:v>
      </x:c>
      <x:c r="D58" t="str">
        <x:v>Production</x:v>
      </x:c>
      <x:c r="E58" t="str">
        <x:v>Contrôleur qualité</x:v>
      </x:c>
      <x:c r="F58" s="16" t="n">
        <x:v>1658160</x:v>
      </x:c>
      <x:c r="G58" s="16" t="n">
        <x:v>198979</x:v>
      </x:c>
      <x:c r="H58" s="16" t="n">
        <x:v>298469</x:v>
      </x:c>
      <x:c r="I58" s="16" t="n">
        <x:f>SUM(F58:H58)</x:f>
        <x:v>2155608</x:v>
      </x:c>
      <x:c r="J58" t="str">
        <x:v>Actif</x:v>
      </x:c>
    </x:row>
    <x:row r="59">
      <x:c r="A59" t="str">
        <x:v>EMP-060</x:v>
      </x:c>
      <x:c r="B59" t="str">
        <x:v>RAKOTOVONINA Rova</x:v>
      </x:c>
      <x:c r="C59" t="str">
        <x:v>FORT DAUPHIN</x:v>
      </x:c>
      <x:c r="D59" t="str">
        <x:v>Production</x:v>
      </x:c>
      <x:c r="E59" t="str">
        <x:v>Manutentionnaire</x:v>
      </x:c>
      <x:c r="F59" s="16" t="n">
        <x:v>3289248</x:v>
      </x:c>
      <x:c r="G59" s="16" t="n">
        <x:v>164462</x:v>
      </x:c>
      <x:c r="H59" s="16" t="n">
        <x:v>592200</x:v>
      </x:c>
      <x:c r="I59" s="16" t="n">
        <x:f>SUM(F59:H59)</x:f>
        <x:v>4045910</x:v>
      </x:c>
      <x:c r="J59" t="str">
        <x:v>Actif</x:v>
      </x:c>
    </x:row>
    <x:row r="60">
      <x:c r="A60" t="str">
        <x:v>EMP-061</x:v>
      </x:c>
      <x:c r="B60" t="str">
        <x:v>RAKOTOBE Feno</x:v>
      </x:c>
      <x:c r="C60" t="str">
        <x:v>FORT DAUPHIN</x:v>
      </x:c>
      <x:c r="D60" t="str">
        <x:v>Production</x:v>
      </x:c>
      <x:c r="E60" t="str">
        <x:v>Manutentionnaire</x:v>
      </x:c>
      <x:c r="F60" s="16" t="n">
        <x:v>459000</x:v>
      </x:c>
      <x:c r="G60" s="16" t="n">
        <x:v>37000</x:v>
      </x:c>
      <x:c r="H60" s="16" t="n">
        <x:v>64000</x:v>
      </x:c>
      <x:c r="I60" s="16" t="n">
        <x:f>SUM(F60:H60)</x:f>
        <x:v>560000</x:v>
      </x:c>
      <x:c r="J60" t="str">
        <x:v>Actif</x:v>
      </x:c>
    </x:row>
    <x:row r="61">
      <x:c r="A61" t="str">
        <x:v>EMP-062</x:v>
      </x:c>
      <x:c r="B61" t="str">
        <x:v>RANDRIANARISOA Rindra</x:v>
      </x:c>
      <x:c r="C61" t="str">
        <x:v>FORT DAUPHIN</x:v>
      </x:c>
      <x:c r="D61" t="str">
        <x:v>Production</x:v>
      </x:c>
      <x:c r="E61" t="str">
        <x:v>Manutentionnaire</x:v>
      </x:c>
      <x:c r="F61" s="16" t="n">
        <x:v>459000</x:v>
      </x:c>
      <x:c r="G61" s="16" t="n">
        <x:v>37000</x:v>
      </x:c>
      <x:c r="H61" s="16" t="n">
        <x:v>64000</x:v>
      </x:c>
      <x:c r="I61" s="16" t="n">
        <x:f>SUM(F61:H61)</x:f>
        <x:v>560000</x:v>
      </x:c>
      <x:c r="J61" t="str">
        <x:v>Actif</x:v>
      </x:c>
    </x:row>
    <x:row r="62">
      <x:c r="A62" t="str">
        <x:v>EMP-063</x:v>
      </x:c>
      <x:c r="B62" t="str">
        <x:v>RAZAFITSARA Aina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459000</x:v>
      </x:c>
      <x:c r="G62" t="n">
        <x:v>37000</x:v>
      </x:c>
      <x:c r="H62" t="n">
        <x:v>64000</x:v>
      </x:c>
      <x:c r="I62" t="n">
        <x:f>SUM(F62:H62)</x:f>
        <x:v>560000</x:v>
      </x:c>
      <x:c r="J62" t="str">
        <x:v>Actif</x:v>
      </x:c>
    </x:row>
    <x:row r="63">
      <x:c r="A63" t="str">
        <x:v>EMP-064</x:v>
      </x:c>
      <x:c r="B63" t="str">
        <x:v>RABENARIVO Tiana</x:v>
      </x:c>
      <x:c r="C63" t="str">
        <x:v>AMPANDRANDAVA</x:v>
      </x:c>
      <x:c r="D63" t="str">
        <x:v>Production</x:v>
      </x:c>
      <x:c r="E63" t="str">
        <x:v>Manutentionnaire</x:v>
      </x:c>
      <x:c r="F63" t="n">
        <x:v>459000</x:v>
      </x:c>
      <x:c r="G63" t="n">
        <x:v>37000</x:v>
      </x:c>
      <x:c r="H63" t="n">
        <x:v>64000</x:v>
      </x:c>
      <x:c r="I63" t="n">
        <x:f>SUM(F63:H63)</x:f>
        <x:v>560000</x:v>
      </x:c>
      <x:c r="J63" t="str">
        <x:v>Actif</x:v>
      </x:c>
    </x:row>
    <x:row r="64">
      <x:c r="A64" t="str">
        <x:v>EMP-065</x:v>
      </x:c>
      <x:c r="B64" t="str">
        <x:v>RAKOTOFENO Lova</x:v>
      </x:c>
      <x:c r="C64" t="str">
        <x:v>AMPANDRANDAVA</x:v>
      </x:c>
      <x:c r="D64" t="str">
        <x:v>Production</x:v>
      </x:c>
      <x:c r="E64" t="str">
        <x:v>Manutentionnaire</x:v>
      </x:c>
      <x:c r="F64" t="n">
        <x:v>459000</x:v>
      </x:c>
      <x:c r="G64" t="n">
        <x:v>37000</x:v>
      </x:c>
      <x:c r="H64" t="n">
        <x:v>64000</x:v>
      </x:c>
      <x:c r="I64" t="n">
        <x:f>SUM(F64:H64)</x:f>
        <x:v>560000</x:v>
      </x:c>
      <x:c r="J64" t="str">
        <x:v>Actif</x:v>
      </x:c>
    </x:row>
    <x:row r="65">
      <x:c r="A65" t="str">
        <x:v>EMP-067</x:v>
      </x:c>
      <x:c r="B65" t="str">
        <x:v>RATSIMANIRY Miora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459000</x:v>
      </x:c>
      <x:c r="G65" t="n">
        <x:v>37000</x:v>
      </x:c>
      <x:c r="H65" t="n">
        <x:v>64000</x:v>
      </x:c>
      <x:c r="I65" t="n">
        <x:f>SUM(F65:H65)</x:f>
        <x:v>560000</x:v>
      </x:c>
      <x:c r="J65" t="str">
        <x:v>Actif</x:v>
      </x:c>
    </x:row>
    <x:row r="66">
      <x:c r="A66" t="str">
        <x:v>EMP-068</x:v>
      </x:c>
      <x:c r="B66" t="str">
        <x:v>RAJAOMANANA Fanja</x:v>
      </x:c>
      <x:c r="C66" t="str">
        <x:v>AMPANDRANDAVA</x:v>
      </x:c>
      <x:c r="D66" t="str">
        <x:v>Production</x:v>
      </x:c>
      <x:c r="E66" t="str">
        <x:v>Collecteur de mica</x:v>
      </x:c>
      <x:c r="F66" t="n">
        <x:v>459000</x:v>
      </x:c>
      <x:c r="G66" t="n">
        <x:v>37000</x:v>
      </x:c>
      <x:c r="H66" t="n">
        <x:v>64000</x:v>
      </x:c>
      <x:c r="I66" t="n">
        <x:f>SUM(F66:H66)</x:f>
        <x:v>560000</x:v>
      </x:c>
      <x:c r="J66" t="str">
        <x:v>Actif</x:v>
      </x:c>
    </x:row>
    <x:row r="67">
      <x:c r="A67" t="str">
        <x:v>EMP-069</x:v>
      </x:c>
      <x:c r="B67" t="str">
        <x:v>RAKOTOHARISOA Tovo</x:v>
      </x:c>
      <x:c r="C67" t="str">
        <x:v>AMPANDRANDAVA</x:v>
      </x:c>
      <x:c r="D67" t="str">
        <x:v>Production</x:v>
      </x:c>
      <x:c r="E67" t="str">
        <x:v>Collecteur de mica</x:v>
      </x:c>
      <x:c r="F67" t="n">
        <x:v>459000</x:v>
      </x:c>
      <x:c r="G67" t="n">
        <x:v>37000</x:v>
      </x:c>
      <x:c r="H67" t="n">
        <x:v>64000</x:v>
      </x:c>
      <x:c r="I67" t="n">
        <x:f>SUM(F67:H67)</x:f>
        <x:v>560000</x:v>
      </x:c>
      <x:c r="J67" t="str">
        <x:v>Actif</x:v>
      </x:c>
    </x:row>
    <x:row r="68">
      <x:c r="A68" t="str">
        <x:v>EMP-070</x:v>
      </x:c>
      <x:c r="B68" t="str">
        <x:v>RASOLOMANGA Soa</x:v>
      </x:c>
      <x:c r="C68" t="str">
        <x:v>AMPANDRANDAVA</x:v>
      </x:c>
      <x:c r="D68" t="str">
        <x:v>Production</x:v>
      </x:c>
      <x:c r="E68" t="str">
        <x:v>Collecteur de mica</x:v>
      </x:c>
      <x:c r="F68" t="n">
        <x:v>459000</x:v>
      </x:c>
      <x:c r="G68" t="n">
        <x:v>37000</x:v>
      </x:c>
      <x:c r="H68" t="n">
        <x:v>64000</x:v>
      </x:c>
      <x:c r="I68" t="n">
        <x:f>SUM(F68:H68)</x:f>
        <x:v>560000</x:v>
      </x:c>
      <x:c r="J68" t="str">
        <x:v>Actif</x:v>
      </x:c>
    </x:row>
    <x:row r="69">
      <x:c r="A69" t="str">
        <x:v>EMP-071</x:v>
      </x:c>
      <x:c r="B69" t="str">
        <x:v>RAKOTONIAINA Tahina</x:v>
      </x:c>
      <x:c r="C69" t="str">
        <x:v>TRANOMARO</x:v>
      </x:c>
      <x:c r="D69" t="str">
        <x:v>Production</x:v>
      </x:c>
      <x:c r="E69" t="str">
        <x:v>Collecteur de mica</x:v>
      </x:c>
      <x:c r="F69" t="n">
        <x:v>459000</x:v>
      </x:c>
      <x:c r="G69" t="n">
        <x:v>37000</x:v>
      </x:c>
      <x:c r="H69" t="n">
        <x:v>64000</x:v>
      </x:c>
      <x:c r="I69" t="n">
        <x:f>SUM(F69:H69)</x:f>
        <x:v>560000</x:v>
      </x:c>
      <x:c r="J69" t="str">
        <x:v>Actif</x:v>
      </x:c>
    </x:row>
    <x:row r="70">
      <x:c r="A70" t="str">
        <x:v>EMP-072</x:v>
      </x:c>
      <x:c r="B70" t="str">
        <x:v>RAVOAHANGY Noro</x:v>
      </x:c>
      <x:c r="C70" t="str">
        <x:v>TRANOMARO</x:v>
      </x:c>
      <x:c r="D70" t="str">
        <x:v>Production</x:v>
      </x:c>
      <x:c r="E70" t="str">
        <x:v>Collecteur de mica</x:v>
      </x:c>
      <x:c r="F70" t="n">
        <x:v>459000</x:v>
      </x:c>
      <x:c r="G70" t="n">
        <x:v>37000</x:v>
      </x:c>
      <x:c r="H70" t="n">
        <x:v>64000</x:v>
      </x:c>
      <x:c r="I70" t="n">
        <x:f>SUM(F70:H70)</x:f>
        <x:v>560000</x:v>
      </x:c>
      <x:c r="J70" t="str">
        <x:v>Actif</x:v>
      </x:c>
    </x:row>
    <x:row r="71">
      <x:c r="A71" t="str">
        <x:v>EMP-073</x:v>
      </x:c>
      <x:c r="B71" t="str">
        <x:v>RABESOA Rija</x:v>
      </x:c>
      <x:c r="C71" t="str">
        <x:v>TRANOMARO</x:v>
      </x:c>
      <x:c r="D71" t="str">
        <x:v>Production</x:v>
      </x:c>
      <x:c r="E71" t="str">
        <x:v>Collecteur de mica</x:v>
      </x:c>
      <x:c r="F71" t="n">
        <x:v>459000</x:v>
      </x:c>
      <x:c r="G71" t="n">
        <x:v>37000</x:v>
      </x:c>
      <x:c r="H71" t="n">
        <x:v>64000</x:v>
      </x:c>
      <x:c r="I71" t="n">
        <x:f>SUM(F71:H71)</x:f>
        <x:v>560000</x:v>
      </x:c>
      <x:c r="J71" t="str">
        <x:v>Actif</x:v>
      </x:c>
    </x:row>
    <x:row r="72">
      <x:c r="A72" t="str">
        <x:v>EMP-074</x:v>
      </x:c>
      <x:c r="B72" t="str">
        <x:v>RAKOTOMIRANA Hasina</x:v>
      </x:c>
      <x:c r="C72" t="str">
        <x:v>TRANOMARO</x:v>
      </x:c>
      <x:c r="D72" t="str">
        <x:v>Production</x:v>
      </x:c>
      <x:c r="E72" t="str">
        <x:v>Collecteur de mica</x:v>
      </x:c>
      <x:c r="F72" t="n">
        <x:v>459000</x:v>
      </x:c>
      <x:c r="G72" t="n">
        <x:v>37000</x:v>
      </x:c>
      <x:c r="H72" t="n">
        <x:v>64000</x:v>
      </x:c>
      <x:c r="I72" t="n">
        <x:f>SUM(F72:H72)</x:f>
        <x:v>560000</x:v>
      </x:c>
      <x:c r="J72" t="str">
        <x:v>Actif</x:v>
      </x:c>
    </x:row>
    <x:row r="73">
      <x:c r="A73" t="str">
        <x:v>EMP-075</x:v>
      </x:c>
      <x:c r="B73" t="str">
        <x:v>RATSIMANANA Nirina</x:v>
      </x:c>
      <x:c r="C73" t="str">
        <x:v>TRANOMARO</x:v>
      </x:c>
      <x:c r="D73" t="str">
        <x:v>Production</x:v>
      </x:c>
      <x:c r="E73" t="str">
        <x:v>Collecteur de mica</x:v>
      </x:c>
      <x:c r="F73" t="n">
        <x:v>459000</x:v>
      </x:c>
      <x:c r="G73" t="n">
        <x:v>37000</x:v>
      </x:c>
      <x:c r="H73" t="n">
        <x:v>64000</x:v>
      </x:c>
      <x:c r="I73" t="n">
        <x:f>SUM(F73:H73)</x:f>
        <x:v>560000</x:v>
      </x:c>
      <x:c r="J73" t="str">
        <x:v>Actif</x:v>
      </x:c>
    </x:row>
    <x:row r="74">
      <x:c r="A74" t="str">
        <x:v>EMP-076</x:v>
      </x:c>
      <x:c r="B74" t="str">
        <x:v>ANDRIAMALALA Toky</x:v>
      </x:c>
      <x:c r="C74" t="str">
        <x:v>TRANOMARO</x:v>
      </x:c>
      <x:c r="D74" t="str">
        <x:v>Production</x:v>
      </x:c>
      <x:c r="E74" t="str">
        <x:v>Aide collecteur</x:v>
      </x:c>
      <x:c r="F74" t="n">
        <x:v>459000</x:v>
      </x:c>
      <x:c r="G74" t="n">
        <x:v>37000</x:v>
      </x:c>
      <x:c r="H74" t="n">
        <x:v>64000</x:v>
      </x:c>
      <x:c r="I74" t="n">
        <x:f>SUM(F74:H74)</x:f>
        <x:v>560000</x:v>
      </x:c>
      <x:c r="J74" t="str">
        <x:v>Actif</x:v>
      </x:c>
    </x:row>
    <x:row r="75">
      <x:c r="A75" t="str">
        <x:v>EMP-077</x:v>
      </x:c>
      <x:c r="B75" t="str">
        <x:v>RAZAFIMANANA Kanto</x:v>
      </x:c>
      <x:c r="C75" t="str">
        <x:v>TRANOMARO</x:v>
      </x:c>
      <x:c r="D75" t="str">
        <x:v>Production</x:v>
      </x:c>
      <x:c r="E75" t="str">
        <x:v>Aide collecteur</x:v>
      </x:c>
      <x:c r="F75" t="n">
        <x:v>459000</x:v>
      </x:c>
      <x:c r="G75" t="n">
        <x:v>37000</x:v>
      </x:c>
      <x:c r="H75" t="n">
        <x:v>64000</x:v>
      </x:c>
      <x:c r="I75" t="n">
        <x:f>SUM(F75:H75)</x:f>
        <x:v>560000</x:v>
      </x:c>
      <x:c r="J75" t="str">
        <x:v>Actif</x:v>
      </x:c>
    </x:row>
    <x:row r="76">
      <x:c r="A76" t="str">
        <x:v>EMP-078</x:v>
      </x:c>
      <x:c r="B76" t="str">
        <x:v>RAKOTONDRINA Rado</x:v>
      </x:c>
      <x:c r="C76" t="str">
        <x:v>ANIVORANO</x:v>
      </x:c>
      <x:c r="D76" t="str">
        <x:v>Production</x:v>
      </x:c>
      <x:c r="E76" t="str">
        <x:v>Aide collecteur</x:v>
      </x:c>
      <x:c r="F76" t="n">
        <x:v>459000</x:v>
      </x:c>
      <x:c r="G76" t="n">
        <x:v>37000</x:v>
      </x:c>
      <x:c r="H76" t="n">
        <x:v>64000</x:v>
      </x:c>
      <x:c r="I76" t="n">
        <x:f>SUM(F76:H76)</x:f>
        <x:v>560000</x:v>
      </x:c>
      <x:c r="J76" t="str">
        <x:v>Actif</x:v>
      </x:c>
    </x:row>
    <x:row r="77">
      <x:c r="A77" t="str">
        <x:v>EMP-079</x:v>
      </x:c>
      <x:c r="B77" t="str">
        <x:v>RANDRIATSARA Miary</x:v>
      </x:c>
      <x:c r="C77" t="str">
        <x:v>ANIVORANO</x:v>
      </x:c>
      <x:c r="D77" t="str">
        <x:v>Production</x:v>
      </x:c>
      <x:c r="E77" t="str">
        <x:v>Aide collecteur</x:v>
      </x:c>
      <x:c r="F77" t="n">
        <x:v>459000</x:v>
      </x:c>
      <x:c r="G77" t="n">
        <x:v>37000</x:v>
      </x:c>
      <x:c r="H77" t="n">
        <x:v>64000</x:v>
      </x:c>
      <x:c r="I77" t="n">
        <x:f>SUM(F77:H77)</x:f>
        <x:v>560000</x:v>
      </x:c>
      <x:c r="J77" t="str">
        <x:v>Actif</x:v>
      </x:c>
    </x:row>
    <x:row r="78">
      <x:c r="A78" t="str">
        <x:v>EMP-080</x:v>
      </x:c>
      <x:c r="B78" t="str">
        <x:v>RAKOTOMAHERY Mamy</x:v>
      </x:c>
      <x:c r="C78" t="str">
        <x:v>ANIVORANO</x:v>
      </x:c>
      <x:c r="D78" t="str">
        <x:v>Production</x:v>
      </x:c>
      <x:c r="E78" t="str">
        <x:v>Aide collecteur</x:v>
      </x:c>
      <x:c r="F78" t="n">
        <x:v>459000</x:v>
      </x:c>
      <x:c r="G78" t="n">
        <x:v>37000</x:v>
      </x:c>
      <x:c r="H78" t="n">
        <x:v>64000</x:v>
      </x:c>
      <x:c r="I78" t="n">
        <x:f>SUM(F78:H78)</x:f>
        <x:v>560000</x:v>
      </x:c>
      <x:c r="J78" t="str">
        <x:v>Actif</x:v>
      </x:c>
    </x:row>
    <x:row r="79">
      <x:c r="A79" t="str">
        <x:v>EMP-081</x:v>
      </x:c>
      <x:c r="B79" t="str">
        <x:v>RAKOTOFALY Faniry</x:v>
      </x:c>
      <x:c r="C79" t="str">
        <x:v>ANIVORANO</x:v>
      </x:c>
      <x:c r="D79" t="str">
        <x:v>Production</x:v>
      </x:c>
      <x:c r="E79" t="str">
        <x:v>Aide collecteur</x:v>
      </x:c>
      <x:c r="F79" t="n">
        <x:v>459000</x:v>
      </x:c>
      <x:c r="G79" t="n">
        <x:v>37000</x:v>
      </x:c>
      <x:c r="H79" t="n">
        <x:v>64000</x:v>
      </x:c>
      <x:c r="I79" t="n">
        <x:f>SUM(F79:H79)</x:f>
        <x:v>560000</x:v>
      </x:c>
      <x:c r="J79" t="str">
        <x:v>Actif</x:v>
      </x:c>
    </x:row>
    <x:row r="80">
      <x:c r="A80" t="str">
        <x:v>EMP-082</x:v>
      </x:c>
      <x:c r="B80" t="str">
        <x:v>RABENIRINA Onja</x:v>
      </x:c>
      <x:c r="C80" t="str">
        <x:v>ANIVORANO</x:v>
      </x:c>
      <x:c r="D80" t="str">
        <x:v>Production</x:v>
      </x:c>
      <x:c r="E80" t="str">
        <x:v>Aide collecteur</x:v>
      </x:c>
      <x:c r="F80" t="n">
        <x:v>459000</x:v>
      </x:c>
      <x:c r="G80" t="n">
        <x:v>37000</x:v>
      </x:c>
      <x:c r="H80" t="n">
        <x:v>64000</x:v>
      </x:c>
      <x:c r="I80" t="n">
        <x:f>SUM(F80:H80)</x:f>
        <x:v>560000</x:v>
      </x:c>
      <x:c r="J80" t="str">
        <x:v>Actif</x:v>
      </x:c>
    </x:row>
    <x:row r="81">
      <x:c r="A81" t="str">
        <x:v>EMP-083</x:v>
      </x:c>
      <x:c r="B81" t="str">
        <x:v>RATSIMBAZAFY Fetra</x:v>
      </x:c>
      <x:c r="C81" t="str">
        <x:v>ANIVORANO</x:v>
      </x:c>
      <x:c r="D81" t="str">
        <x:v>Exploitation</x:v>
      </x:c>
      <x:c r="E81" t="str">
        <x:v>Agent de sécurité</x:v>
      </x:c>
      <x:c r="F81" t="n">
        <x:v>459000</x:v>
      </x:c>
      <x:c r="G81" t="n">
        <x:v>37000</x:v>
      </x:c>
      <x:c r="H81" t="n">
        <x:v>64000</x:v>
      </x:c>
      <x:c r="I81" t="n">
        <x:f>SUM(F81:H81)</x:f>
        <x:v>560000</x:v>
      </x:c>
      <x:c r="J81" t="str">
        <x:v>Actif</x:v>
      </x:c>
    </x:row>
    <x:row r="82">
      <x:c r="A82" t="str">
        <x:v>EMP-084</x:v>
      </x:c>
      <x:c r="B82" t="str">
        <x:v>RAKOTONANTSOA Rova</x:v>
      </x:c>
      <x:c r="C82" t="str">
        <x:v>ANIVORANO</x:v>
      </x:c>
      <x:c r="D82" t="str">
        <x:v>Exploitation</x:v>
      </x:c>
      <x:c r="E82" t="str">
        <x:v>Agent de sécurité</x:v>
      </x:c>
      <x:c r="F82" t="n">
        <x:v>459000</x:v>
      </x:c>
      <x:c r="G82" t="n">
        <x:v>37000</x:v>
      </x:c>
      <x:c r="H82" t="n">
        <x:v>64000</x:v>
      </x:c>
      <x:c r="I82" t="n">
        <x:f>SUM(F82:H82)</x:f>
        <x:v>560000</x:v>
      </x:c>
      <x:c r="J82" t="str">
        <x:v>Actif</x:v>
      </x:c>
    </x:row>
    <x:row r="83">
      <x:c r="A83" t="str">
        <x:v>EMP-085</x:v>
      </x:c>
      <x:c r="B83" t="str">
        <x:v>RAZAFINDRAVOLA Felana</x:v>
      </x:c>
      <x:c r="C83" t="str">
        <x:v>FORT DAUPHIN</x:v>
      </x:c>
      <x:c r="D83" t="str">
        <x:v>Exploitation</x:v>
      </x:c>
      <x:c r="E83" t="str">
        <x:v>Agent de sécurité</x:v>
      </x:c>
      <x:c r="F83" t="n">
        <x:v>459000</x:v>
      </x:c>
      <x:c r="G83" t="n">
        <x:v>37000</x:v>
      </x:c>
      <x:c r="H83" t="n">
        <x:v>64000</x:v>
      </x:c>
      <x:c r="I83" t="n">
        <x:f>SUM(F83:H83)</x:f>
        <x:v>560000</x:v>
      </x:c>
      <x:c r="J83" t="str">
        <x:v>Actif</x:v>
      </x:c>
    </x:row>
    <x:row r="84">
      <x:c r="A84" t="str">
        <x:v>EMP-086</x:v>
      </x:c>
      <x:c r="B84" t="str">
        <x:v>RABEARISOA Ando</x:v>
      </x:c>
      <x:c r="C84" t="str">
        <x:v>FORT DAUPHIN</x:v>
      </x:c>
      <x:c r="D84" t="str">
        <x:v>Exploitation</x:v>
      </x:c>
      <x:c r="E84" t="str">
        <x:v>Agent de sécurité</x:v>
      </x:c>
      <x:c r="F84" t="n">
        <x:v>459000</x:v>
      </x:c>
      <x:c r="G84" t="n">
        <x:v>37000</x:v>
      </x:c>
      <x:c r="H84" t="n">
        <x:v>64000</x:v>
      </x:c>
      <x:c r="I84" t="n">
        <x:f>SUM(F84:H84)</x:f>
        <x:v>560000</x:v>
      </x:c>
      <x:c r="J84" t="str">
        <x:v>Actif</x:v>
      </x:c>
    </x:row>
    <x:row r="85">
      <x:c r="A85" t="str">
        <x:v>EMP-087</x:v>
      </x:c>
      <x:c r="B85" t="str">
        <x:v>RAKOTOMIALY Tsiory</x:v>
      </x:c>
      <x:c r="C85" t="str">
        <x:v>FORT DAUPHIN</x:v>
      </x:c>
      <x:c r="D85" t="str">
        <x:v>Exploitation</x:v>
      </x:c>
      <x:c r="E85" t="str">
        <x:v>Agent de sécurité</x:v>
      </x:c>
      <x:c r="F85" t="n">
        <x:v>459000</x:v>
      </x:c>
      <x:c r="G85" t="n">
        <x:v>37000</x:v>
      </x:c>
      <x:c r="H85" t="n">
        <x:v>64000</x:v>
      </x:c>
      <x:c r="I85" t="n">
        <x:f>SUM(F85:H85)</x:f>
        <x:v>560000</x:v>
      </x:c>
      <x:c r="J85" t="str">
        <x:v>Actif</x:v>
      </x:c>
    </x:row>
    <x:row r="86">
      <x:c r="A86" t="str">
        <x:v>EMP-088</x:v>
      </x:c>
      <x:c r="B86" t="str">
        <x:v>ANDRIANJAFY Faly</x:v>
      </x:c>
      <x:c r="C86" t="str">
        <x:v>FORT DAUPHIN</x:v>
      </x:c>
      <x:c r="D86" t="str">
        <x:v>Exploitation</x:v>
      </x:c>
      <x:c r="E86" t="str">
        <x:v>Agent d’entretien</x:v>
      </x:c>
      <x:c r="F86" t="n">
        <x:v>459000</x:v>
      </x:c>
      <x:c r="G86" t="n">
        <x:v>37000</x:v>
      </x:c>
      <x:c r="H86" t="n">
        <x:v>64000</x:v>
      </x:c>
      <x:c r="I86" t="n">
        <x:f>SUM(F86:H86)</x:f>
        <x:v>560000</x:v>
      </x:c>
      <x:c r="J86" t="str">
        <x:v>Actif</x:v>
      </x:c>
    </x:row>
    <x:row r="87">
      <x:c r="A87" t="str">
        <x:v>EMP-089</x:v>
      </x:c>
      <x:c r="B87" t="str">
        <x:v>RASOLOFONIAINA Tsanta</x:v>
      </x:c>
      <x:c r="C87" t="str">
        <x:v>FORT DAUPHIN</x:v>
      </x:c>
      <x:c r="D87" t="str">
        <x:v>Exploitation</x:v>
      </x:c>
      <x:c r="E87" t="str">
        <x:v>Agent d’entretien</x:v>
      </x:c>
      <x:c r="F87" t="n">
        <x:v>459000</x:v>
      </x:c>
      <x:c r="G87" t="n">
        <x:v>37000</x:v>
      </x:c>
      <x:c r="H87" t="n">
        <x:v>64000</x:v>
      </x:c>
      <x:c r="I87" t="n">
        <x:f>SUM(F87:H87)</x:f>
        <x:v>560000</x:v>
      </x:c>
      <x:c r="J87" t="str">
        <x:v>Actif</x:v>
      </x:c>
    </x:row>
    <x:row r="88">
      <x:c r="A88" t="str">
        <x:v>EMP-090</x:v>
      </x:c>
      <x:c r="B88" t="str">
        <x:v>RAKOTOMENDRIKA Haja</x:v>
      </x:c>
      <x:c r="C88" t="str">
        <x:v>FORT DAUPHIN</x:v>
      </x:c>
      <x:c r="D88" t="str">
        <x:v>Exploitation</x:v>
      </x:c>
      <x:c r="E88" t="str">
        <x:v>Agent d’entretien</x:v>
      </x:c>
      <x:c r="F88" t="n">
        <x:v>459000</x:v>
      </x:c>
      <x:c r="G88" t="n">
        <x:v>37000</x:v>
      </x:c>
      <x:c r="H88" t="n">
        <x:v>64000</x:v>
      </x:c>
      <x:c r="I88" t="n">
        <x:f>SUM(F88:H88)</x:f>
        <x:v>560000</x:v>
      </x:c>
      <x:c r="J88" t="str">
        <x:v>Actif</x:v>
      </x:c>
    </x:row>
    <x:row r="89">
      <x:c r="A89" t="str">
        <x:v>EMP-091</x:v>
      </x:c>
      <x:c r="B89" t="str">
        <x:v>RAKOTOVAO Nomena</x:v>
      </x:c>
      <x:c r="C89" t="str">
        <x:v>FORT DAUPHIN</x:v>
      </x:c>
      <x:c r="D89" t="str">
        <x:v>Exploitation</x:v>
      </x:c>
      <x:c r="E89" t="str">
        <x:v>Agent d’entretien</x:v>
      </x:c>
      <x:c r="F89" t="n">
        <x:v>663000</x:v>
      </x:c>
      <x:c r="G89" t="n">
        <x:v>53000</x:v>
      </x:c>
      <x:c r="H89" t="n">
        <x:v>93000</x:v>
      </x:c>
      <x:c r="I89" t="n">
        <x:f>SUM(F89:H89)</x:f>
        <x:v>809000</x:v>
      </x:c>
      <x:c r="J89" t="str">
        <x:v>Actif</x:v>
      </x:c>
    </x:row>
    <x:row r="90">
      <x:c r="A90" t="str">
        <x:v>EMP-092</x:v>
      </x:c>
      <x:c r="B90" t="str">
        <x:v>RATSIMAHERY Lalaina</x:v>
      </x:c>
      <x:c r="C90" t="str">
        <x:v>AMPANDRANDAVA</x:v>
      </x:c>
      <x:c r="D90" t="str">
        <x:v>Exploitation</x:v>
      </x:c>
      <x:c r="E90" t="str">
        <x:v>Magasinier</x:v>
      </x:c>
      <x:c r="F90" t="n">
        <x:v>663000</x:v>
      </x:c>
      <x:c r="G90" t="n">
        <x:v>53000</x:v>
      </x:c>
      <x:c r="H90" t="n">
        <x:v>93000</x:v>
      </x:c>
      <x:c r="I90" t="n">
        <x:f>SUM(F90:H90)</x:f>
        <x:v>809000</x:v>
      </x:c>
      <x:c r="J90" t="str">
        <x:v>Actif</x:v>
      </x:c>
    </x:row>
    <x:row r="91">
      <x:c r="A91" t="str">
        <x:v>EMP-094</x:v>
      </x:c>
      <x:c r="B91" t="str">
        <x:v>RABEFANJA Vero</x:v>
      </x:c>
      <x:c r="C91" t="str">
        <x:v>AMPANDRANDAVA</x:v>
      </x:c>
      <x:c r="D91" t="str">
        <x:v>Exploitation</x:v>
      </x:c>
      <x:c r="E91" t="str">
        <x:v>Mécanicien</x:v>
      </x:c>
      <x:c r="F91" t="n">
        <x:v>663000</x:v>
      </x:c>
      <x:c r="G91" t="n">
        <x:v>53000</x:v>
      </x:c>
      <x:c r="H91" t="n">
        <x:v>93000</x:v>
      </x:c>
      <x:c r="I91" t="n">
        <x:f>SUM(F91:H91)</x:f>
        <x:v>809000</x:v>
      </x:c>
      <x:c r="J91" t="str">
        <x:v>Actif</x:v>
      </x:c>
    </x:row>
    <x:row r="92">
      <x:c r="A92" t="str">
        <x:v>EMP-095</x:v>
      </x:c>
      <x:c r="B92" t="str">
        <x:v>RAKOTOMANJAKA Rina</x:v>
      </x:c>
      <x:c r="C92" t="str">
        <x:v>AMPANDRANDAVA</x:v>
      </x:c>
      <x:c r="D92" t="str">
        <x:v>Exploitation</x:v>
      </x:c>
      <x:c r="E92" t="str">
        <x:v>Mécanicien</x:v>
      </x:c>
      <x:c r="F92" t="n">
        <x:v>663000</x:v>
      </x:c>
      <x:c r="G92" t="n">
        <x:v>53000</x:v>
      </x:c>
      <x:c r="H92" t="n">
        <x:v>93000</x:v>
      </x:c>
      <x:c r="I92" t="n">
        <x:f>SUM(F92:H92)</x:f>
        <x:v>809000</x:v>
      </x:c>
      <x:c r="J92" t="str">
        <x:v>Actif</x:v>
      </x:c>
    </x:row>
    <x:row r="93">
      <x:c r="A93" t="str">
        <x:v>EMP-096</x:v>
      </x:c>
      <x:c r="B93" t="str">
        <x:v>RAKOTOTSIORY Mendrika</x:v>
      </x:c>
      <x:c r="C93" t="str">
        <x:v>AMPANDRANDAVA</x:v>
      </x:c>
      <x:c r="D93" t="str">
        <x:v>Exploitation</x:v>
      </x:c>
      <x:c r="E93" t="str">
        <x:v>Aide mécanicien</x:v>
      </x:c>
      <x:c r="F93" t="n">
        <x:v>663000</x:v>
      </x:c>
      <x:c r="G93" t="n">
        <x:v>53000</x:v>
      </x:c>
      <x:c r="H93" t="n">
        <x:v>93000</x:v>
      </x:c>
      <x:c r="I93" t="n">
        <x:f>SUM(F93:H93)</x:f>
        <x:v>809000</x:v>
      </x:c>
      <x:c r="J93" t="str">
        <x:v>Actif</x:v>
      </x:c>
    </x:row>
    <x:row r="94">
      <x:c r="A94" t="str">
        <x:v>EMP-097</x:v>
      </x:c>
      <x:c r="B94" t="str">
        <x:v>RAZAFINIRINA Tina</x:v>
      </x:c>
      <x:c r="C94" t="str">
        <x:v>AMPANDRANDAVA</x:v>
      </x:c>
      <x:c r="D94" t="str">
        <x:v>Exploitation</x:v>
      </x:c>
      <x:c r="E94" t="str">
        <x:v>Aide mécanicien</x:v>
      </x:c>
      <x:c r="F94" t="n">
        <x:v>663000</x:v>
      </x:c>
      <x:c r="G94" t="n">
        <x:v>53000</x:v>
      </x:c>
      <x:c r="H94" t="n">
        <x:v>93000</x:v>
      </x:c>
      <x:c r="I94" t="n">
        <x:f>SUM(F94:H94)</x:f>
        <x:v>809000</x:v>
      </x:c>
      <x:c r="J94" t="str">
        <x:v>Actif</x:v>
      </x:c>
    </x:row>
    <x:row r="95">
      <x:c r="A95" t="str">
        <x:v>EMP-098</x:v>
      </x:c>
      <x:c r="B95" t="str">
        <x:v>RABESITRAKA Vola</x:v>
      </x:c>
      <x:c r="C95" t="str">
        <x:v>AMPANDRANDAVA</x:v>
      </x:c>
      <x:c r="D95" t="str">
        <x:v>Production</x:v>
      </x:c>
      <x:c r="E95" t="str">
        <x:v>Coupeuse / trieuse</x:v>
      </x:c>
      <x:c r="F95" t="n">
        <x:v>663000</x:v>
      </x:c>
      <x:c r="G95" t="n">
        <x:v>53000</x:v>
      </x:c>
      <x:c r="H95" t="n">
        <x:v>93000</x:v>
      </x:c>
      <x:c r="I95" t="n">
        <x:f>SUM(F95:H95)</x:f>
        <x:v>809000</x:v>
      </x:c>
      <x:c r="J95" t="str">
        <x:v>Actif</x:v>
      </x:c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5.630000114440918" hidden="0" customWidth="1"/>
    <x:col min="4" max="4" width="5.880000114440918" hidden="0" customWidth="1"/>
    <x:col min="5" max="5" width="5.880000114440918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5" hidden="0" customWidth="1"/>
    <x:col min="11" max="11" width="4.75" hidden="0" customWidth="1"/>
    <x:col min="12" max="12" width="8.880000114440918" hidden="0" customWidth="1"/>
    <x:col min="13" max="13" width="6.75" hidden="0" customWidth="1"/>
    <x:col min="14" max="14" width="8.5" hidden="0" customWidth="1"/>
    <x:col min="15" max="15" width="8.380000114440918" hidden="0" customWidth="1"/>
    <x:col min="16" max="16" width="9.880000114440918" hidden="0" customWidth="1"/>
  </x:cols>
  <x:sheetData>
    <x:row r="1">
      <x:c r="A1" s="6" t="str">
        <x:v>Site</x:v>
      </x:c>
      <x:c r="B1" s="6" t="str">
        <x:v>Produit</x:v>
      </x:c>
      <x:c r="C1" s="6" t="str">
        <x:v>Unité</x:v>
      </x:c>
      <x:c r="D1" s="6" t="str">
        <x:v>Janvier</x:v>
      </x:c>
      <x:c r="E1" s="6" t="str">
        <x:v>Février</x:v>
      </x:c>
      <x:c r="F1" s="6" t="str">
        <x:v>Mars</x:v>
      </x:c>
      <x:c r="G1" s="6" t="str">
        <x:v>Avril</x:v>
      </x:c>
      <x:c r="H1" s="6" t="str">
        <x:v>Mai</x:v>
      </x:c>
      <x:c r="I1" s="6" t="str">
        <x:v>Juin</x:v>
      </x:c>
      <x:c r="J1" s="6" t="str">
        <x:v>Juillet</x:v>
      </x:c>
      <x:c r="K1" s="6" t="str">
        <x:v>Août</x:v>
      </x:c>
      <x:c r="L1" s="6" t="str">
        <x:v>Septembre</x:v>
      </x:c>
      <x:c r="M1" s="6" t="str">
        <x:v>Octobre</x:v>
      </x:c>
      <x:c r="N1" s="6" t="str">
        <x:v>Novembre</x:v>
      </x:c>
      <x:c r="O1" s="6" t="str">
        <x:v>Décembre</x:v>
      </x:c>
      <x:c r="P1" s="6" t="str">
        <x:v>Total annuel</x:v>
      </x:c>
    </x:row>
    <x:row r="2">
      <x:c r="A2" t="str">
        <x:v>AMPANDRANDAVA</x:v>
      </x:c>
      <x:c r="B2" t="str">
        <x:v>ABR COUPE</x:v>
      </x:c>
      <x:c r="C2" t="str">
        <x:v>tonnes</x:v>
      </x:c>
      <x:c r="D2" s="18" t="n">
        <x:v>69.67</x:v>
      </x:c>
      <x:c r="E2" s="18" t="n">
        <x:v>61.64</x:v>
      </x:c>
      <x:c r="F2" s="18" t="n">
        <x:v>60.69</x:v>
      </x:c>
      <x:c r="G2" s="18" t="n">
        <x:v>55.02</x:v>
      </x:c>
      <x:c r="H2" s="18" t="n">
        <x:v>55.77</x:v>
      </x:c>
      <x:c r="I2" s="18" t="n">
        <x:v>70.03</x:v>
      </x:c>
      <x:c r="J2" s="18" t="n">
        <x:v>59.52</x:v>
      </x:c>
      <x:c r="K2" s="18" t="n">
        <x:v>69.4</x:v>
      </x:c>
      <x:c r="L2" s="18" t="n">
        <x:v>71.32</x:v>
      </x:c>
      <x:c r="M2" s="18" t="n">
        <x:v>71.69</x:v>
      </x:c>
      <x:c r="N2" s="18" t="n">
        <x:v>62.16</x:v>
      </x:c>
      <x:c r="O2" s="18" t="n">
        <x:v>64.35</x:v>
      </x:c>
      <x:c r="P2" s="18" t="n">
        <x:f>SUM(D2:O2)</x:f>
        <x:v>771.26</x:v>
      </x:c>
    </x:row>
    <x:row r="3">
      <x:c r="A3" t="str">
        <x:v>AMPANDRANDAVA</x:v>
      </x:c>
      <x:c r="B3" t="str">
        <x:v>FP1 COUPE</x:v>
      </x:c>
      <x:c r="C3" t="str">
        <x:v>tonnes</x:v>
      </x:c>
      <x:c r="D3" s="18" t="n">
        <x:v>54.23</x:v>
      </x:c>
      <x:c r="E3" s="18" t="n">
        <x:v>44.97</x:v>
      </x:c>
      <x:c r="F3" s="18" t="n">
        <x:v>46.17</x:v>
      </x:c>
      <x:c r="G3" s="18" t="n">
        <x:v>46.6</x:v>
      </x:c>
      <x:c r="H3" s="18" t="n">
        <x:v>52.26</x:v>
      </x:c>
      <x:c r="I3" s="18" t="n">
        <x:v>41.71</x:v>
      </x:c>
      <x:c r="J3" s="18" t="n">
        <x:v>53.47</x:v>
      </x:c>
      <x:c r="K3" s="18" t="n">
        <x:v>49.17</x:v>
      </x:c>
      <x:c r="L3" s="18" t="n">
        <x:v>47.95</x:v>
      </x:c>
      <x:c r="M3" s="18" t="n">
        <x:v>45.75</x:v>
      </x:c>
      <x:c r="N3" s="18" t="n">
        <x:v>46.28</x:v>
      </x:c>
      <x:c r="O3" s="18" t="n">
        <x:v>45.06</x:v>
      </x:c>
      <x:c r="P3" s="18" t="n">
        <x:f>SUM(D3:O3)</x:f>
        <x:v>573.6199999999999</x:v>
      </x:c>
    </x:row>
    <x:row r="4">
      <x:c r="A4" t="str">
        <x:v>AMPANDRANDAVA</x:v>
      </x:c>
      <x:c r="B4" t="str">
        <x:v>FP2 COUPE</x:v>
      </x:c>
      <x:c r="C4" t="str">
        <x:v>tonnes</x:v>
      </x:c>
      <x:c r="D4" s="18" t="n">
        <x:v>44.55</x:v>
      </x:c>
      <x:c r="E4" s="18" t="n">
        <x:v>36.08</x:v>
      </x:c>
      <x:c r="F4" s="18" t="n">
        <x:v>43.92</x:v>
      </x:c>
      <x:c r="G4" s="18" t="n">
        <x:v>40.04</x:v>
      </x:c>
      <x:c r="H4" s="18" t="n">
        <x:v>44.23</x:v>
      </x:c>
      <x:c r="I4" s="18" t="n">
        <x:v>36.63</x:v>
      </x:c>
      <x:c r="J4" s="18" t="n">
        <x:v>44.47</x:v>
      </x:c>
      <x:c r="K4" s="18" t="n">
        <x:v>48.24</x:v>
      </x:c>
      <x:c r="L4" s="18" t="n">
        <x:v>39.89</x:v>
      </x:c>
      <x:c r="M4" s="18" t="n">
        <x:v>44.32</x:v>
      </x:c>
      <x:c r="N4" s="18" t="n">
        <x:v>36.53</x:v>
      </x:c>
      <x:c r="O4" s="18" t="n">
        <x:v>46.8</x:v>
      </x:c>
      <x:c r="P4" s="18" t="n">
        <x:f>SUM(D4:O4)</x:f>
        <x:v>505.7</x:v>
      </x:c>
    </x:row>
    <x:row r="5">
      <x:c r="A5" t="str">
        <x:v>AMPANDRANDAVA</x:v>
      </x:c>
      <x:c r="B5" t="str">
        <x:v>TRA</x:v>
      </x:c>
      <x:c r="C5" t="str">
        <x:v>tonnes</x:v>
      </x:c>
      <x:c r="D5" s="18" t="n">
        <x:v>54.34</x:v>
      </x:c>
      <x:c r="E5" s="18" t="n">
        <x:v>64.71</x:v>
      </x:c>
      <x:c r="F5" s="18" t="n">
        <x:v>53.63</x:v>
      </x:c>
      <x:c r="G5" s="18" t="n">
        <x:v>54.03</x:v>
      </x:c>
      <x:c r="H5" s="18" t="n">
        <x:v>50.33</x:v>
      </x:c>
      <x:c r="I5" s="18" t="n">
        <x:v>50.37</x:v>
      </x:c>
      <x:c r="J5" s="18" t="n">
        <x:v>58.35</x:v>
      </x:c>
      <x:c r="K5" s="18" t="n">
        <x:v>52.02</x:v>
      </x:c>
      <x:c r="L5" s="18" t="n">
        <x:v>48.55</x:v>
      </x:c>
      <x:c r="M5" s="18" t="n">
        <x:v>56.44</x:v>
      </x:c>
      <x:c r="N5" s="18" t="n">
        <x:v>56.08</x:v>
      </x:c>
      <x:c r="O5" s="18" t="n">
        <x:v>64.39</x:v>
      </x:c>
      <x:c r="P5" s="18" t="n">
        <x:f>SUM(D5:O5)</x:f>
        <x:v>663.24</x:v>
      </x:c>
    </x:row>
    <x:row r="6">
      <x:c r="A6" t="str">
        <x:v>AMPANDRANDAVA</x:v>
      </x:c>
      <x:c r="B6" t="str">
        <x:v>BSA</x:v>
      </x:c>
      <x:c r="C6" t="str">
        <x:v>tonnes</x:v>
      </x:c>
      <x:c r="D6" s="18" t="n">
        <x:v>33.77</x:v>
      </x:c>
      <x:c r="E6" s="18" t="n">
        <x:v>38.3</x:v>
      </x:c>
      <x:c r="F6" s="18" t="n">
        <x:v>42.44</x:v>
      </x:c>
      <x:c r="G6" s="18" t="n">
        <x:v>36.12</x:v>
      </x:c>
      <x:c r="H6" s="18" t="n">
        <x:v>41.6</x:v>
      </x:c>
      <x:c r="I6" s="18" t="n">
        <x:v>33.18</x:v>
      </x:c>
      <x:c r="J6" s="18" t="n">
        <x:v>39.1</x:v>
      </x:c>
      <x:c r="K6" s="18" t="n">
        <x:v>40.61</x:v>
      </x:c>
      <x:c r="L6" s="18" t="n">
        <x:v>34.18</x:v>
      </x:c>
      <x:c r="M6" s="18" t="n">
        <x:v>36.16</x:v>
      </x:c>
      <x:c r="N6" s="18" t="n">
        <x:v>37.39</x:v>
      </x:c>
      <x:c r="O6" s="18" t="n">
        <x:v>33.02</x:v>
      </x:c>
      <x:c r="P6" s="18" t="n">
        <x:f>SUM(D6:O6)</x:f>
        <x:v>445.87</x:v>
      </x:c>
    </x:row>
    <x:row r="7">
      <x:c r="A7" t="str">
        <x:v>FORT DAUPHIN</x:v>
      </x:c>
      <x:c r="B7" t="str">
        <x:v>ABR COUPE</x:v>
      </x:c>
      <x:c r="C7" t="str">
        <x:v>tonnes</x:v>
      </x:c>
      <x:c r="D7" s="18" t="n">
        <x:v>66.35</x:v>
      </x:c>
      <x:c r="E7" s="18" t="n">
        <x:v>67.38</x:v>
      </x:c>
      <x:c r="F7" s="18" t="n">
        <x:v>58.03</x:v>
      </x:c>
      <x:c r="G7" s="18" t="n">
        <x:v>63.81</x:v>
      </x:c>
      <x:c r="H7" s="18" t="n">
        <x:v>69.52</x:v>
      </x:c>
      <x:c r="I7" s="18" t="n">
        <x:v>60.17</x:v>
      </x:c>
      <x:c r="J7" s="18" t="n">
        <x:v>63.34</x:v>
      </x:c>
      <x:c r="K7" s="18" t="n">
        <x:v>61.47</x:v>
      </x:c>
      <x:c r="L7" s="18" t="n">
        <x:v>55.06</x:v>
      </x:c>
      <x:c r="M7" s="18" t="n">
        <x:v>59.74</x:v>
      </x:c>
      <x:c r="N7" s="18" t="n">
        <x:v>54.53</x:v>
      </x:c>
      <x:c r="O7" s="18" t="n">
        <x:v>60.73</x:v>
      </x:c>
      <x:c r="P7" s="18" t="n">
        <x:f>SUM(D7:O7)</x:f>
        <x:v>740.1300000000001</x:v>
      </x:c>
    </x:row>
    <x:row r="8">
      <x:c r="A8" t="str">
        <x:v>FORT DAUPHIN</x:v>
      </x:c>
      <x:c r="B8" t="str">
        <x:v>FP1 COUPE</x:v>
      </x:c>
      <x:c r="C8" t="str">
        <x:v>tonnes</x:v>
      </x:c>
      <x:c r="D8" s="18" t="n">
        <x:v>43.45</x:v>
      </x:c>
      <x:c r="E8" s="18" t="n">
        <x:v>45.47</x:v>
      </x:c>
      <x:c r="F8" s="18" t="n">
        <x:v>52.79</x:v>
      </x:c>
      <x:c r="G8" s="18" t="n">
        <x:v>41.55</x:v>
      </x:c>
      <x:c r="H8" s="18" t="n">
        <x:v>55.33</x:v>
      </x:c>
      <x:c r="I8" s="18" t="n">
        <x:v>54.61</x:v>
      </x:c>
      <x:c r="J8" s="18" t="n">
        <x:v>51.27</x:v>
      </x:c>
      <x:c r="K8" s="18" t="n">
        <x:v>43.33</x:v>
      </x:c>
      <x:c r="L8" s="18" t="n">
        <x:v>43.54</x:v>
      </x:c>
      <x:c r="M8" s="18" t="n">
        <x:v>52.29</x:v>
      </x:c>
      <x:c r="N8" s="18" t="n">
        <x:v>50.23</x:v>
      </x:c>
      <x:c r="O8" s="18" t="n">
        <x:v>54.87</x:v>
      </x:c>
      <x:c r="P8" s="18" t="n">
        <x:f>SUM(D8:O8)</x:f>
        <x:v>588.73</x:v>
      </x:c>
    </x:row>
    <x:row r="9">
      <x:c r="A9" t="str">
        <x:v>FORT DAUPHIN</x:v>
      </x:c>
      <x:c r="B9" t="str">
        <x:v>FP2 COUPE</x:v>
      </x:c>
      <x:c r="C9" t="str">
        <x:v>tonnes</x:v>
      </x:c>
      <x:c r="D9" s="18" t="n">
        <x:v>37.27</x:v>
      </x:c>
      <x:c r="E9" s="18" t="n">
        <x:v>36.71</x:v>
      </x:c>
      <x:c r="F9" s="18" t="n">
        <x:v>45.53</x:v>
      </x:c>
      <x:c r="G9" s="18" t="n">
        <x:v>48.35</x:v>
      </x:c>
      <x:c r="H9" s="18" t="n">
        <x:v>38</x:v>
      </x:c>
      <x:c r="I9" s="18" t="n">
        <x:v>37.46</x:v>
      </x:c>
      <x:c r="J9" s="18" t="n">
        <x:v>45.82</x:v>
      </x:c>
      <x:c r="K9" s="18" t="n">
        <x:v>38.63</x:v>
      </x:c>
      <x:c r="L9" s="18" t="n">
        <x:v>40.66</x:v>
      </x:c>
      <x:c r="M9" s="18" t="n">
        <x:v>40.01</x:v>
      </x:c>
      <x:c r="N9" s="18" t="n">
        <x:v>45.1</x:v>
      </x:c>
      <x:c r="O9" s="18" t="n">
        <x:v>42.3</x:v>
      </x:c>
      <x:c r="P9" s="18" t="n">
        <x:f>SUM(D9:O9)</x:f>
        <x:v>495.8400000000001</x:v>
      </x:c>
    </x:row>
    <x:row r="10">
      <x:c r="A10" t="str">
        <x:v>FORT DAUPHIN</x:v>
      </x:c>
      <x:c r="B10" t="str">
        <x:v>TRA</x:v>
      </x:c>
      <x:c r="C10" t="str">
        <x:v>tonnes</x:v>
      </x:c>
      <x:c r="D10" s="18" t="n">
        <x:v>50.89</x:v>
      </x:c>
      <x:c r="E10" s="18" t="n">
        <x:v>62.74</x:v>
      </x:c>
      <x:c r="F10" s="18" t="n">
        <x:v>51.34</x:v>
      </x:c>
      <x:c r="G10" s="18" t="n">
        <x:v>51.76</x:v>
      </x:c>
      <x:c r="H10" s="18" t="n">
        <x:v>57.12</x:v>
      </x:c>
      <x:c r="I10" s="18" t="n">
        <x:v>53.22</x:v>
      </x:c>
      <x:c r="J10" s="18" t="n">
        <x:v>64.58</x:v>
      </x:c>
      <x:c r="K10" s="18" t="n">
        <x:v>58.8</x:v>
      </x:c>
      <x:c r="L10" s="18" t="n">
        <x:v>57.59</x:v>
      </x:c>
      <x:c r="M10" s="18" t="n">
        <x:v>64.13</x:v>
      </x:c>
      <x:c r="N10" s="18" t="n">
        <x:v>55.39</x:v>
      </x:c>
      <x:c r="O10" s="18" t="n">
        <x:v>58.71</x:v>
      </x:c>
      <x:c r="P10" s="18" t="n">
        <x:f>SUM(D10:O10)</x:f>
        <x:v>686.27</x:v>
      </x:c>
    </x:row>
    <x:row r="11">
      <x:c r="A11" t="str">
        <x:v>FORT DAUPHIN</x:v>
      </x:c>
      <x:c r="B11" t="str">
        <x:v>BSA</x:v>
      </x:c>
      <x:c r="C11" t="str">
        <x:v>tonnes</x:v>
      </x:c>
      <x:c r="D11" s="18" t="n">
        <x:v>38.9</x:v>
      </x:c>
      <x:c r="E11" s="18" t="n">
        <x:v>41.86</x:v>
      </x:c>
      <x:c r="F11" s="18" t="n">
        <x:v>38.56</x:v>
      </x:c>
      <x:c r="G11" s="18" t="n">
        <x:v>41.92</x:v>
      </x:c>
      <x:c r="H11" s="18" t="n">
        <x:v>32.08</x:v>
      </x:c>
      <x:c r="I11" s="18" t="n">
        <x:v>35.27</x:v>
      </x:c>
      <x:c r="J11" s="18" t="n">
        <x:v>41.5</x:v>
      </x:c>
      <x:c r="K11" s="18" t="n">
        <x:v>33.07</x:v>
      </x:c>
      <x:c r="L11" s="18" t="n">
        <x:v>39.28</x:v>
      </x:c>
      <x:c r="M11" s="18" t="n">
        <x:v>33.8</x:v>
      </x:c>
      <x:c r="N11" s="18" t="n">
        <x:v>37.13</x:v>
      </x:c>
      <x:c r="O11" s="18" t="n">
        <x:v>36.69</x:v>
      </x:c>
      <x:c r="P11" s="18" t="n">
        <x:f>SUM(D11:O11)</x:f>
        <x:v>450.06000000000006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" hidden="0" customWidth="1"/>
    <x:col min="3" max="3" width="14.75" hidden="0" customWidth="1"/>
    <x:col min="4" max="4" width="4.75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11.25" hidden="0" customWidth="1"/>
  </x:cols>
  <x:sheetData>
    <x:row r="1">
      <x:c r="A1" s="6" t="str">
        <x:v>Catégorie</x:v>
      </x:c>
      <x:c r="B1" s="6" t="str">
        <x:v>Nature</x:v>
      </x:c>
      <x:c r="C1" s="6" t="str">
        <x:v>Site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16" t="n">
        <x:v>151472750</x:v>
      </x:c>
      <x:c r="F2" s="16" t="n">
        <x:v>133364800</x:v>
      </x:c>
      <x:c r="G2" s="16" t="n">
        <x:v>157702850</x:v>
      </x:c>
      <x:c r="H2" s="16" t="n">
        <x:v>140886900</x:v>
      </x:c>
      <x:c r="I2" s="16" t="n">
        <x:v>133801800</x:v>
      </x:c>
      <x:c r="J2" s="16" t="n">
        <x:v>133478800</x:v>
      </x:c>
      <x:c r="K2" s="16" t="n">
        <x:v>135440550</x:v>
      </x:c>
      <x:c r="L2" s="16" t="n">
        <x:v>158228200</x:v>
      </x:c>
      <x:c r="M2" s="16" t="n">
        <x:v>133255550</x:v>
      </x:c>
      <x:c r="N2" s="16" t="n">
        <x:v>152821750</x:v>
      </x:c>
      <x:c r="O2" s="16" t="n">
        <x:v>141517700</x:v>
      </x:c>
      <x:c r="P2" s="16" t="n">
        <x:v>150795400</x:v>
      </x:c>
      <x:c r="Q2" s="16" t="n">
        <x:f>SUM(E2:P2)</x:f>
        <x:v>1722767050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16" t="n">
        <x:v>50556150</x:v>
      </x:c>
      <x:c r="F3" s="16" t="n">
        <x:v>45903050</x:v>
      </x:c>
      <x:c r="G3" s="16" t="n">
        <x:v>52915000</x:v>
      </x:c>
      <x:c r="H3" s="16" t="n">
        <x:v>51590700</x:v>
      </x:c>
      <x:c r="I3" s="16" t="n">
        <x:v>51078650</x:v>
      </x:c>
      <x:c r="J3" s="16" t="n">
        <x:v>53447000</x:v>
      </x:c>
      <x:c r="K3" s="16" t="n">
        <x:v>50790800</x:v>
      </x:c>
      <x:c r="L3" s="16" t="n">
        <x:v>46260250</x:v>
      </x:c>
      <x:c r="M3" s="16" t="n">
        <x:v>44391600</x:v>
      </x:c>
      <x:c r="N3" s="16" t="n">
        <x:v>42791800</x:v>
      </x:c>
      <x:c r="O3" s="16" t="n">
        <x:v>49003850</x:v>
      </x:c>
      <x:c r="P3" s="16" t="n">
        <x:v>53988500</x:v>
      </x:c>
      <x:c r="Q3" s="16" t="n">
        <x:f>SUM(E3:P3)</x:f>
        <x:v>592717350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16" t="n">
        <x:v>74481900</x:v>
      </x:c>
      <x:c r="F4" s="16" t="n">
        <x:v>84707700</x:v>
      </x:c>
      <x:c r="G4" s="16" t="n">
        <x:v>85406900</x:v>
      </x:c>
      <x:c r="H4" s="16" t="n">
        <x:v>80027050</x:v>
      </x:c>
      <x:c r="I4" s="16" t="n">
        <x:v>75769150</x:v>
      </x:c>
      <x:c r="J4" s="16" t="n">
        <x:v>87813250</x:v>
      </x:c>
      <x:c r="K4" s="16" t="n">
        <x:v>80342450</x:v>
      </x:c>
      <x:c r="L4" s="16" t="n">
        <x:v>86706500</x:v>
      </x:c>
      <x:c r="M4" s="16" t="n">
        <x:v>86521250</x:v>
      </x:c>
      <x:c r="N4" s="16" t="n">
        <x:v>79925400</x:v>
      </x:c>
      <x:c r="O4" s="16" t="n">
        <x:v>84414150</x:v>
      </x:c>
      <x:c r="P4" s="16" t="n">
        <x:v>77049750</x:v>
      </x:c>
      <x:c r="Q4" s="16" t="n">
        <x:f>SUM(E4:P4)</x:f>
        <x:v>983165450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16" t="n">
        <x:v>34478350</x:v>
      </x:c>
      <x:c r="F5" s="16" t="n">
        <x:v>29484200</x:v>
      </x:c>
      <x:c r="G5" s="16" t="n">
        <x:v>32233500</x:v>
      </x:c>
      <x:c r="H5" s="16" t="n">
        <x:v>29995300</x:v>
      </x:c>
      <x:c r="I5" s="16" t="n">
        <x:v>36334650</x:v>
      </x:c>
      <x:c r="J5" s="16" t="n">
        <x:v>34484050</x:v>
      </x:c>
      <x:c r="K5" s="16" t="n">
        <x:v>30998500</x:v>
      </x:c>
      <x:c r="L5" s="16" t="n">
        <x:v>34953350</x:v>
      </x:c>
      <x:c r="M5" s="16" t="n">
        <x:v>35064500</x:v>
      </x:c>
      <x:c r="N5" s="16" t="n">
        <x:v>29656150</x:v>
      </x:c>
      <x:c r="O5" s="16" t="n">
        <x:v>35946100</x:v>
      </x:c>
      <x:c r="P5" s="16" t="n">
        <x:v>31068800</x:v>
      </x:c>
      <x:c r="Q5" s="16" t="n">
        <x:f>SUM(E5:P5)</x:f>
        <x:v>394697450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16" t="n">
        <x:v>25914100</x:v>
      </x:c>
      <x:c r="F6" s="16" t="n">
        <x:v>23999850</x:v>
      </x:c>
      <x:c r="G6" s="16" t="n">
        <x:v>22468450</x:v>
      </x:c>
      <x:c r="H6" s="16" t="n">
        <x:v>24311450</x:v>
      </x:c>
      <x:c r="I6" s="16" t="n">
        <x:v>23085000</x:v>
      </x:c>
      <x:c r="J6" s="16" t="n">
        <x:v>25958750</x:v>
      </x:c>
      <x:c r="K6" s="16" t="n">
        <x:v>22509300</x:v>
      </x:c>
      <x:c r="L6" s="16" t="n">
        <x:v>22380100</x:v>
      </x:c>
      <x:c r="M6" s="16" t="n">
        <x:v>24932750</x:v>
      </x:c>
      <x:c r="N6" s="16" t="n">
        <x:v>25241500</x:v>
      </x:c>
      <x:c r="O6" s="16" t="n">
        <x:v>21725550</x:v>
      </x:c>
      <x:c r="P6" s="16" t="n">
        <x:v>21599200</x:v>
      </x:c>
      <x:c r="Q6" s="16" t="n">
        <x:f>SUM(E6:P6)</x:f>
        <x:v>284126000</x:v>
      </x:c>
    </x:row>
    <x:row r="7">
      <x:c r="A7"/>
      <x:c r="B7"/>
      <x:c r="C7"/>
      <x:c r="D7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16" t="n">
        <x:v>7810900</x:v>
      </x:c>
      <x:c r="F8" s="16" t="n">
        <x:v>7767200</x:v>
      </x:c>
      <x:c r="G8" s="16" t="n">
        <x:v>7352050</x:v>
      </x:c>
      <x:c r="H8" s="16" t="n">
        <x:v>7259900</x:v>
      </x:c>
      <x:c r="I8" s="16" t="n">
        <x:v>7510700</x:v>
      </x:c>
      <x:c r="J8" s="16" t="n">
        <x:v>7221900</x:v>
      </x:c>
      <x:c r="K8" s="16" t="n">
        <x:v>7979050</x:v>
      </x:c>
      <x:c r="L8" s="16" t="n">
        <x:v>8356200</x:v>
      </x:c>
      <x:c r="M8" s="16" t="n">
        <x:v>8263100</x:v>
      </x:c>
      <x:c r="N8" s="16" t="n">
        <x:v>8188050</x:v>
      </x:c>
      <x:c r="O8" s="16" t="n">
        <x:v>7144950</x:v>
      </x:c>
      <x:c r="P8" s="16" t="n">
        <x:v>7055650</x:v>
      </x:c>
      <x:c r="Q8" s="16" t="n">
        <x:f>SUM(E8:P8)</x:f>
        <x:v>91909650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16" t="n">
        <x:v>12104900</x:v>
      </x:c>
      <x:c r="F9" s="16" t="n">
        <x:v>12497250</x:v>
      </x:c>
      <x:c r="G9" s="16" t="n">
        <x:v>14418150</x:v>
      </x:c>
      <x:c r="H9" s="16" t="n">
        <x:v>14563500</x:v>
      </x:c>
      <x:c r="I9" s="16" t="n">
        <x:v>11704000</x:v>
      </x:c>
      <x:c r="J9" s="16" t="n">
        <x:v>13686650</x:v>
      </x:c>
      <x:c r="K9" s="16" t="n">
        <x:v>12560900</x:v>
      </x:c>
      <x:c r="L9" s="16" t="n">
        <x:v>14729750</x:v>
      </x:c>
      <x:c r="M9" s="16" t="n">
        <x:v>11680250</x:v>
      </x:c>
      <x:c r="N9" s="16" t="n">
        <x:v>11900650</x:v>
      </x:c>
      <x:c r="O9" s="16" t="n">
        <x:v>14250950</x:v>
      </x:c>
      <x:c r="P9" s="16" t="n">
        <x:v>14387750</x:v>
      </x:c>
      <x:c r="Q9" s="16" t="n">
        <x:f>SUM(E9:P9)</x:f>
        <x:v>158484700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16" t="n">
        <x:v>17436300</x:v>
      </x:c>
      <x:c r="F10" s="16" t="n">
        <x:v>15676900</x:v>
      </x:c>
      <x:c r="G10" s="16" t="n">
        <x:v>14688900</x:v>
      </x:c>
      <x:c r="H10" s="16" t="n">
        <x:v>16870100</x:v>
      </x:c>
      <x:c r="I10" s="16" t="n">
        <x:v>16249750</x:v>
      </x:c>
      <x:c r="J10" s="16" t="n">
        <x:v>16394150</x:v>
      </x:c>
      <x:c r="K10" s="16" t="n">
        <x:v>16201300</x:v>
      </x:c>
      <x:c r="L10" s="16" t="n">
        <x:v>15962850</x:v>
      </x:c>
      <x:c r="M10" s="16" t="n">
        <x:v>14752550</x:v>
      </x:c>
      <x:c r="N10" s="16" t="n">
        <x:v>16980300</x:v>
      </x:c>
      <x:c r="O10" s="16" t="n">
        <x:v>16345700</x:v>
      </x:c>
      <x:c r="P10" s="16" t="n">
        <x:v>16537600</x:v>
      </x:c>
      <x:c r="Q10" s="16" t="n">
        <x:f>SUM(E10:P10)</x:f>
        <x:v>194096400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16" t="n">
        <x:v>34922950</x:v>
      </x:c>
      <x:c r="F11" s="16" t="n">
        <x:v>36634850</x:v>
      </x:c>
      <x:c r="G11" s="16" t="n">
        <x:v>37783400</x:v>
      </x:c>
      <x:c r="H11" s="16" t="n">
        <x:v>39395550</x:v>
      </x:c>
      <x:c r="I11" s="16" t="n">
        <x:v>35612650</x:v>
      </x:c>
      <x:c r="J11" s="16" t="n">
        <x:v>41985250</x:v>
      </x:c>
      <x:c r="K11" s="16" t="n">
        <x:v>35991700</x:v>
      </x:c>
      <x:c r="L11" s="16" t="n">
        <x:v>37187750</x:v>
      </x:c>
      <x:c r="M11" s="16" t="n">
        <x:v>42791800</x:v>
      </x:c>
      <x:c r="N11" s="16" t="n">
        <x:v>38787550</x:v>
      </x:c>
      <x:c r="O11" s="16" t="n">
        <x:v>34770000</x:v>
      </x:c>
      <x:c r="P11" s="16" t="n">
        <x:v>37826150</x:v>
      </x:c>
      <x:c r="Q11" s="16" t="n">
        <x:f>SUM(E11:P11)</x:f>
        <x:v>453689600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16" t="n">
        <x:v>20389850</x:v>
      </x:c>
      <x:c r="F12" s="16" t="n">
        <x:v>19849300</x:v>
      </x:c>
      <x:c r="G12" s="16" t="n">
        <x:v>23506800</x:v>
      </x:c>
      <x:c r="H12" s="16" t="n">
        <x:v>22995700</x:v>
      </x:c>
      <x:c r="I12" s="16" t="n">
        <x:v>23918150</x:v>
      </x:c>
      <x:c r="J12" s="16" t="n">
        <x:v>24753200</x:v>
      </x:c>
      <x:c r="K12" s="16" t="n">
        <x:v>23214200</x:v>
      </x:c>
      <x:c r="L12" s="16" t="n">
        <x:v>22012450</x:v>
      </x:c>
      <x:c r="M12" s="16" t="n">
        <x:v>23332000</x:v>
      </x:c>
      <x:c r="N12" s="16" t="n">
        <x:v>22333550</x:v>
      </x:c>
      <x:c r="O12" s="16" t="n">
        <x:v>22440900</x:v>
      </x:c>
      <x:c r="P12" s="16" t="n">
        <x:v>24413100</x:v>
      </x:c>
      <x:c r="Q12" s="16" t="n">
        <x:f>SUM(E12:P12)</x:f>
        <x:v>273159200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16" t="n">
        <x:v>27781800</x:v>
      </x:c>
      <x:c r="F13" s="16" t="n">
        <x:v>25652850</x:v>
      </x:c>
      <x:c r="G13" s="16" t="n">
        <x:v>24094850</x:v>
      </x:c>
      <x:c r="H13" s="16" t="n">
        <x:v>24390300</x:v>
      </x:c>
      <x:c r="I13" s="16" t="n">
        <x:v>29785350</x:v>
      </x:c>
      <x:c r="J13" s="16" t="n">
        <x:v>28526600</x:v>
      </x:c>
      <x:c r="K13" s="16" t="n">
        <x:v>24306700</x:v>
      </x:c>
      <x:c r="L13" s="16" t="n">
        <x:v>30082700</x:v>
      </x:c>
      <x:c r="M13" s="16" t="n">
        <x:v>29878450</x:v>
      </x:c>
      <x:c r="N13" s="16" t="n">
        <x:v>24509050</x:v>
      </x:c>
      <x:c r="O13" s="16" t="n">
        <x:v>25808650</x:v>
      </x:c>
      <x:c r="P13" s="16" t="n">
        <x:v>30208100</x:v>
      </x:c>
      <x:c r="Q13" s="16" t="n">
        <x:f>SUM(E13:P13)</x:f>
        <x:v>325025400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16" t="n">
        <x:v>11100750</x:v>
      </x:c>
      <x:c r="F14" s="16" t="n">
        <x:v>9916100</x:v>
      </x:c>
      <x:c r="G14" s="16" t="n">
        <x:v>10770150</x:v>
      </x:c>
      <x:c r="H14" s="16" t="n">
        <x:v>12032700</x:v>
      </x:c>
      <x:c r="I14" s="16" t="n">
        <x:v>11794250</x:v>
      </x:c>
      <x:c r="J14" s="16" t="n">
        <x:v>10170700</x:v>
      </x:c>
      <x:c r="K14" s="16" t="n">
        <x:v>10488000</x:v>
      </x:c>
      <x:c r="L14" s="16" t="n">
        <x:v>10914550</x:v>
      </x:c>
      <x:c r="M14" s="16" t="n">
        <x:v>12365200</x:v>
      </x:c>
      <x:c r="N14" s="16" t="n">
        <x:v>10939250</x:v>
      </x:c>
      <x:c r="O14" s="16" t="n">
        <x:v>11305950</x:v>
      </x:c>
      <x:c r="P14" s="16" t="n">
        <x:v>12540000</x:v>
      </x:c>
      <x:c r="Q14" s="16" t="n">
        <x:f>SUM(E14:P14)</x:f>
        <x:v>134337600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16" t="n">
        <x:v>14859900</x:v>
      </x:c>
      <x:c r="F15" s="16" t="n">
        <x:v>15377650</x:v>
      </x:c>
      <x:c r="G15" s="16" t="n">
        <x:v>14083750</x:v>
      </x:c>
      <x:c r="H15" s="16" t="n">
        <x:v>15555300</x:v>
      </x:c>
      <x:c r="I15" s="16" t="n">
        <x:v>14947300</x:v>
      </x:c>
      <x:c r="J15" s="16" t="n">
        <x:v>15544850</x:v>
      </x:c>
      <x:c r="K15" s="16" t="n">
        <x:v>15340600</x:v>
      </x:c>
      <x:c r="L15" s="16" t="n">
        <x:v>14252850</x:v>
      </x:c>
      <x:c r="M15" s="16" t="n">
        <x:v>15452700</x:v>
      </x:c>
      <x:c r="N15" s="16" t="n">
        <x:v>14270900</x:v>
      </x:c>
      <x:c r="O15" s="16" t="n">
        <x:v>14357350</x:v>
      </x:c>
      <x:c r="P15" s="16" t="n">
        <x:v>14107500</x:v>
      </x:c>
      <x:c r="Q15" s="16" t="n">
        <x:f>SUM(E15:P15)</x:f>
        <x:v>178150650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10" hidden="0" customWidth="1"/>
    <x:col min="5" max="5" width="2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</x:cols>
  <x:sheetData>
    <x:row r="1" ht="30" customHeight="1">
      <x:c r="A1" s="24" t="str">
        <x:v>SOMIDA — TABLEAU DE BORD DES EXPORTATIONS 2020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 ht="22" customHeight="1">
      <x:c r="A2" s="29" t="str">
        <x:v>Pilotage DAF • Japon / Russie / Chine • Suivi mensuel des volumes, devises et chiffre d’affaires</x:v>
      </x:c>
      <x:c r="B2" s="29"/>
      <x:c r="C2" s="29"/>
      <x:c r="D2" s="29"/>
      <x:c r="E2" s="29"/>
      <x:c r="F2" s="29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3">
      <x:c r="A3"/>
      <x:c r="B3"/>
      <x:c r="C3"/>
      <x:c r="D3"/>
      <x:c r="E3"/>
      <x:c r="F3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6" customHeight="1">
      <x:c r="A4" s="39" t="str">
        <x:v>VOLUME EXPORTÉ (t)</x:v>
      </x:c>
      <x:c r="B4" s="39"/>
      <x:c r="C4" s="39"/>
      <x:c r="D4" s="39" t="str">
        <x:v>CA EXPORT (MGA)</x:v>
      </x:c>
      <x:c r="E4" s="39"/>
      <x:c r="F4" s="39"/>
      <x:c r="G4" s="40" t="str">
        <x:v>CA JAPON (MGA)</x:v>
      </x:c>
      <x:c r="H4" s="40"/>
      <x:c r="I4" s="40"/>
      <x:c r="J4" s="40" t="str">
        <x:v>CA RUSSIE (MGA)</x:v>
      </x:c>
      <x:c r="K4" s="40"/>
      <x:c r="L4" s="40"/>
      <x:c r="M4" s="40" t="str">
        <x:v>CA CHINE (MGA)</x:v>
      </x:c>
      <x:c r="N4" s="40"/>
      <x:c r="O4" s="40"/>
      <x:c r="P4" s="40" t="str">
        <x:v>MARCHÉS / DEVISES</x:v>
      </x:c>
      <x:c r="Q4" s="40"/>
      <x:c r="R4" s="40"/>
      <x:c r="S4" s="40"/>
    </x:row>
    <x:row r="5" ht="28" customHeight="1">
      <x:c r="A5" s="93" t="n">
        <x:f>SUMIF($E$10:$E$54,"Quantité exportée",$S$10:$S$54)</x:f>
        <x:v>3160.98</x:v>
      </x:c>
      <x:c r="B5" s="47"/>
      <x:c r="C5" s="47"/>
      <x:c r="D5" s="94" t="n">
        <x:f>SUMIF($E$10:$E$54,"Chiffre d'affaires MGA",$S$10:$S$54)</x:f>
        <x:v>17569302909.3</x:v>
      </x:c>
      <x:c r="E5" s="47"/>
      <x:c r="F5" s="47"/>
      <x:c r="G5" s="94" t="n">
        <x:f>SUMIFS($S$10:$S$54,$A$10:$A$54,"Japon",$E$10:$E$54,"Chiffre d'affaires MGA")</x:f>
        <x:v>6678160634.7</x:v>
      </x:c>
      <x:c r="H5" s="48"/>
      <x:c r="I5" s="48"/>
      <x:c r="J5" s="94" t="n">
        <x:f>SUMIFS($S$10:$S$54,$A$10:$A$54,"Russie",$E$10:$E$54,"Chiffre d'affaires MGA")</x:f>
        <x:v>5385983803.2</x:v>
      </x:c>
      <x:c r="K5" s="48"/>
      <x:c r="L5" s="48"/>
      <x:c r="M5" s="94" t="n">
        <x:f>SUMIFS($S$10:$S$54,$A$10:$A$54,"Chine",$E$10:$E$54,"Chiffre d'affaires MGA")</x:f>
        <x:v>5505158471.4</x:v>
      </x:c>
      <x:c r="N5" s="48"/>
      <x:c r="O5" s="48"/>
      <x:c r="P5" s="48" t="str">
        <x:v>3 pays • JPY / USD</x:v>
      </x:c>
      <x:c r="Q5" s="48"/>
      <x:c r="R5" s="48"/>
      <x:c r="S5" s="48"/>
    </x:row>
    <x:row r="6">
      <x:c r="A6"/>
      <x:c r="B6"/>
      <x:c r="C6"/>
      <x:c r="D6"/>
      <x:c r="E6"/>
      <x:c r="F6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 ht="22" customHeight="1">
      <x:c r="A7" s="53" t="str">
        <x:v>DÉTAIL MENSUEL DES EXPORTATIONS PAR MARCHÉ, REPRÉSENTANT ET PRODUIT</x:v>
      </x:c>
      <x:c r="B7" s="53"/>
      <x:c r="C7" s="53"/>
      <x:c r="D7" s="53"/>
      <x:c r="E7" s="53"/>
      <x:c r="F7" s="53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</x:row>
    <x:row r="8">
      <x:c r="A8"/>
      <x:c r="B8"/>
      <x:c r="C8"/>
      <x:c r="D8"/>
      <x:c r="E8"/>
      <x:c r="F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34" customHeight="1">
      <x:c r="A9" s="63" t="str">
        <x:v>Pays</x:v>
      </x:c>
      <x:c r="B9" s="63" t="str">
        <x:v>Entité représentatrice</x:v>
      </x:c>
      <x:c r="C9" s="63" t="str">
        <x:v>Produit</x:v>
      </x:c>
      <x:c r="D9" s="63" t="str">
        <x:v>Devise</x:v>
      </x:c>
      <x:c r="E9" s="63" t="str">
        <x:v>Indicateur</x:v>
      </x:c>
      <x:c r="F9" s="63" t="str">
        <x:v>Unité</x:v>
      </x:c>
      <x:c r="G9" s="110" t="str">
        <x:v>Janvier</x:v>
      </x:c>
      <x:c r="H9" s="110" t="str">
        <x:v>Février</x:v>
      </x:c>
      <x:c r="I9" s="110" t="str">
        <x:v>Mars</x:v>
      </x:c>
      <x:c r="J9" s="110" t="str">
        <x:v>Avril</x:v>
      </x:c>
      <x:c r="K9" s="110" t="str">
        <x:v>Mai</x:v>
      </x:c>
      <x:c r="L9" s="110" t="str">
        <x:v>Juin</x:v>
      </x:c>
      <x:c r="M9" s="110" t="str">
        <x:v>Juillet</x:v>
      </x:c>
      <x:c r="N9" s="110" t="str">
        <x:v>Août</x:v>
      </x:c>
      <x:c r="O9" s="110" t="str">
        <x:v>Septembre</x:v>
      </x:c>
      <x:c r="P9" s="110" t="str">
        <x:v>Octobre</x:v>
      </x:c>
      <x:c r="Q9" s="110" t="str">
        <x:v>Novembre</x:v>
      </x:c>
      <x:c r="R9" s="110" t="str">
        <x:v>Décembre</x:v>
      </x:c>
      <x:c r="S9" s="110" t="str">
        <x:v>Total annuel</x:v>
      </x:c>
    </x:row>
    <x:row r="10">
      <x:c r="A10" s="95" t="str">
        <x:v>Japon</x:v>
      </x:c>
      <x:c r="B10" s="95" t="str">
        <x:v>GOODEIS</x:v>
      </x:c>
      <x:c r="C10" s="96" t="str">
        <x:v>ABR COUPE</x:v>
      </x:c>
      <x:c r="D10" s="96" t="str">
        <x:v>JPY</x:v>
      </x:c>
      <x:c r="E10" s="96" t="str">
        <x:v>Quantité exportée</x:v>
      </x:c>
      <x:c r="F10" s="96" t="str">
        <x:v>tonnes</x:v>
      </x:c>
      <x:c r="G10" s="111" t="n">
        <x:v>22.41</x:v>
      </x:c>
      <x:c r="H10" s="111" t="n">
        <x:v>28.3</x:v>
      </x:c>
      <x:c r="I10" s="111" t="n">
        <x:v>24.78</x:v>
      </x:c>
      <x:c r="J10" s="111" t="n">
        <x:v>21.55</x:v>
      </x:c>
      <x:c r="K10" s="111" t="n">
        <x:v>18.77</x:v>
      </x:c>
      <x:c r="L10" s="111" t="n">
        <x:v>25.31</x:v>
      </x:c>
      <x:c r="M10" s="111" t="n">
        <x:v>22.15</x:v>
      </x:c>
      <x:c r="N10" s="111" t="n">
        <x:v>24.34</x:v>
      </x:c>
      <x:c r="O10" s="111" t="n">
        <x:v>21.74</x:v>
      </x:c>
      <x:c r="P10" s="111" t="n">
        <x:v>18.72</x:v>
      </x:c>
      <x:c r="Q10" s="111" t="n">
        <x:v>16.84</x:v>
      </x:c>
      <x:c r="R10" s="111" t="n">
        <x:v>23.34</x:v>
      </x:c>
      <x:c r="S10" s="111" t="n">
        <x:v>268.25</x:v>
      </x:c>
    </x:row>
    <x:row r="11">
      <x:c r="A11" s="97" t="str">
        <x:v>Japon</x:v>
      </x:c>
      <x:c r="B11" s="97" t="str">
        <x:v>GOODEIS</x:v>
      </x:c>
      <x:c r="C11" s="98" t="str">
        <x:v>ABR COUPE</x:v>
      </x:c>
      <x:c r="D11" s="98" t="str">
        <x:v>JPY</x:v>
      </x:c>
      <x:c r="E11" s="98" t="str">
        <x:v>Chiffre d'affaires devise</x:v>
      </x:c>
      <x:c r="F11" s="98" t="str">
        <x:v>JPY</x:v>
      </x:c>
      <x:c r="G11" s="112" t="n">
        <x:v>4249496.25</x:v>
      </x:c>
      <x:c r="H11" s="112" t="n">
        <x:v>5366387.5</x:v>
      </x:c>
      <x:c r="I11" s="112" t="n">
        <x:v>4698907.5</x:v>
      </x:c>
      <x:c r="J11" s="112" t="n">
        <x:v>4086418.75</x:v>
      </x:c>
      <x:c r="K11" s="112" t="n">
        <x:v>3559261.25</x:v>
      </x:c>
      <x:c r="L11" s="112" t="n">
        <x:v>4799408.75</x:v>
      </x:c>
      <x:c r="M11" s="112" t="n">
        <x:v>4200193.75</x:v>
      </x:c>
      <x:c r="N11" s="112" t="n">
        <x:v>4615472.5</x:v>
      </x:c>
      <x:c r="O11" s="112" t="n">
        <x:v>4122447.5</x:v>
      </x:c>
      <x:c r="P11" s="112" t="n">
        <x:v>3549780</x:v>
      </x:c>
      <x:c r="Q11" s="112" t="n">
        <x:v>3193285</x:v>
      </x:c>
      <x:c r="R11" s="112" t="n">
        <x:v>4425847.5</x:v>
      </x:c>
      <x:c r="S11" s="112" t="n">
        <x:v>50866906.25</x:v>
      </x:c>
    </x:row>
    <x:row r="12">
      <x:c r="A12" s="99" t="str">
        <x:v>Japon</x:v>
      </x:c>
      <x:c r="B12" s="99" t="str">
        <x:v>GOODEIS</x:v>
      </x:c>
      <x:c r="C12" s="99" t="str">
        <x:v>ABR COUPE</x:v>
      </x:c>
      <x:c r="D12" s="99" t="str">
        <x:v>JPY</x:v>
      </x:c>
      <x:c r="E12" s="99" t="str">
        <x:v>Chiffre d'affaires MGA</x:v>
      </x:c>
      <x:c r="F12" s="99" t="str">
        <x:v>MGA</x:v>
      </x:c>
      <x:c r="G12" s="113" t="n">
        <x:f>IF($D12="USD",G11*'Donnees SOMIDA'!$B$5,IF($D12="JPY",G11*'Donnees SOMIDA'!$B$6,0))</x:f>
        <x:v>150432167.25</x:v>
      </x:c>
      <x:c r="H12" s="113" t="n">
        <x:f>IF($D12="USD",H11*'Donnees SOMIDA'!$B$5,IF($D12="JPY",H11*'Donnees SOMIDA'!$B$6,0))</x:f>
        <x:v>189970117.5</x:v>
      </x:c>
      <x:c r="I12" s="113" t="n">
        <x:f>IF($D12="USD",I11*'Donnees SOMIDA'!$B$5,IF($D12="JPY",I11*'Donnees SOMIDA'!$B$6,0))</x:f>
        <x:v>166341325.5</x:v>
      </x:c>
      <x:c r="J12" s="113" t="n">
        <x:f>IF($D12="USD",J11*'Donnees SOMIDA'!$B$5,IF($D12="JPY",J11*'Donnees SOMIDA'!$B$6,0))</x:f>
        <x:v>144659223.75</x:v>
      </x:c>
      <x:c r="K12" s="113" t="n">
        <x:f>IF($D12="USD",K11*'Donnees SOMIDA'!$B$5,IF($D12="JPY",K11*'Donnees SOMIDA'!$B$6,0))</x:f>
        <x:v>125997848.25</x:v>
      </x:c>
      <x:c r="L12" s="113" t="n">
        <x:f>IF($D12="USD",L11*'Donnees SOMIDA'!$B$5,IF($D12="JPY",L11*'Donnees SOMIDA'!$B$6,0))</x:f>
        <x:v>169899069.75</x:v>
      </x:c>
      <x:c r="M12" s="113" t="n">
        <x:f>IF($D12="USD",M11*'Donnees SOMIDA'!$B$5,IF($D12="JPY",M11*'Donnees SOMIDA'!$B$6,0))</x:f>
        <x:v>148686858.75</x:v>
      </x:c>
      <x:c r="N12" s="113" t="n">
        <x:f>IF($D12="USD",N11*'Donnees SOMIDA'!$B$5,IF($D12="JPY",N11*'Donnees SOMIDA'!$B$6,0))</x:f>
        <x:v>163387726.5</x:v>
      </x:c>
      <x:c r="O12" s="113" t="n">
        <x:f>IF($D12="USD",O11*'Donnees SOMIDA'!$B$5,IF($D12="JPY",O11*'Donnees SOMIDA'!$B$6,0))</x:f>
        <x:v>145934641.5</x:v>
      </x:c>
      <x:c r="P12" s="113" t="n">
        <x:f>IF($D12="USD",P11*'Donnees SOMIDA'!$B$5,IF($D12="JPY",P11*'Donnees SOMIDA'!$B$6,0))</x:f>
        <x:v>125662212</x:v>
      </x:c>
      <x:c r="Q12" s="113" t="n">
        <x:f>IF($D12="USD",Q11*'Donnees SOMIDA'!$B$5,IF($D12="JPY",Q11*'Donnees SOMIDA'!$B$6,0))</x:f>
        <x:v>113042289</x:v>
      </x:c>
      <x:c r="R12" s="113" t="n">
        <x:f>IF($D12="USD",R11*'Donnees SOMIDA'!$B$5,IF($D12="JPY",R11*'Donnees SOMIDA'!$B$6,0))</x:f>
        <x:v>156675001.5</x:v>
      </x:c>
      <x:c r="S12" s="113" t="n">
        <x:f>SUM(G12:R12)</x:f>
        <x:v>1800688481.25</x:v>
      </x:c>
    </x:row>
    <x:row r="13">
      <x:c r="A13" s="97" t="str">
        <x:v>Japon</x:v>
      </x:c>
      <x:c r="B13" s="97" t="str">
        <x:v>GOODEIS</x:v>
      </x:c>
      <x:c r="C13" s="98" t="str">
        <x:v>FP1 COUPE</x:v>
      </x:c>
      <x:c r="D13" s="98" t="str">
        <x:v>JPY</x:v>
      </x:c>
      <x:c r="E13" s="98" t="str">
        <x:v>Quantité exportée</x:v>
      </x:c>
      <x:c r="F13" s="98" t="str">
        <x:v>tonnes</x:v>
      </x:c>
      <x:c r="G13" s="112" t="n">
        <x:v>13.27</x:v>
      </x:c>
      <x:c r="H13" s="112" t="n">
        <x:v>15.75</x:v>
      </x:c>
      <x:c r="I13" s="112" t="n">
        <x:v>14.4</x:v>
      </x:c>
      <x:c r="J13" s="112" t="n">
        <x:v>18.43</x:v>
      </x:c>
      <x:c r="K13" s="112" t="n">
        <x:v>19.53</x:v>
      </x:c>
      <x:c r="L13" s="112" t="n">
        <x:v>21.47</x:v>
      </x:c>
      <x:c r="M13" s="112" t="n">
        <x:v>17.97</x:v>
      </x:c>
      <x:c r="N13" s="112" t="n">
        <x:v>15.96</x:v>
      </x:c>
      <x:c r="O13" s="112" t="n">
        <x:v>20.4</x:v>
      </x:c>
      <x:c r="P13" s="112" t="n">
        <x:v>15.48</x:v>
      </x:c>
      <x:c r="Q13" s="112" t="n">
        <x:v>15.39</x:v>
      </x:c>
      <x:c r="R13" s="112" t="n">
        <x:v>22.27</x:v>
      </x:c>
      <x:c r="S13" s="112" t="n">
        <x:v>210.32</x:v>
      </x:c>
    </x:row>
    <x:row r="14">
      <x:c r="A14" s="97" t="str">
        <x:v>Japon</x:v>
      </x:c>
      <x:c r="B14" s="97" t="str">
        <x:v>GOODEIS</x:v>
      </x:c>
      <x:c r="C14" s="98" t="str">
        <x:v>FP1 COUPE</x:v>
      </x:c>
      <x:c r="D14" s="98" t="str">
        <x:v>JPY</x:v>
      </x:c>
      <x:c r="E14" s="98" t="str">
        <x:v>Chiffre d'affaires devise</x:v>
      </x:c>
      <x:c r="F14" s="98" t="str">
        <x:v>JPY</x:v>
      </x:c>
      <x:c r="G14" s="112" t="n">
        <x:v>2325899.25</x:v>
      </x:c>
      <x:c r="H14" s="112" t="n">
        <x:v>2760581.25</x:v>
      </x:c>
      <x:c r="I14" s="112" t="n">
        <x:v>2523960</x:v>
      </x:c>
      <x:c r="J14" s="112" t="n">
        <x:v>3230318.25</x:v>
      </x:c>
      <x:c r="K14" s="112" t="n">
        <x:v>3423120.75</x:v>
      </x:c>
      <x:c r="L14" s="112" t="n">
        <x:v>3763154.25</x:v>
      </x:c>
      <x:c r="M14" s="112" t="n">
        <x:v>3149691.75</x:v>
      </x:c>
      <x:c r="N14" s="112" t="n">
        <x:v>2797389</x:v>
      </x:c>
      <x:c r="O14" s="112" t="n">
        <x:v>3575610</x:v>
      </x:c>
      <x:c r="P14" s="112" t="n">
        <x:v>2713257</x:v>
      </x:c>
      <x:c r="Q14" s="112" t="n">
        <x:v>2697482.25</x:v>
      </x:c>
      <x:c r="R14" s="112" t="n">
        <x:v>3903374.25</x:v>
      </x:c>
      <x:c r="S14" s="112" t="n">
        <x:v>36863838</x:v>
      </x:c>
    </x:row>
    <x:row r="15">
      <x:c r="A15" s="99" t="str">
        <x:v>Japon</x:v>
      </x:c>
      <x:c r="B15" s="99" t="str">
        <x:v>GOODEIS</x:v>
      </x:c>
      <x:c r="C15" s="99" t="str">
        <x:v>FP1 COUPE</x:v>
      </x:c>
      <x:c r="D15" s="99" t="str">
        <x:v>JPY</x:v>
      </x:c>
      <x:c r="E15" s="99" t="str">
        <x:v>Chiffre d'affaires MGA</x:v>
      </x:c>
      <x:c r="F15" s="99" t="str">
        <x:v>MGA</x:v>
      </x:c>
      <x:c r="G15" s="113" t="n">
        <x:f>IF($D15="USD",G14*'Donnees SOMIDA'!$B$5,IF($D15="JPY",G14*'Donnees SOMIDA'!$B$6,0))</x:f>
        <x:v>82336833.45</x:v>
      </x:c>
      <x:c r="H15" s="113" t="n">
        <x:f>IF($D15="USD",H14*'Donnees SOMIDA'!$B$5,IF($D15="JPY",H14*'Donnees SOMIDA'!$B$6,0))</x:f>
        <x:v>97724576.25</x:v>
      </x:c>
      <x:c r="I15" s="113" t="n">
        <x:f>IF($D15="USD",I14*'Donnees SOMIDA'!$B$5,IF($D15="JPY",I14*'Donnees SOMIDA'!$B$6,0))</x:f>
        <x:v>89348184</x:v>
      </x:c>
      <x:c r="J15" s="113" t="n">
        <x:f>IF($D15="USD",J14*'Donnees SOMIDA'!$B$5,IF($D15="JPY",J14*'Donnees SOMIDA'!$B$6,0))</x:f>
        <x:v>114353266.05</x:v>
      </x:c>
      <x:c r="K15" s="113" t="n">
        <x:f>IF($D15="USD",K14*'Donnees SOMIDA'!$B$5,IF($D15="JPY",K14*'Donnees SOMIDA'!$B$6,0))</x:f>
        <x:v>121178474.55</x:v>
      </x:c>
      <x:c r="L15" s="113" t="n">
        <x:f>IF($D15="USD",L14*'Donnees SOMIDA'!$B$5,IF($D15="JPY",L14*'Donnees SOMIDA'!$B$6,0))</x:f>
        <x:v>133215660.44999999</x:v>
      </x:c>
      <x:c r="M15" s="113" t="n">
        <x:f>IF($D15="USD",M14*'Donnees SOMIDA'!$B$5,IF($D15="JPY",M14*'Donnees SOMIDA'!$B$6,0))</x:f>
        <x:v>111499087.94999999</x:v>
      </x:c>
      <x:c r="N15" s="113" t="n">
        <x:f>IF($D15="USD",N14*'Donnees SOMIDA'!$B$5,IF($D15="JPY",N14*'Donnees SOMIDA'!$B$6,0))</x:f>
        <x:v>99027570.6</x:v>
      </x:c>
      <x:c r="O15" s="113" t="n">
        <x:f>IF($D15="USD",O14*'Donnees SOMIDA'!$B$5,IF($D15="JPY",O14*'Donnees SOMIDA'!$B$6,0))</x:f>
        <x:v>126576594</x:v>
      </x:c>
      <x:c r="P15" s="113" t="n">
        <x:f>IF($D15="USD",P14*'Donnees SOMIDA'!$B$5,IF($D15="JPY",P14*'Donnees SOMIDA'!$B$6,0))</x:f>
        <x:v>96049297.8</x:v>
      </x:c>
      <x:c r="Q15" s="113" t="n">
        <x:f>IF($D15="USD",Q14*'Donnees SOMIDA'!$B$5,IF($D15="JPY",Q14*'Donnees SOMIDA'!$B$6,0))</x:f>
        <x:v>95490871.64999999</x:v>
      </x:c>
      <x:c r="R15" s="113" t="n">
        <x:f>IF($D15="USD",R14*'Donnees SOMIDA'!$B$5,IF($D15="JPY",R14*'Donnees SOMIDA'!$B$6,0))</x:f>
        <x:v>138179448.45</x:v>
      </x:c>
      <x:c r="S15" s="113" t="n">
        <x:f>SUM(G15:R15)</x:f>
        <x:v>1304979865.2</x:v>
      </x:c>
    </x:row>
    <x:row r="16">
      <x:c r="A16" s="97" t="str">
        <x:v>Japon</x:v>
      </x:c>
      <x:c r="B16" s="97" t="str">
        <x:v>GOODEIS</x:v>
      </x:c>
      <x:c r="C16" s="98" t="str">
        <x:v>FP2 COUPE</x:v>
      </x:c>
      <x:c r="D16" s="98" t="str">
        <x:v>JPY</x:v>
      </x:c>
      <x:c r="E16" s="98" t="str">
        <x:v>Quantité exportée</x:v>
      </x:c>
      <x:c r="F16" s="98" t="str">
        <x:v>tonnes</x:v>
      </x:c>
      <x:c r="G16" s="112" t="n">
        <x:v>12.09</x:v>
      </x:c>
      <x:c r="H16" s="112" t="n">
        <x:v>13.7</x:v>
      </x:c>
      <x:c r="I16" s="112" t="n">
        <x:v>16.46</x:v>
      </x:c>
      <x:c r="J16" s="112" t="n">
        <x:v>16.65</x:v>
      </x:c>
      <x:c r="K16" s="112" t="n">
        <x:v>14.16</x:v>
      </x:c>
      <x:c r="L16" s="112" t="n">
        <x:v>13.79</x:v>
      </x:c>
      <x:c r="M16" s="112" t="n">
        <x:v>19.3</x:v>
      </x:c>
      <x:c r="N16" s="112" t="n">
        <x:v>12.74</x:v>
      </x:c>
      <x:c r="O16" s="112" t="n">
        <x:v>13.86</x:v>
      </x:c>
      <x:c r="P16" s="112" t="n">
        <x:v>15.49</x:v>
      </x:c>
      <x:c r="Q16" s="112" t="n">
        <x:v>17.11</x:v>
      </x:c>
      <x:c r="R16" s="112" t="n">
        <x:v>14.13</x:v>
      </x:c>
      <x:c r="S16" s="112" t="n">
        <x:v>179.48</x:v>
      </x:c>
    </x:row>
    <x:row r="17">
      <x:c r="A17" s="97" t="str">
        <x:v>Japon</x:v>
      </x:c>
      <x:c r="B17" s="97" t="str">
        <x:v>GOODEIS</x:v>
      </x:c>
      <x:c r="C17" s="98" t="str">
        <x:v>FP2 COUPE</x:v>
      </x:c>
      <x:c r="D17" s="98" t="str">
        <x:v>JPY</x:v>
      </x:c>
      <x:c r="E17" s="98" t="str">
        <x:v>Chiffre d'affaires devise</x:v>
      </x:c>
      <x:c r="F17" s="98" t="str">
        <x:v>JPY</x:v>
      </x:c>
      <x:c r="G17" s="112" t="n">
        <x:v>2044721.25</x:v>
      </x:c>
      <x:c r="H17" s="112" t="n">
        <x:v>2317012.5</x:v>
      </x:c>
      <x:c r="I17" s="112" t="n">
        <x:v>2783797.5</x:v>
      </x:c>
      <x:c r="J17" s="112" t="n">
        <x:v>2815931.25</x:v>
      </x:c>
      <x:c r="K17" s="112" t="n">
        <x:v>2394810</x:v>
      </x:c>
      <x:c r="L17" s="112" t="n">
        <x:v>2332233.75</x:v>
      </x:c>
      <x:c r="M17" s="112" t="n">
        <x:v>3264112.5</x:v>
      </x:c>
      <x:c r="N17" s="112" t="n">
        <x:v>2154652.5</x:v>
      </x:c>
      <x:c r="O17" s="112" t="n">
        <x:v>2344072.5</x:v>
      </x:c>
      <x:c r="P17" s="112" t="n">
        <x:v>2619746.25</x:v>
      </x:c>
      <x:c r="Q17" s="112" t="n">
        <x:v>2893728.75</x:v>
      </x:c>
      <x:c r="R17" s="112" t="n">
        <x:v>2389736.25</x:v>
      </x:c>
      <x:c r="S17" s="112" t="n">
        <x:v>30354555</x:v>
      </x:c>
    </x:row>
    <x:row r="18">
      <x:c r="A18" s="99" t="str">
        <x:v>Japon</x:v>
      </x:c>
      <x:c r="B18" s="99" t="str">
        <x:v>GOODEIS</x:v>
      </x:c>
      <x:c r="C18" s="99" t="str">
        <x:v>FP2 COUPE</x:v>
      </x:c>
      <x:c r="D18" s="99" t="str">
        <x:v>JPY</x:v>
      </x:c>
      <x:c r="E18" s="99" t="str">
        <x:v>Chiffre d'affaires MGA</x:v>
      </x:c>
      <x:c r="F18" s="99" t="str">
        <x:v>MGA</x:v>
      </x:c>
      <x:c r="G18" s="113" t="n">
        <x:f>IF($D18="USD",G17*'Donnees SOMIDA'!$B$5,IF($D18="JPY",G17*'Donnees SOMIDA'!$B$6,0))</x:f>
        <x:v>72383132.25</x:v>
      </x:c>
      <x:c r="H18" s="113" t="n">
        <x:f>IF($D18="USD",H17*'Donnees SOMIDA'!$B$5,IF($D18="JPY",H17*'Donnees SOMIDA'!$B$6,0))</x:f>
        <x:v>82022242.5</x:v>
      </x:c>
      <x:c r="I18" s="113" t="n">
        <x:f>IF($D18="USD",I17*'Donnees SOMIDA'!$B$5,IF($D18="JPY",I17*'Donnees SOMIDA'!$B$6,0))</x:f>
        <x:v>98546431.5</x:v>
      </x:c>
      <x:c r="J18" s="113" t="n">
        <x:f>IF($D18="USD",J17*'Donnees SOMIDA'!$B$5,IF($D18="JPY",J17*'Donnees SOMIDA'!$B$6,0))</x:f>
        <x:v>99683966.25</x:v>
      </x:c>
      <x:c r="K18" s="113" t="n">
        <x:f>IF($D18="USD",K17*'Donnees SOMIDA'!$B$5,IF($D18="JPY",K17*'Donnees SOMIDA'!$B$6,0))</x:f>
        <x:v>84776274</x:v>
      </x:c>
      <x:c r="L18" s="113" t="n">
        <x:f>IF($D18="USD",L17*'Donnees SOMIDA'!$B$5,IF($D18="JPY",L17*'Donnees SOMIDA'!$B$6,0))</x:f>
        <x:v>82561074.75</x:v>
      </x:c>
      <x:c r="M18" s="113" t="n">
        <x:f>IF($D18="USD",M17*'Donnees SOMIDA'!$B$5,IF($D18="JPY",M17*'Donnees SOMIDA'!$B$6,0))</x:f>
        <x:v>115549582.5</x:v>
      </x:c>
      <x:c r="N18" s="113" t="n">
        <x:f>IF($D18="USD",N17*'Donnees SOMIDA'!$B$5,IF($D18="JPY",N17*'Donnees SOMIDA'!$B$6,0))</x:f>
        <x:v>76274698.5</x:v>
      </x:c>
      <x:c r="O18" s="113" t="n">
        <x:f>IF($D18="USD",O17*'Donnees SOMIDA'!$B$5,IF($D18="JPY",O17*'Donnees SOMIDA'!$B$6,0))</x:f>
        <x:v>82980166.5</x:v>
      </x:c>
      <x:c r="P18" s="113" t="n">
        <x:f>IF($D18="USD",P17*'Donnees SOMIDA'!$B$5,IF($D18="JPY",P17*'Donnees SOMIDA'!$B$6,0))</x:f>
        <x:v>92739017.25</x:v>
      </x:c>
      <x:c r="Q18" s="113" t="n">
        <x:f>IF($D18="USD",Q17*'Donnees SOMIDA'!$B$5,IF($D18="JPY",Q17*'Donnees SOMIDA'!$B$6,0))</x:f>
        <x:v>102437997.75</x:v>
      </x:c>
      <x:c r="R18" s="113" t="n">
        <x:f>IF($D18="USD",R17*'Donnees SOMIDA'!$B$5,IF($D18="JPY",R17*'Donnees SOMIDA'!$B$6,0))</x:f>
        <x:v>84596663.25</x:v>
      </x:c>
      <x:c r="S18" s="113" t="n">
        <x:f>SUM(G18:R18)</x:f>
        <x:v>1074551247</x:v>
      </x:c>
    </x:row>
    <x:row r="19">
      <x:c r="A19" s="97" t="str">
        <x:v>Japon</x:v>
      </x:c>
      <x:c r="B19" s="97" t="str">
        <x:v>GOODEIS</x:v>
      </x:c>
      <x:c r="C19" s="98" t="str">
        <x:v>TRA</x:v>
      </x:c>
      <x:c r="D19" s="98" t="str">
        <x:v>JPY</x:v>
      </x:c>
      <x:c r="E19" s="98" t="str">
        <x:v>Quantité exportée</x:v>
      </x:c>
      <x:c r="F19" s="98" t="str">
        <x:v>tonnes</x:v>
      </x:c>
      <x:c r="G19" s="112" t="n">
        <x:v>22.11</x:v>
      </x:c>
      <x:c r="H19" s="112" t="n">
        <x:v>25.16</x:v>
      </x:c>
      <x:c r="I19" s="112" t="n">
        <x:v>15.73</x:v>
      </x:c>
      <x:c r="J19" s="112" t="n">
        <x:v>24.26</x:v>
      </x:c>
      <x:c r="K19" s="112" t="n">
        <x:v>16.84</x:v>
      </x:c>
      <x:c r="L19" s="112" t="n">
        <x:v>24.37</x:v>
      </x:c>
      <x:c r="M19" s="112" t="n">
        <x:v>16.42</x:v>
      </x:c>
      <x:c r="N19" s="112" t="n">
        <x:v>23.72</x:v>
      </x:c>
      <x:c r="O19" s="112" t="n">
        <x:v>25.45</x:v>
      </x:c>
      <x:c r="P19" s="112" t="n">
        <x:v>25.9</x:v>
      </x:c>
      <x:c r="Q19" s="112" t="n">
        <x:v>26.21</x:v>
      </x:c>
      <x:c r="R19" s="112" t="n">
        <x:v>19.78</x:v>
      </x:c>
      <x:c r="S19" s="112" t="n">
        <x:v>265.95</x:v>
      </x:c>
    </x:row>
    <x:row r="20">
      <x:c r="A20" s="97" t="str">
        <x:v>Japon</x:v>
      </x:c>
      <x:c r="B20" s="97" t="str">
        <x:v>GOODEIS</x:v>
      </x:c>
      <x:c r="C20" s="98" t="str">
        <x:v>TRA</x:v>
      </x:c>
      <x:c r="D20" s="98" t="str">
        <x:v>JPY</x:v>
      </x:c>
      <x:c r="E20" s="98" t="str">
        <x:v>Chiffre d'affaires devise</x:v>
      </x:c>
      <x:c r="F20" s="98" t="str">
        <x:v>JPY</x:v>
      </x:c>
      <x:c r="G20" s="112" t="n">
        <x:v>4033969.5</x:v>
      </x:c>
      <x:c r="H20" s="112" t="n">
        <x:v>4590442</x:v>
      </x:c>
      <x:c r="I20" s="112" t="n">
        <x:v>2869938.5</x:v>
      </x:c>
      <x:c r="J20" s="112" t="n">
        <x:v>4426237</x:v>
      </x:c>
      <x:c r="K20" s="112" t="n">
        <x:v>3072458</x:v>
      </x:c>
      <x:c r="L20" s="112" t="n">
        <x:v>4446306.5</x:v>
      </x:c>
      <x:c r="M20" s="112" t="n">
        <x:v>2995829</x:v>
      </x:c>
      <x:c r="N20" s="112" t="n">
        <x:v>4327714</x:v>
      </x:c>
      <x:c r="O20" s="112" t="n">
        <x:v>4643352.5</x:v>
      </x:c>
      <x:c r="P20" s="112" t="n">
        <x:v>4725455</x:v>
      </x:c>
      <x:c r="Q20" s="112" t="n">
        <x:v>4782014.5</x:v>
      </x:c>
      <x:c r="R20" s="112" t="n">
        <x:v>3608861</x:v>
      </x:c>
      <x:c r="S20" s="112" t="n">
        <x:v>48522577.5</x:v>
      </x:c>
    </x:row>
    <x:row r="21">
      <x:c r="A21" s="99" t="str">
        <x:v>Japon</x:v>
      </x:c>
      <x:c r="B21" s="99" t="str">
        <x:v>GOODEIS</x:v>
      </x:c>
      <x:c r="C21" s="99" t="str">
        <x:v>TRA</x:v>
      </x:c>
      <x:c r="D21" s="99" t="str">
        <x:v>JPY</x:v>
      </x:c>
      <x:c r="E21" s="99" t="str">
        <x:v>Chiffre d'affaires MGA</x:v>
      </x:c>
      <x:c r="F21" s="99" t="str">
        <x:v>MGA</x:v>
      </x:c>
      <x:c r="G21" s="113" t="n">
        <x:f>IF($D21="USD",G20*'Donnees SOMIDA'!$B$5,IF($D21="JPY",G20*'Donnees SOMIDA'!$B$6,0))</x:f>
        <x:v>142802520.29999998</x:v>
      </x:c>
      <x:c r="H21" s="113" t="n">
        <x:f>IF($D21="USD",H20*'Donnees SOMIDA'!$B$5,IF($D21="JPY",H20*'Donnees SOMIDA'!$B$6,0))</x:f>
        <x:v>162501646.79999998</x:v>
      </x:c>
      <x:c r="I21" s="113" t="n">
        <x:f>IF($D21="USD",I20*'Donnees SOMIDA'!$B$5,IF($D21="JPY",I20*'Donnees SOMIDA'!$B$6,0))</x:f>
        <x:v>101595822.89999999</x:v>
      </x:c>
      <x:c r="J21" s="113" t="n">
        <x:f>IF($D21="USD",J20*'Donnees SOMIDA'!$B$5,IF($D21="JPY",J20*'Donnees SOMIDA'!$B$6,0))</x:f>
        <x:v>156688789.79999998</x:v>
      </x:c>
      <x:c r="K21" s="113" t="n">
        <x:f>IF($D21="USD",K20*'Donnees SOMIDA'!$B$5,IF($D21="JPY",K20*'Donnees SOMIDA'!$B$6,0))</x:f>
        <x:v>108765013.2</x:v>
      </x:c>
      <x:c r="L21" s="113" t="n">
        <x:f>IF($D21="USD",L20*'Donnees SOMIDA'!$B$5,IF($D21="JPY",L20*'Donnees SOMIDA'!$B$6,0))</x:f>
        <x:v>157399250.1</x:v>
      </x:c>
      <x:c r="M21" s="113" t="n">
        <x:f>IF($D21="USD",M20*'Donnees SOMIDA'!$B$5,IF($D21="JPY",M20*'Donnees SOMIDA'!$B$6,0))</x:f>
        <x:v>106052346.6</x:v>
      </x:c>
      <x:c r="N21" s="113" t="n">
        <x:f>IF($D21="USD",N20*'Donnees SOMIDA'!$B$5,IF($D21="JPY",N20*'Donnees SOMIDA'!$B$6,0))</x:f>
        <x:v>153201075.6</x:v>
      </x:c>
      <x:c r="O21" s="113" t="n">
        <x:f>IF($D21="USD",O20*'Donnees SOMIDA'!$B$5,IF($D21="JPY",O20*'Donnees SOMIDA'!$B$6,0))</x:f>
        <x:v>164374678.5</x:v>
      </x:c>
      <x:c r="P21" s="113" t="n">
        <x:f>IF($D21="USD",P20*'Donnees SOMIDA'!$B$5,IF($D21="JPY",P20*'Donnees SOMIDA'!$B$6,0))</x:f>
        <x:v>167281107</x:v>
      </x:c>
      <x:c r="Q21" s="113" t="n">
        <x:f>IF($D21="USD",Q20*'Donnees SOMIDA'!$B$5,IF($D21="JPY",Q20*'Donnees SOMIDA'!$B$6,0))</x:f>
        <x:v>169283313.29999998</x:v>
      </x:c>
      <x:c r="R21" s="113" t="n">
        <x:f>IF($D21="USD",R20*'Donnees SOMIDA'!$B$5,IF($D21="JPY",R20*'Donnees SOMIDA'!$B$6,0))</x:f>
        <x:v>127753679.39999999</x:v>
      </x:c>
      <x:c r="S21" s="113" t="n">
        <x:f>SUM(G21:R21)</x:f>
        <x:v>1717699243.5</x:v>
      </x:c>
    </x:row>
    <x:row r="22">
      <x:c r="A22" s="97" t="str">
        <x:v>Japon</x:v>
      </x:c>
      <x:c r="B22" s="97" t="str">
        <x:v>GOODEIS</x:v>
      </x:c>
      <x:c r="C22" s="98" t="str">
        <x:v>BSA</x:v>
      </x:c>
      <x:c r="D22" s="98" t="str">
        <x:v>JPY</x:v>
      </x:c>
      <x:c r="E22" s="98" t="str">
        <x:v>Quantité exportée</x:v>
      </x:c>
      <x:c r="F22" s="98" t="str">
        <x:v>tonnes</x:v>
      </x:c>
      <x:c r="G22" s="112" t="n">
        <x:v>10.39</x:v>
      </x:c>
      <x:c r="H22" s="112" t="n">
        <x:v>15</x:v>
      </x:c>
      <x:c r="I22" s="112" t="n">
        <x:v>14.81</x:v>
      </x:c>
      <x:c r="J22" s="112" t="n">
        <x:v>9.93</x:v>
      </x:c>
      <x:c r="K22" s="112" t="n">
        <x:v>9.78</x:v>
      </x:c>
      <x:c r="L22" s="112" t="n">
        <x:v>9.74</x:v>
      </x:c>
      <x:c r="M22" s="112" t="n">
        <x:v>11.15</x:v>
      </x:c>
      <x:c r="N22" s="112" t="n">
        <x:v>9.78</x:v>
      </x:c>
      <x:c r="O22" s="112" t="n">
        <x:v>12.8</x:v>
      </x:c>
      <x:c r="P22" s="112" t="n">
        <x:v>9.7</x:v>
      </x:c>
      <x:c r="Q22" s="112" t="n">
        <x:v>10.41</x:v>
      </x:c>
      <x:c r="R22" s="112" t="n">
        <x:v>15.24</x:v>
      </x:c>
      <x:c r="S22" s="112" t="n">
        <x:v>138.73</x:v>
      </x:c>
    </x:row>
    <x:row r="23">
      <x:c r="A23" s="97" t="str">
        <x:v>Japon</x:v>
      </x:c>
      <x:c r="B23" s="97" t="str">
        <x:v>GOODEIS</x:v>
      </x:c>
      <x:c r="C23" s="98" t="str">
        <x:v>BSA</x:v>
      </x:c>
      <x:c r="D23" s="98" t="str">
        <x:v>JPY</x:v>
      </x:c>
      <x:c r="E23" s="98" t="str">
        <x:v>Chiffre d'affaires devise</x:v>
      </x:c>
      <x:c r="F23" s="98" t="str">
        <x:v>JPY</x:v>
      </x:c>
      <x:c r="G23" s="112" t="n">
        <x:v>1650711.25</x:v>
      </x:c>
      <x:c r="H23" s="112" t="n">
        <x:v>2383125</x:v>
      </x:c>
      <x:c r="I23" s="112" t="n">
        <x:v>2352938.75</x:v>
      </x:c>
      <x:c r="J23" s="112" t="n">
        <x:v>1577628.75</x:v>
      </x:c>
      <x:c r="K23" s="112" t="n">
        <x:v>1553797.5</x:v>
      </x:c>
      <x:c r="L23" s="112" t="n">
        <x:v>1547442.5</x:v>
      </x:c>
      <x:c r="M23" s="112" t="n">
        <x:v>1771456.25</x:v>
      </x:c>
      <x:c r="N23" s="112" t="n">
        <x:v>1553797.5</x:v>
      </x:c>
      <x:c r="O23" s="112" t="n">
        <x:v>2033600</x:v>
      </x:c>
      <x:c r="P23" s="112" t="n">
        <x:v>1541087.5</x:v>
      </x:c>
      <x:c r="Q23" s="112" t="n">
        <x:v>1653888.75</x:v>
      </x:c>
      <x:c r="R23" s="112" t="n">
        <x:v>2421255</x:v>
      </x:c>
      <x:c r="S23" s="112" t="n">
        <x:v>22040728.75</x:v>
      </x:c>
    </x:row>
    <x:row r="24">
      <x:c r="A24" s="99" t="str">
        <x:v>Japon</x:v>
      </x:c>
      <x:c r="B24" s="99" t="str">
        <x:v>GOODEIS</x:v>
      </x:c>
      <x:c r="C24" s="99" t="str">
        <x:v>BSA</x:v>
      </x:c>
      <x:c r="D24" s="99" t="str">
        <x:v>JPY</x:v>
      </x:c>
      <x:c r="E24" s="99" t="str">
        <x:v>Chiffre d'affaires MGA</x:v>
      </x:c>
      <x:c r="F24" s="99" t="str">
        <x:v>MGA</x:v>
      </x:c>
      <x:c r="G24" s="113" t="n">
        <x:f>IF($D24="USD",G23*'Donnees SOMIDA'!$B$5,IF($D24="JPY",G23*'Donnees SOMIDA'!$B$6,0))</x:f>
        <x:v>58435178.25</x:v>
      </x:c>
      <x:c r="H24" s="113" t="n">
        <x:f>IF($D24="USD",H23*'Donnees SOMIDA'!$B$5,IF($D24="JPY",H23*'Donnees SOMIDA'!$B$6,0))</x:f>
        <x:v>84362625</x:v>
      </x:c>
      <x:c r="I24" s="113" t="n">
        <x:f>IF($D24="USD",I23*'Donnees SOMIDA'!$B$5,IF($D24="JPY",I23*'Donnees SOMIDA'!$B$6,0))</x:f>
        <x:v>83294031.75</x:v>
      </x:c>
      <x:c r="J24" s="113" t="n">
        <x:f>IF($D24="USD",J23*'Donnees SOMIDA'!$B$5,IF($D24="JPY",J23*'Donnees SOMIDA'!$B$6,0))</x:f>
        <x:v>55848057.75</x:v>
      </x:c>
      <x:c r="K24" s="113" t="n">
        <x:f>IF($D24="USD",K23*'Donnees SOMIDA'!$B$5,IF($D24="JPY",K23*'Donnees SOMIDA'!$B$6,0))</x:f>
        <x:v>55004431.5</x:v>
      </x:c>
      <x:c r="L24" s="113" t="n">
        <x:f>IF($D24="USD",L23*'Donnees SOMIDA'!$B$5,IF($D24="JPY",L23*'Donnees SOMIDA'!$B$6,0))</x:f>
        <x:v>54779464.5</x:v>
      </x:c>
      <x:c r="M24" s="113" t="n">
        <x:f>IF($D24="USD",M23*'Donnees SOMIDA'!$B$5,IF($D24="JPY",M23*'Donnees SOMIDA'!$B$6,0))</x:f>
        <x:v>62709551.25</x:v>
      </x:c>
      <x:c r="N24" s="113" t="n">
        <x:f>IF($D24="USD",N23*'Donnees SOMIDA'!$B$5,IF($D24="JPY",N23*'Donnees SOMIDA'!$B$6,0))</x:f>
        <x:v>55004431.5</x:v>
      </x:c>
      <x:c r="O24" s="113" t="n">
        <x:f>IF($D24="USD",O23*'Donnees SOMIDA'!$B$5,IF($D24="JPY",O23*'Donnees SOMIDA'!$B$6,0))</x:f>
        <x:v>71989440</x:v>
      </x:c>
      <x:c r="P24" s="113" t="n">
        <x:f>IF($D24="USD",P23*'Donnees SOMIDA'!$B$5,IF($D24="JPY",P23*'Donnees SOMIDA'!$B$6,0))</x:f>
        <x:v>54554497.5</x:v>
      </x:c>
      <x:c r="Q24" s="113" t="n">
        <x:f>IF($D24="USD",Q23*'Donnees SOMIDA'!$B$5,IF($D24="JPY",Q23*'Donnees SOMIDA'!$B$6,0))</x:f>
        <x:v>58547661.75</x:v>
      </x:c>
      <x:c r="R24" s="113" t="n">
        <x:f>IF($D24="USD",R23*'Donnees SOMIDA'!$B$5,IF($D24="JPY",R23*'Donnees SOMIDA'!$B$6,0))</x:f>
        <x:v>85712427</x:v>
      </x:c>
      <x:c r="S24" s="113" t="n">
        <x:f>SUM(G24:R24)</x:f>
        <x:v>780241797.75</x:v>
      </x:c>
    </x:row>
    <x:row r="25">
      <x:c r="A25" s="100" t="str">
        <x:v>Russie</x:v>
      </x:c>
      <x:c r="B25" s="100" t="str">
        <x:v>ELINAR</x:v>
      </x:c>
      <x:c r="C25" s="101" t="str">
        <x:v>ABR COUPE</x:v>
      </x:c>
      <x:c r="D25" s="101" t="str">
        <x:v>USD</x:v>
      </x:c>
      <x:c r="E25" s="101" t="str">
        <x:v>Quantité exportée</x:v>
      </x:c>
      <x:c r="F25" s="101" t="str">
        <x:v>tonnes</x:v>
      </x:c>
      <x:c r="G25" s="114" t="n">
        <x:v>18.72</x:v>
      </x:c>
      <x:c r="H25" s="114" t="n">
        <x:v>21.9</x:v>
      </x:c>
      <x:c r="I25" s="114" t="n">
        <x:v>17.02</x:v>
      </x:c>
      <x:c r="J25" s="114" t="n">
        <x:v>19.51</x:v>
      </x:c>
      <x:c r="K25" s="114" t="n">
        <x:v>22.61</x:v>
      </x:c>
      <x:c r="L25" s="114" t="n">
        <x:v>20.86</x:v>
      </x:c>
      <x:c r="M25" s="114" t="n">
        <x:v>16.7</x:v>
      </x:c>
      <x:c r="N25" s="114" t="n">
        <x:v>21</x:v>
      </x:c>
      <x:c r="O25" s="114" t="n">
        <x:v>26.63</x:v>
      </x:c>
      <x:c r="P25" s="114" t="n">
        <x:v>19.13</x:v>
      </x:c>
      <x:c r="Q25" s="114" t="n">
        <x:v>21.95</x:v>
      </x:c>
      <x:c r="R25" s="114" t="n">
        <x:v>17.73</x:v>
      </x:c>
      <x:c r="S25" s="114" t="n">
        <x:v>243.76</x:v>
      </x:c>
    </x:row>
    <x:row r="26">
      <x:c r="A26" s="102" t="str">
        <x:v>Russie</x:v>
      </x:c>
      <x:c r="B26" s="102" t="str">
        <x:v>ELINAR</x:v>
      </x:c>
      <x:c r="C26" s="103" t="str">
        <x:v>ABR COUPE</x:v>
      </x:c>
      <x:c r="D26" s="103" t="str">
        <x:v>USD</x:v>
      </x:c>
      <x:c r="E26" s="103" t="str">
        <x:v>Chiffre d'affaires devise</x:v>
      </x:c>
      <x:c r="F26" s="103" t="str">
        <x:v>USD</x:v>
      </x:c>
      <x:c r="G26" s="115" t="n">
        <x:v>27822.6</x:v>
      </x:c>
      <x:c r="H26" s="115" t="n">
        <x:v>32548.87</x:v>
      </x:c>
      <x:c r="I26" s="115" t="n">
        <x:v>25295.97</x:v>
      </x:c>
      <x:c r="J26" s="115" t="n">
        <x:v>28996.74</x:v>
      </x:c>
      <x:c r="K26" s="115" t="n">
        <x:v>33604.11</x:v>
      </x:c>
      <x:c r="L26" s="115" t="n">
        <x:v>31003.17</x:v>
      </x:c>
      <x:c r="M26" s="115" t="n">
        <x:v>24820.37</x:v>
      </x:c>
      <x:c r="N26" s="115" t="n">
        <x:v>31211.25</x:v>
      </x:c>
      <x:c r="O26" s="115" t="n">
        <x:v>39578.84</x:v>
      </x:c>
      <x:c r="P26" s="115" t="n">
        <x:v>28431.96</x:v>
      </x:c>
      <x:c r="Q26" s="115" t="n">
        <x:v>32623.19</x:v>
      </x:c>
      <x:c r="R26" s="115" t="n">
        <x:v>26351.21</x:v>
      </x:c>
      <x:c r="S26" s="115" t="n">
        <x:v>362288.27999999997</x:v>
      </x:c>
    </x:row>
    <x:row r="27">
      <x:c r="A27" s="104" t="str">
        <x:v>Russie</x:v>
      </x:c>
      <x:c r="B27" s="104" t="str">
        <x:v>ELINAR</x:v>
      </x:c>
      <x:c r="C27" s="104" t="str">
        <x:v>ABR COUPE</x:v>
      </x:c>
      <x:c r="D27" s="104" t="str">
        <x:v>USD</x:v>
      </x:c>
      <x:c r="E27" s="104" t="str">
        <x:v>Chiffre d'affaires MGA</x:v>
      </x:c>
      <x:c r="F27" s="104" t="str">
        <x:v>MGA</x:v>
      </x:c>
      <x:c r="G27" s="116" t="n">
        <x:f>IF($D27="USD",G26*'Donnees SOMIDA'!$B$5,IF($D27="JPY",G26*'Donnees SOMIDA'!$B$6,0))</x:f>
        <x:v>105169428</x:v>
      </x:c>
      <x:c r="H27" s="116" t="n">
        <x:f>IF($D27="USD",H26*'Donnees SOMIDA'!$B$5,IF($D27="JPY",H26*'Donnees SOMIDA'!$B$6,0))</x:f>
        <x:v>123034728.6</x:v>
      </x:c>
      <x:c r="I27" s="116" t="n">
        <x:f>IF($D27="USD",I26*'Donnees SOMIDA'!$B$5,IF($D27="JPY",I26*'Donnees SOMIDA'!$B$6,0))</x:f>
        <x:v>95618766.60000001</x:v>
      </x:c>
      <x:c r="J27" s="116" t="n">
        <x:f>IF($D27="USD",J26*'Donnees SOMIDA'!$B$5,IF($D27="JPY",J26*'Donnees SOMIDA'!$B$6,0))</x:f>
        <x:v>109607677.2</x:v>
      </x:c>
      <x:c r="K27" s="116" t="n">
        <x:f>IF($D27="USD",K26*'Donnees SOMIDA'!$B$5,IF($D27="JPY",K26*'Donnees SOMIDA'!$B$6,0))</x:f>
        <x:v>127023535.8</x:v>
      </x:c>
      <x:c r="L27" s="116" t="n">
        <x:f>IF($D27="USD",L26*'Donnees SOMIDA'!$B$5,IF($D27="JPY",L26*'Donnees SOMIDA'!$B$6,0))</x:f>
        <x:v>117191982.6</x:v>
      </x:c>
      <x:c r="M27" s="116" t="n">
        <x:f>IF($D27="USD",M26*'Donnees SOMIDA'!$B$5,IF($D27="JPY",M26*'Donnees SOMIDA'!$B$6,0))</x:f>
        <x:v>93820998.6</x:v>
      </x:c>
      <x:c r="N27" s="116" t="n">
        <x:f>IF($D27="USD",N26*'Donnees SOMIDA'!$B$5,IF($D27="JPY",N26*'Donnees SOMIDA'!$B$6,0))</x:f>
        <x:v>117978525</x:v>
      </x:c>
      <x:c r="O27" s="116" t="n">
        <x:f>IF($D27="USD",O26*'Donnees SOMIDA'!$B$5,IF($D27="JPY",O26*'Donnees SOMIDA'!$B$6,0))</x:f>
        <x:v>149608015.2</x:v>
      </x:c>
      <x:c r="P27" s="116" t="n">
        <x:f>IF($D27="USD",P26*'Donnees SOMIDA'!$B$5,IF($D27="JPY",P26*'Donnees SOMIDA'!$B$6,0))</x:f>
        <x:v>107472808.8</x:v>
      </x:c>
      <x:c r="Q27" s="116" t="n">
        <x:f>IF($D27="USD",Q26*'Donnees SOMIDA'!$B$5,IF($D27="JPY",Q26*'Donnees SOMIDA'!$B$6,0))</x:f>
        <x:v>123315658.19999999</x:v>
      </x:c>
      <x:c r="R27" s="116" t="n">
        <x:f>IF($D27="USD",R26*'Donnees SOMIDA'!$B$5,IF($D27="JPY",R26*'Donnees SOMIDA'!$B$6,0))</x:f>
        <x:v>99607573.8</x:v>
      </x:c>
      <x:c r="S27" s="116" t="n">
        <x:f>SUM(G27:R27)</x:f>
        <x:v>1369449698.3999999</x:v>
      </x:c>
    </x:row>
    <x:row r="28">
      <x:c r="A28" s="102" t="str">
        <x:v>Russie</x:v>
      </x:c>
      <x:c r="B28" s="102" t="str">
        <x:v>ELINAR</x:v>
      </x:c>
      <x:c r="C28" s="103" t="str">
        <x:v>FP1 COUPE</x:v>
      </x:c>
      <x:c r="D28" s="103" t="str">
        <x:v>USD</x:v>
      </x:c>
      <x:c r="E28" s="103" t="str">
        <x:v>Quantité exportée</x:v>
      </x:c>
      <x:c r="F28" s="103" t="str">
        <x:v>tonnes</x:v>
      </x:c>
      <x:c r="G28" s="115" t="n">
        <x:v>21.75</x:v>
      </x:c>
      <x:c r="H28" s="115" t="n">
        <x:v>13.94</x:v>
      </x:c>
      <x:c r="I28" s="115" t="n">
        <x:v>20.56</x:v>
      </x:c>
      <x:c r="J28" s="115" t="n">
        <x:v>19.93</x:v>
      </x:c>
      <x:c r="K28" s="115" t="n">
        <x:v>16.28</x:v>
      </x:c>
      <x:c r="L28" s="115" t="n">
        <x:v>16.99</x:v>
      </x:c>
      <x:c r="M28" s="115" t="n">
        <x:v>18.56</x:v>
      </x:c>
      <x:c r="N28" s="115" t="n">
        <x:v>15.39</x:v>
      </x:c>
      <x:c r="O28" s="115" t="n">
        <x:v>13.87</x:v>
      </x:c>
      <x:c r="P28" s="115" t="n">
        <x:v>21.09</x:v>
      </x:c>
      <x:c r="Q28" s="115" t="n">
        <x:v>18.53</x:v>
      </x:c>
      <x:c r="R28" s="115" t="n">
        <x:v>16.59</x:v>
      </x:c>
      <x:c r="S28" s="115" t="n">
        <x:v>213.48</x:v>
      </x:c>
    </x:row>
    <x:row r="29">
      <x:c r="A29" s="102" t="str">
        <x:v>Russie</x:v>
      </x:c>
      <x:c r="B29" s="102" t="str">
        <x:v>ELINAR</x:v>
      </x:c>
      <x:c r="C29" s="103" t="str">
        <x:v>FP1 COUPE</x:v>
      </x:c>
      <x:c r="D29" s="103" t="str">
        <x:v>USD</x:v>
      </x:c>
      <x:c r="E29" s="103" t="str">
        <x:v>Chiffre d'affaires devise</x:v>
      </x:c>
      <x:c r="F29" s="103" t="str">
        <x:v>USD</x:v>
      </x:c>
      <x:c r="G29" s="115" t="n">
        <x:v>29427.75</x:v>
      </x:c>
      <x:c r="H29" s="115" t="n">
        <x:v>18860.82</x:v>
      </x:c>
      <x:c r="I29" s="115" t="n">
        <x:v>27817.68</x:v>
      </x:c>
      <x:c r="J29" s="115" t="n">
        <x:v>26965.29</x:v>
      </x:c>
      <x:c r="K29" s="115" t="n">
        <x:v>22026.84</x:v>
      </x:c>
      <x:c r="L29" s="115" t="n">
        <x:v>22987.47</x:v>
      </x:c>
      <x:c r="M29" s="115" t="n">
        <x:v>25111.68</x:v>
      </x:c>
      <x:c r="N29" s="115" t="n">
        <x:v>20822.67</x:v>
      </x:c>
      <x:c r="O29" s="115" t="n">
        <x:v>18766.11</x:v>
      </x:c>
      <x:c r="P29" s="115" t="n">
        <x:v>28534.77</x:v>
      </x:c>
      <x:c r="Q29" s="115" t="n">
        <x:v>25071.09</x:v>
      </x:c>
      <x:c r="R29" s="115" t="n">
        <x:v>22446.27</x:v>
      </x:c>
      <x:c r="S29" s="115" t="n">
        <x:v>288838.44</x:v>
      </x:c>
    </x:row>
    <x:row r="30">
      <x:c r="A30" s="104" t="str">
        <x:v>Russie</x:v>
      </x:c>
      <x:c r="B30" s="104" t="str">
        <x:v>ELINAR</x:v>
      </x:c>
      <x:c r="C30" s="104" t="str">
        <x:v>FP1 COUPE</x:v>
      </x:c>
      <x:c r="D30" s="104" t="str">
        <x:v>USD</x:v>
      </x:c>
      <x:c r="E30" s="104" t="str">
        <x:v>Chiffre d'affaires MGA</x:v>
      </x:c>
      <x:c r="F30" s="104" t="str">
        <x:v>MGA</x:v>
      </x:c>
      <x:c r="G30" s="116" t="n">
        <x:f>IF($D30="USD",G29*'Donnees SOMIDA'!$B$5,IF($D30="JPY",G29*'Donnees SOMIDA'!$B$6,0))</x:f>
        <x:v>111236895</x:v>
      </x:c>
      <x:c r="H30" s="116" t="n">
        <x:f>IF($D30="USD",H29*'Donnees SOMIDA'!$B$5,IF($D30="JPY",H29*'Donnees SOMIDA'!$B$6,0))</x:f>
        <x:v>71293899.6</x:v>
      </x:c>
      <x:c r="I30" s="116" t="n">
        <x:f>IF($D30="USD",I29*'Donnees SOMIDA'!$B$5,IF($D30="JPY",I29*'Donnees SOMIDA'!$B$6,0))</x:f>
        <x:v>105150830.4</x:v>
      </x:c>
      <x:c r="J30" s="116" t="n">
        <x:f>IF($D30="USD",J29*'Donnees SOMIDA'!$B$5,IF($D30="JPY",J29*'Donnees SOMIDA'!$B$6,0))</x:f>
        <x:v>101928796.2</x:v>
      </x:c>
      <x:c r="K30" s="116" t="n">
        <x:f>IF($D30="USD",K29*'Donnees SOMIDA'!$B$5,IF($D30="JPY",K29*'Donnees SOMIDA'!$B$6,0))</x:f>
        <x:v>83261455.2</x:v>
      </x:c>
      <x:c r="L30" s="116" t="n">
        <x:f>IF($D30="USD",L29*'Donnees SOMIDA'!$B$5,IF($D30="JPY",L29*'Donnees SOMIDA'!$B$6,0))</x:f>
        <x:v>86892636.60000001</x:v>
      </x:c>
      <x:c r="M30" s="116" t="n">
        <x:f>IF($D30="USD",M29*'Donnees SOMIDA'!$B$5,IF($D30="JPY",M29*'Donnees SOMIDA'!$B$6,0))</x:f>
        <x:v>94922150.4</x:v>
      </x:c>
      <x:c r="N30" s="116" t="n">
        <x:f>IF($D30="USD",N29*'Donnees SOMIDA'!$B$5,IF($D30="JPY",N29*'Donnees SOMIDA'!$B$6,0))</x:f>
        <x:v>78709692.6</x:v>
      </x:c>
      <x:c r="O30" s="116" t="n">
        <x:f>IF($D30="USD",O29*'Donnees SOMIDA'!$B$5,IF($D30="JPY",O29*'Donnees SOMIDA'!$B$6,0))</x:f>
        <x:v>70935895.8</x:v>
      </x:c>
      <x:c r="P30" s="116" t="n">
        <x:f>IF($D30="USD",P29*'Donnees SOMIDA'!$B$5,IF($D30="JPY",P29*'Donnees SOMIDA'!$B$6,0))</x:f>
        <x:v>107861430.60000001</x:v>
      </x:c>
      <x:c r="Q30" s="116" t="n">
        <x:f>IF($D30="USD",Q29*'Donnees SOMIDA'!$B$5,IF($D30="JPY",Q29*'Donnees SOMIDA'!$B$6,0))</x:f>
        <x:v>94768720.2</x:v>
      </x:c>
      <x:c r="R30" s="116" t="n">
        <x:f>IF($D30="USD",R29*'Donnees SOMIDA'!$B$5,IF($D30="JPY",R29*'Donnees SOMIDA'!$B$6,0))</x:f>
        <x:v>84846900.60000001</x:v>
      </x:c>
      <x:c r="S30" s="116" t="n">
        <x:f>SUM(G30:R30)</x:f>
        <x:v>1091809303.2</x:v>
      </x:c>
    </x:row>
    <x:row r="31">
      <x:c r="A31" s="102" t="str">
        <x:v>Russie</x:v>
      </x:c>
      <x:c r="B31" s="102" t="str">
        <x:v>ELINAR</x:v>
      </x:c>
      <x:c r="C31" s="103" t="str">
        <x:v>FP2 COUPE</x:v>
      </x:c>
      <x:c r="D31" s="103" t="str">
        <x:v>USD</x:v>
      </x:c>
      <x:c r="E31" s="103" t="str">
        <x:v>Quantité exportée</x:v>
      </x:c>
      <x:c r="F31" s="103" t="str">
        <x:v>tonnes</x:v>
      </x:c>
      <x:c r="G31" s="115" t="n">
        <x:v>13.52</x:v>
      </x:c>
      <x:c r="H31" s="115" t="n">
        <x:v>13.11</x:v>
      </x:c>
      <x:c r="I31" s="115" t="n">
        <x:v>11.66</x:v>
      </x:c>
      <x:c r="J31" s="115" t="n">
        <x:v>12.68</x:v>
      </x:c>
      <x:c r="K31" s="115" t="n">
        <x:v>17.3</x:v>
      </x:c>
      <x:c r="L31" s="115" t="n">
        <x:v>14.67</x:v>
      </x:c>
      <x:c r="M31" s="115" t="n">
        <x:v>17.18</x:v>
      </x:c>
      <x:c r="N31" s="115" t="n">
        <x:v>14.15</x:v>
      </x:c>
      <x:c r="O31" s="115" t="n">
        <x:v>16.43</x:v>
      </x:c>
      <x:c r="P31" s="115" t="n">
        <x:v>14.91</x:v>
      </x:c>
      <x:c r="Q31" s="115" t="n">
        <x:v>15.86</x:v>
      </x:c>
      <x:c r="R31" s="115" t="n">
        <x:v>18.4</x:v>
      </x:c>
      <x:c r="S31" s="115" t="n">
        <x:v>179.87</x:v>
      </x:c>
    </x:row>
    <x:row r="32">
      <x:c r="A32" s="102" t="str">
        <x:v>Russie</x:v>
      </x:c>
      <x:c r="B32" s="102" t="str">
        <x:v>ELINAR</x:v>
      </x:c>
      <x:c r="C32" s="103" t="str">
        <x:v>FP2 COUPE</x:v>
      </x:c>
      <x:c r="D32" s="103" t="str">
        <x:v>USD</x:v>
      </x:c>
      <x:c r="E32" s="103" t="str">
        <x:v>Chiffre d'affaires devise</x:v>
      </x:c>
      <x:c r="F32" s="103" t="str">
        <x:v>USD</x:v>
      </x:c>
      <x:c r="G32" s="115" t="n">
        <x:v>17599.66</x:v>
      </x:c>
      <x:c r="H32" s="115" t="n">
        <x:v>17065.94</x:v>
      </x:c>
      <x:c r="I32" s="115" t="n">
        <x:v>15178.41</x:v>
      </x:c>
      <x:c r="J32" s="115" t="n">
        <x:v>16506.19</x:v>
      </x:c>
      <x:c r="K32" s="115" t="n">
        <x:v>22520.28</x:v>
      </x:c>
      <x:c r="L32" s="115" t="n">
        <x:v>19096.67</x:v>
      </x:c>
      <x:c r="M32" s="115" t="n">
        <x:v>22364.06</x:v>
      </x:c>
      <x:c r="N32" s="115" t="n">
        <x:v>18419.76</x:v>
      </x:c>
      <x:c r="O32" s="115" t="n">
        <x:v>21387.75</x:v>
      </x:c>
      <x:c r="P32" s="115" t="n">
        <x:v>19409.09</x:v>
      </x:c>
      <x:c r="Q32" s="115" t="n">
        <x:v>20645.76</x:v>
      </x:c>
      <x:c r="R32" s="115" t="n">
        <x:v>23952.2</x:v>
      </x:c>
      <x:c r="S32" s="115" t="n">
        <x:v>234145.77</x:v>
      </x:c>
    </x:row>
    <x:row r="33">
      <x:c r="A33" s="104" t="str">
        <x:v>Russie</x:v>
      </x:c>
      <x:c r="B33" s="104" t="str">
        <x:v>ELINAR</x:v>
      </x:c>
      <x:c r="C33" s="104" t="str">
        <x:v>FP2 COUPE</x:v>
      </x:c>
      <x:c r="D33" s="104" t="str">
        <x:v>USD</x:v>
      </x:c>
      <x:c r="E33" s="104" t="str">
        <x:v>Chiffre d'affaires MGA</x:v>
      </x:c>
      <x:c r="F33" s="104" t="str">
        <x:v>MGA</x:v>
      </x:c>
      <x:c r="G33" s="116" t="n">
        <x:f>IF($D33="USD",G32*'Donnees SOMIDA'!$B$5,IF($D33="JPY",G32*'Donnees SOMIDA'!$B$6,0))</x:f>
        <x:v>66526714.8</x:v>
      </x:c>
      <x:c r="H33" s="116" t="n">
        <x:f>IF($D33="USD",H32*'Donnees SOMIDA'!$B$5,IF($D33="JPY",H32*'Donnees SOMIDA'!$B$6,0))</x:f>
        <x:v>64509253.199999996</x:v>
      </x:c>
      <x:c r="I33" s="116" t="n">
        <x:f>IF($D33="USD",I32*'Donnees SOMIDA'!$B$5,IF($D33="JPY",I32*'Donnees SOMIDA'!$B$6,0))</x:f>
        <x:v>57374389.8</x:v>
      </x:c>
      <x:c r="J33" s="116" t="n">
        <x:f>IF($D33="USD",J32*'Donnees SOMIDA'!$B$5,IF($D33="JPY",J32*'Donnees SOMIDA'!$B$6,0))</x:f>
        <x:v>62393398.199999996</x:v>
      </x:c>
      <x:c r="K33" s="116" t="n">
        <x:f>IF($D33="USD",K32*'Donnees SOMIDA'!$B$5,IF($D33="JPY",K32*'Donnees SOMIDA'!$B$6,0))</x:f>
        <x:v>85126658.39999999</x:v>
      </x:c>
      <x:c r="L33" s="116" t="n">
        <x:f>IF($D33="USD",L32*'Donnees SOMIDA'!$B$5,IF($D33="JPY",L32*'Donnees SOMIDA'!$B$6,0))</x:f>
        <x:v>72185412.6</x:v>
      </x:c>
      <x:c r="M33" s="116" t="n">
        <x:f>IF($D33="USD",M32*'Donnees SOMIDA'!$B$5,IF($D33="JPY",M32*'Donnees SOMIDA'!$B$6,0))</x:f>
        <x:v>84536146.80000001</x:v>
      </x:c>
      <x:c r="N33" s="116" t="n">
        <x:f>IF($D33="USD",N32*'Donnees SOMIDA'!$B$5,IF($D33="JPY",N32*'Donnees SOMIDA'!$B$6,0))</x:f>
        <x:v>69626692.8</x:v>
      </x:c>
      <x:c r="O33" s="116" t="n">
        <x:f>IF($D33="USD",O32*'Donnees SOMIDA'!$B$5,IF($D33="JPY",O32*'Donnees SOMIDA'!$B$6,0))</x:f>
        <x:v>80845695</x:v>
      </x:c>
      <x:c r="P33" s="116" t="n">
        <x:f>IF($D33="USD",P32*'Donnees SOMIDA'!$B$5,IF($D33="JPY",P32*'Donnees SOMIDA'!$B$6,0))</x:f>
        <x:v>73366360.2</x:v>
      </x:c>
      <x:c r="Q33" s="116" t="n">
        <x:f>IF($D33="USD",Q32*'Donnees SOMIDA'!$B$5,IF($D33="JPY",Q32*'Donnees SOMIDA'!$B$6,0))</x:f>
        <x:v>78040972.8</x:v>
      </x:c>
      <x:c r="R33" s="116" t="n">
        <x:f>IF($D33="USD",R32*'Donnees SOMIDA'!$B$5,IF($D33="JPY",R32*'Donnees SOMIDA'!$B$6,0))</x:f>
        <x:v>90539316</x:v>
      </x:c>
      <x:c r="S33" s="116" t="n">
        <x:f>SUM(G33:R33)</x:f>
        <x:v>885071010.6</x:v>
      </x:c>
    </x:row>
    <x:row r="34">
      <x:c r="A34" s="102" t="str">
        <x:v>Russie</x:v>
      </x:c>
      <x:c r="B34" s="102" t="str">
        <x:v>ELINAR</x:v>
      </x:c>
      <x:c r="C34" s="103" t="str">
        <x:v>TRA</x:v>
      </x:c>
      <x:c r="D34" s="103" t="str">
        <x:v>USD</x:v>
      </x:c>
      <x:c r="E34" s="103" t="str">
        <x:v>Quantité exportée</x:v>
      </x:c>
      <x:c r="F34" s="103" t="str">
        <x:v>tonnes</x:v>
      </x:c>
      <x:c r="G34" s="115" t="n">
        <x:v>15.1</x:v>
      </x:c>
      <x:c r="H34" s="115" t="n">
        <x:v>20.65</x:v>
      </x:c>
      <x:c r="I34" s="115" t="n">
        <x:v>15.32</x:v>
      </x:c>
      <x:c r="J34" s="115" t="n">
        <x:v>21.31</x:v>
      </x:c>
      <x:c r="K34" s="115" t="n">
        <x:v>26.16</x:v>
      </x:c>
      <x:c r="L34" s="115" t="n">
        <x:v>15.64</x:v>
      </x:c>
      <x:c r="M34" s="115" t="n">
        <x:v>16.34</x:v>
      </x:c>
      <x:c r="N34" s="115" t="n">
        <x:v>16.99</x:v>
      </x:c>
      <x:c r="O34" s="115" t="n">
        <x:v>23.81</x:v>
      </x:c>
      <x:c r="P34" s="115" t="n">
        <x:v>26.48</x:v>
      </x:c>
      <x:c r="Q34" s="115" t="n">
        <x:v>25.7</x:v>
      </x:c>
      <x:c r="R34" s="115" t="n">
        <x:v>25.24</x:v>
      </x:c>
      <x:c r="S34" s="115" t="n">
        <x:v>248.73999999999998</x:v>
      </x:c>
    </x:row>
    <x:row r="35">
      <x:c r="A35" s="102" t="str">
        <x:v>Russie</x:v>
      </x:c>
      <x:c r="B35" s="102" t="str">
        <x:v>ELINAR</x:v>
      </x:c>
      <x:c r="C35" s="103" t="str">
        <x:v>TRA</x:v>
      </x:c>
      <x:c r="D35" s="103" t="str">
        <x:v>USD</x:v>
      </x:c>
      <x:c r="E35" s="103" t="str">
        <x:v>Chiffre d'affaires devise</x:v>
      </x:c>
      <x:c r="F35" s="103" t="str">
        <x:v>USD</x:v>
      </x:c>
      <x:c r="G35" s="115" t="n">
        <x:v>21513.72</x:v>
      </x:c>
      <x:c r="H35" s="115" t="n">
        <x:v>29421.09</x:v>
      </x:c>
      <x:c r="I35" s="115" t="n">
        <x:v>21827.17</x:v>
      </x:c>
      <x:c r="J35" s="115" t="n">
        <x:v>30361.42</x:v>
      </x:c>
      <x:c r="K35" s="115" t="n">
        <x:v>37271.46</x:v>
      </x:c>
      <x:c r="L35" s="115" t="n">
        <x:v>22283.09</x:v>
      </x:c>
      <x:c r="M35" s="115" t="n">
        <x:v>23280.41</x:v>
      </x:c>
      <x:c r="N35" s="115" t="n">
        <x:v>24206.5</x:v>
      </x:c>
      <x:c r="O35" s="115" t="n">
        <x:v>33923.3</x:v>
      </x:c>
      <x:c r="P35" s="115" t="n">
        <x:v>37727.38</x:v>
      </x:c>
      <x:c r="Q35" s="115" t="n">
        <x:v>36616.07</x:v>
      </x:c>
      <x:c r="R35" s="115" t="n">
        <x:v>35960.69</x:v>
      </x:c>
      <x:c r="S35" s="115" t="n">
        <x:v>354392.3</x:v>
      </x:c>
    </x:row>
    <x:row r="36">
      <x:c r="A36" s="104" t="str">
        <x:v>Russie</x:v>
      </x:c>
      <x:c r="B36" s="104" t="str">
        <x:v>ELINAR</x:v>
      </x:c>
      <x:c r="C36" s="104" t="str">
        <x:v>TRA</x:v>
      </x:c>
      <x:c r="D36" s="104" t="str">
        <x:v>USD</x:v>
      </x:c>
      <x:c r="E36" s="104" t="str">
        <x:v>Chiffre d'affaires MGA</x:v>
      </x:c>
      <x:c r="F36" s="104" t="str">
        <x:v>MGA</x:v>
      </x:c>
      <x:c r="G36" s="116" t="n">
        <x:f>IF($D36="USD",G35*'Donnees SOMIDA'!$B$5,IF($D36="JPY",G35*'Donnees SOMIDA'!$B$6,0))</x:f>
        <x:v>81321861.60000001</x:v>
      </x:c>
      <x:c r="H36" s="116" t="n">
        <x:f>IF($D36="USD",H35*'Donnees SOMIDA'!$B$5,IF($D36="JPY",H35*'Donnees SOMIDA'!$B$6,0))</x:f>
        <x:v>111211720.2</x:v>
      </x:c>
      <x:c r="I36" s="116" t="n">
        <x:f>IF($D36="USD",I35*'Donnees SOMIDA'!$B$5,IF($D36="JPY",I35*'Donnees SOMIDA'!$B$6,0))</x:f>
        <x:v>82506702.6</x:v>
      </x:c>
      <x:c r="J36" s="116" t="n">
        <x:f>IF($D36="USD",J35*'Donnees SOMIDA'!$B$5,IF($D36="JPY",J35*'Donnees SOMIDA'!$B$6,0))</x:f>
        <x:v>114766167.6</x:v>
      </x:c>
      <x:c r="K36" s="116" t="n">
        <x:f>IF($D36="USD",K35*'Donnees SOMIDA'!$B$5,IF($D36="JPY",K35*'Donnees SOMIDA'!$B$6,0))</x:f>
        <x:v>140886118.79999998</x:v>
      </x:c>
      <x:c r="L36" s="116" t="n">
        <x:f>IF($D36="USD",L35*'Donnees SOMIDA'!$B$5,IF($D36="JPY",L35*'Donnees SOMIDA'!$B$6,0))</x:f>
        <x:v>84230080.2</x:v>
      </x:c>
      <x:c r="M36" s="116" t="n">
        <x:f>IF($D36="USD",M35*'Donnees SOMIDA'!$B$5,IF($D36="JPY",M35*'Donnees SOMIDA'!$B$6,0))</x:f>
        <x:v>87999949.8</x:v>
      </x:c>
      <x:c r="N36" s="116" t="n">
        <x:f>IF($D36="USD",N35*'Donnees SOMIDA'!$B$5,IF($D36="JPY",N35*'Donnees SOMIDA'!$B$6,0))</x:f>
        <x:v>91500570</x:v>
      </x:c>
      <x:c r="O36" s="116" t="n">
        <x:f>IF($D36="USD",O35*'Donnees SOMIDA'!$B$5,IF($D36="JPY",O35*'Donnees SOMIDA'!$B$6,0))</x:f>
        <x:v>128230074.00000001</x:v>
      </x:c>
      <x:c r="P36" s="116" t="n">
        <x:f>IF($D36="USD",P35*'Donnees SOMIDA'!$B$5,IF($D36="JPY",P35*'Donnees SOMIDA'!$B$6,0))</x:f>
        <x:v>142609496.39999998</x:v>
      </x:c>
      <x:c r="Q36" s="116" t="n">
        <x:f>IF($D36="USD",Q35*'Donnees SOMIDA'!$B$5,IF($D36="JPY",Q35*'Donnees SOMIDA'!$B$6,0))</x:f>
        <x:v>138408744.6</x:v>
      </x:c>
      <x:c r="R36" s="116" t="n">
        <x:f>IF($D36="USD",R35*'Donnees SOMIDA'!$B$5,IF($D36="JPY",R35*'Donnees SOMIDA'!$B$6,0))</x:f>
        <x:v>135931408.20000002</x:v>
      </x:c>
      <x:c r="S36" s="116" t="n">
        <x:f>SUM(G36:R36)</x:f>
        <x:v>1339602894</x:v>
      </x:c>
    </x:row>
    <x:row r="37">
      <x:c r="A37" s="102" t="str">
        <x:v>Russie</x:v>
      </x:c>
      <x:c r="B37" s="102" t="str">
        <x:v>ELINAR</x:v>
      </x:c>
      <x:c r="C37" s="103" t="str">
        <x:v>BSA</x:v>
      </x:c>
      <x:c r="D37" s="103" t="str">
        <x:v>USD</x:v>
      </x:c>
      <x:c r="E37" s="103" t="str">
        <x:v>Quantité exportée</x:v>
      </x:c>
      <x:c r="F37" s="103" t="str">
        <x:v>tonnes</x:v>
      </x:c>
      <x:c r="G37" s="115" t="n">
        <x:v>11.55</x:v>
      </x:c>
      <x:c r="H37" s="115" t="n">
        <x:v>14.98</x:v>
      </x:c>
      <x:c r="I37" s="115" t="n">
        <x:v>15.59</x:v>
      </x:c>
      <x:c r="J37" s="115" t="n">
        <x:v>9.82</x:v>
      </x:c>
      <x:c r="K37" s="115" t="n">
        <x:v>10.63</x:v>
      </x:c>
      <x:c r="L37" s="115" t="n">
        <x:v>11.38</x:v>
      </x:c>
      <x:c r="M37" s="115" t="n">
        <x:v>9.51</x:v>
      </x:c>
      <x:c r="N37" s="115" t="n">
        <x:v>14.9</x:v>
      </x:c>
      <x:c r="O37" s="115" t="n">
        <x:v>14.16</x:v>
      </x:c>
      <x:c r="P37" s="115" t="n">
        <x:v>11.97</x:v>
      </x:c>
      <x:c r="Q37" s="115" t="n">
        <x:v>14.24</x:v>
      </x:c>
      <x:c r="R37" s="115" t="n">
        <x:v>14.39</x:v>
      </x:c>
      <x:c r="S37" s="115" t="n">
        <x:v>153.12</x:v>
      </x:c>
    </x:row>
    <x:row r="38">
      <x:c r="A38" s="102" t="str">
        <x:v>Russie</x:v>
      </x:c>
      <x:c r="B38" s="102" t="str">
        <x:v>ELINAR</x:v>
      </x:c>
      <x:c r="C38" s="103" t="str">
        <x:v>BSA</x:v>
      </x:c>
      <x:c r="D38" s="103" t="str">
        <x:v>USD</x:v>
      </x:c>
      <x:c r="E38" s="103" t="str">
        <x:v>Chiffre d'affaires devise</x:v>
      </x:c>
      <x:c r="F38" s="103" t="str">
        <x:v>USD</x:v>
      </x:c>
      <x:c r="G38" s="115" t="n">
        <x:v>13969.73</x:v>
      </x:c>
      <x:c r="H38" s="115" t="n">
        <x:v>18118.31</x:v>
      </x:c>
      <x:c r="I38" s="115" t="n">
        <x:v>18856.1</x:v>
      </x:c>
      <x:c r="J38" s="115" t="n">
        <x:v>11877.29</x:v>
      </x:c>
      <x:c r="K38" s="115" t="n">
        <x:v>12856.99</x:v>
      </x:c>
      <x:c r="L38" s="115" t="n">
        <x:v>13764.11</x:v>
      </x:c>
      <x:c r="M38" s="115" t="n">
        <x:v>11502.34</x:v>
      </x:c>
      <x:c r="N38" s="115" t="n">
        <x:v>18021.55</x:v>
      </x:c>
      <x:c r="O38" s="115" t="n">
        <x:v>17126.52</x:v>
      </x:c>
      <x:c r="P38" s="115" t="n">
        <x:v>14477.72</x:v>
      </x:c>
      <x:c r="Q38" s="115" t="n">
        <x:v>17223.28</x:v>
      </x:c>
      <x:c r="R38" s="115" t="n">
        <x:v>17404.71</x:v>
      </x:c>
      <x:c r="S38" s="115" t="n">
        <x:v>185198.65</x:v>
      </x:c>
    </x:row>
    <x:row r="39">
      <x:c r="A39" s="104" t="str">
        <x:v>Russie</x:v>
      </x:c>
      <x:c r="B39" s="104" t="str">
        <x:v>ELINAR</x:v>
      </x:c>
      <x:c r="C39" s="104" t="str">
        <x:v>BSA</x:v>
      </x:c>
      <x:c r="D39" s="104" t="str">
        <x:v>USD</x:v>
      </x:c>
      <x:c r="E39" s="104" t="str">
        <x:v>Chiffre d'affaires MGA</x:v>
      </x:c>
      <x:c r="F39" s="104" t="str">
        <x:v>MGA</x:v>
      </x:c>
      <x:c r="G39" s="116" t="n">
        <x:f>IF($D39="USD",G38*'Donnees SOMIDA'!$B$5,IF($D39="JPY",G38*'Donnees SOMIDA'!$B$6,0))</x:f>
        <x:v>52805579.4</x:v>
      </x:c>
      <x:c r="H39" s="116" t="n">
        <x:f>IF($D39="USD",H38*'Donnees SOMIDA'!$B$5,IF($D39="JPY",H38*'Donnees SOMIDA'!$B$6,0))</x:f>
        <x:v>68487211.80000001</x:v>
      </x:c>
      <x:c r="I39" s="116" t="n">
        <x:f>IF($D39="USD",I38*'Donnees SOMIDA'!$B$5,IF($D39="JPY",I38*'Donnees SOMIDA'!$B$6,0))</x:f>
        <x:v>71276058</x:v>
      </x:c>
      <x:c r="J39" s="116" t="n">
        <x:f>IF($D39="USD",J38*'Donnees SOMIDA'!$B$5,IF($D39="JPY",J38*'Donnees SOMIDA'!$B$6,0))</x:f>
        <x:v>44896156.2</x:v>
      </x:c>
      <x:c r="K39" s="116" t="n">
        <x:f>IF($D39="USD",K38*'Donnees SOMIDA'!$B$5,IF($D39="JPY",K38*'Donnees SOMIDA'!$B$6,0))</x:f>
        <x:v>48599422.199999996</x:v>
      </x:c>
      <x:c r="L39" s="116" t="n">
        <x:f>IF($D39="USD",L38*'Donnees SOMIDA'!$B$5,IF($D39="JPY",L38*'Donnees SOMIDA'!$B$6,0))</x:f>
        <x:v>52028335.800000004</x:v>
      </x:c>
      <x:c r="M39" s="116" t="n">
        <x:f>IF($D39="USD",M38*'Donnees SOMIDA'!$B$5,IF($D39="JPY",M38*'Donnees SOMIDA'!$B$6,0))</x:f>
        <x:v>43478845.2</x:v>
      </x:c>
      <x:c r="N39" s="116" t="n">
        <x:f>IF($D39="USD",N38*'Donnees SOMIDA'!$B$5,IF($D39="JPY",N38*'Donnees SOMIDA'!$B$6,0))</x:f>
        <x:v>68121459</x:v>
      </x:c>
      <x:c r="O39" s="116" t="n">
        <x:f>IF($D39="USD",O38*'Donnees SOMIDA'!$B$5,IF($D39="JPY",O38*'Donnees SOMIDA'!$B$6,0))</x:f>
        <x:v>64738245.6</x:v>
      </x:c>
      <x:c r="P39" s="116" t="n">
        <x:f>IF($D39="USD",P38*'Donnees SOMIDA'!$B$5,IF($D39="JPY",P38*'Donnees SOMIDA'!$B$6,0))</x:f>
        <x:v>54725781.599999994</x:v>
      </x:c>
      <x:c r="Q39" s="116" t="n">
        <x:f>IF($D39="USD",Q38*'Donnees SOMIDA'!$B$5,IF($D39="JPY",Q38*'Donnees SOMIDA'!$B$6,0))</x:f>
        <x:v>65103998.4</x:v>
      </x:c>
      <x:c r="R39" s="116" t="n">
        <x:f>IF($D39="USD",R38*'Donnees SOMIDA'!$B$5,IF($D39="JPY",R38*'Donnees SOMIDA'!$B$6,0))</x:f>
        <x:v>65789803.8</x:v>
      </x:c>
      <x:c r="S39" s="116" t="n">
        <x:f>SUM(G39:R39)</x:f>
        <x:v>700050897</x:v>
      </x:c>
    </x:row>
    <x:row r="40">
      <x:c r="A40" s="105" t="str">
        <x:v>Chine</x:v>
      </x:c>
      <x:c r="B40" s="105" t="str">
        <x:v>REPRESENTANT CHINE - A VALIDER</x:v>
      </x:c>
      <x:c r="C40" s="106" t="str">
        <x:v>ABR COUPE</x:v>
      </x:c>
      <x:c r="D40" s="106" t="str">
        <x:v>USD</x:v>
      </x:c>
      <x:c r="E40" s="106" t="str">
        <x:v>Quantité exportée</x:v>
      </x:c>
      <x:c r="F40" s="106" t="str">
        <x:v>tonnes</x:v>
      </x:c>
      <x:c r="G40" s="117" t="n">
        <x:v>26.9</x:v>
      </x:c>
      <x:c r="H40" s="117" t="n">
        <x:v>16.43</x:v>
      </x:c>
      <x:c r="I40" s="117" t="n">
        <x:v>17.52</x:v>
      </x:c>
      <x:c r="J40" s="117" t="n">
        <x:v>23.77</x:v>
      </x:c>
      <x:c r="K40" s="117" t="n">
        <x:v>17.88</x:v>
      </x:c>
      <x:c r="L40" s="117" t="n">
        <x:v>26.92</x:v>
      </x:c>
      <x:c r="M40" s="117" t="n">
        <x:v>27.03</x:v>
      </x:c>
      <x:c r="N40" s="117" t="n">
        <x:v>21.05</x:v>
      </x:c>
      <x:c r="O40" s="117" t="n">
        <x:v>21.77</x:v>
      </x:c>
      <x:c r="P40" s="117" t="n">
        <x:v>25.49</x:v>
      </x:c>
      <x:c r="Q40" s="117" t="n">
        <x:v>27.44</x:v>
      </x:c>
      <x:c r="R40" s="117" t="n">
        <x:v>16.4</x:v>
      </x:c>
      <x:c r="S40" s="117" t="n">
        <x:v>268.6</x:v>
      </x:c>
    </x:row>
    <x:row r="41">
      <x:c r="A41" s="107" t="str">
        <x:v>Chine</x:v>
      </x:c>
      <x:c r="B41" s="107" t="str">
        <x:v>REPRESENTANT CHINE - A VALIDER</x:v>
      </x:c>
      <x:c r="C41" s="108" t="str">
        <x:v>ABR COUPE</x:v>
      </x:c>
      <x:c r="D41" s="108" t="str">
        <x:v>USD</x:v>
      </x:c>
      <x:c r="E41" s="108" t="str">
        <x:v>Chiffre d'affaires devise</x:v>
      </x:c>
      <x:c r="F41" s="108" t="str">
        <x:v>USD</x:v>
      </x:c>
      <x:c r="G41" s="118" t="n">
        <x:v>39980.12</x:v>
      </x:c>
      <x:c r="H41" s="118" t="n">
        <x:v>24419.09</x:v>
      </x:c>
      <x:c r="I41" s="118" t="n">
        <x:v>26039.1</x:v>
      </x:c>
      <x:c r="J41" s="118" t="n">
        <x:v>35328.16</x:v>
      </x:c>
      <x:c r="K41" s="118" t="n">
        <x:v>26574.15</x:v>
      </x:c>
      <x:c r="L41" s="118" t="n">
        <x:v>40009.85</x:v>
      </x:c>
      <x:c r="M41" s="118" t="n">
        <x:v>40173.34</x:v>
      </x:c>
      <x:c r="N41" s="118" t="n">
        <x:v>31285.56</x:v>
      </x:c>
      <x:c r="O41" s="118" t="n">
        <x:v>32355.66</x:v>
      </x:c>
      <x:c r="P41" s="118" t="n">
        <x:v>37884.51</x:v>
      </x:c>
      <x:c r="Q41" s="118" t="n">
        <x:v>40782.7</x:v>
      </x:c>
      <x:c r="R41" s="118" t="n">
        <x:v>24374.5</x:v>
      </x:c>
      <x:c r="S41" s="118" t="n">
        <x:v>399206.74</x:v>
      </x:c>
    </x:row>
    <x:row r="42">
      <x:c r="A42" s="109" t="str">
        <x:v>Chine</x:v>
      </x:c>
      <x:c r="B42" s="109" t="str">
        <x:v>REPRESENTANT CHINE - A VALIDER</x:v>
      </x:c>
      <x:c r="C42" s="109" t="str">
        <x:v>ABR COUPE</x:v>
      </x:c>
      <x:c r="D42" s="109" t="str">
        <x:v>USD</x:v>
      </x:c>
      <x:c r="E42" s="109" t="str">
        <x:v>Chiffre d'affaires MGA</x:v>
      </x:c>
      <x:c r="F42" s="109" t="str">
        <x:v>MGA</x:v>
      </x:c>
      <x:c r="G42" s="119" t="n">
        <x:f>IF($D42="USD",G41*'Donnees SOMIDA'!$B$5,IF($D42="JPY",G41*'Donnees SOMIDA'!$B$6,0))</x:f>
        <x:v>151124853.60000002</x:v>
      </x:c>
      <x:c r="H42" s="119" t="n">
        <x:f>IF($D42="USD",H41*'Donnees SOMIDA'!$B$5,IF($D42="JPY",H41*'Donnees SOMIDA'!$B$6,0))</x:f>
        <x:v>92304160.2</x:v>
      </x:c>
      <x:c r="I42" s="119" t="n">
        <x:f>IF($D42="USD",I41*'Donnees SOMIDA'!$B$5,IF($D42="JPY",I41*'Donnees SOMIDA'!$B$6,0))</x:f>
        <x:v>98427798</x:v>
      </x:c>
      <x:c r="J42" s="119" t="n">
        <x:f>IF($D42="USD",J41*'Donnees SOMIDA'!$B$5,IF($D42="JPY",J41*'Donnees SOMIDA'!$B$6,0))</x:f>
        <x:v>133540444.80000001</x:v>
      </x:c>
      <x:c r="K42" s="119" t="n">
        <x:f>IF($D42="USD",K41*'Donnees SOMIDA'!$B$5,IF($D42="JPY",K41*'Donnees SOMIDA'!$B$6,0))</x:f>
        <x:v>100450287</x:v>
      </x:c>
      <x:c r="L42" s="119" t="n">
        <x:f>IF($D42="USD",L41*'Donnees SOMIDA'!$B$5,IF($D42="JPY",L41*'Donnees SOMIDA'!$B$6,0))</x:f>
        <x:v>151237233</x:v>
      </x:c>
      <x:c r="M42" s="119" t="n">
        <x:f>IF($D42="USD",M41*'Donnees SOMIDA'!$B$5,IF($D42="JPY",M41*'Donnees SOMIDA'!$B$6,0))</x:f>
        <x:v>151855225.2</x:v>
      </x:c>
      <x:c r="N42" s="119" t="n">
        <x:f>IF($D42="USD",N41*'Donnees SOMIDA'!$B$5,IF($D42="JPY",N41*'Donnees SOMIDA'!$B$6,0))</x:f>
        <x:v>118259416.80000001</x:v>
      </x:c>
      <x:c r="O42" s="119" t="n">
        <x:f>IF($D42="USD",O41*'Donnees SOMIDA'!$B$5,IF($D42="JPY",O41*'Donnees SOMIDA'!$B$6,0))</x:f>
        <x:v>122304394.8</x:v>
      </x:c>
      <x:c r="P42" s="119" t="n">
        <x:f>IF($D42="USD",P41*'Donnees SOMIDA'!$B$5,IF($D42="JPY",P41*'Donnees SOMIDA'!$B$6,0))</x:f>
        <x:v>143203447.8</x:v>
      </x:c>
      <x:c r="Q42" s="119" t="n">
        <x:f>IF($D42="USD",Q41*'Donnees SOMIDA'!$B$5,IF($D42="JPY",Q41*'Donnees SOMIDA'!$B$6,0))</x:f>
        <x:v>154158606</x:v>
      </x:c>
      <x:c r="R42" s="119" t="n">
        <x:f>IF($D42="USD",R41*'Donnees SOMIDA'!$B$5,IF($D42="JPY",R41*'Donnees SOMIDA'!$B$6,0))</x:f>
        <x:v>92135610</x:v>
      </x:c>
      <x:c r="S42" s="119" t="n">
        <x:f>SUM(G42:R42)</x:f>
        <x:v>1509001477.1999998</x:v>
      </x:c>
    </x:row>
    <x:row r="43">
      <x:c r="A43" s="107" t="str">
        <x:v>Chine</x:v>
      </x:c>
      <x:c r="B43" s="107" t="str">
        <x:v>REPRESENTANT CHINE - A VALIDER</x:v>
      </x:c>
      <x:c r="C43" s="108" t="str">
        <x:v>FP1 COUPE</x:v>
      </x:c>
      <x:c r="D43" s="108" t="str">
        <x:v>USD</x:v>
      </x:c>
      <x:c r="E43" s="108" t="str">
        <x:v>Quantité exportée</x:v>
      </x:c>
      <x:c r="F43" s="108" t="str">
        <x:v>tonnes</x:v>
      </x:c>
      <x:c r="G43" s="118" t="n">
        <x:v>22.31</x:v>
      </x:c>
      <x:c r="H43" s="118" t="n">
        <x:v>17.42</x:v>
      </x:c>
      <x:c r="I43" s="118" t="n">
        <x:v>12.71</x:v>
      </x:c>
      <x:c r="J43" s="118" t="n">
        <x:v>21.46</x:v>
      </x:c>
      <x:c r="K43" s="118" t="n">
        <x:v>22.29</x:v>
      </x:c>
      <x:c r="L43" s="118" t="n">
        <x:v>13.51</x:v>
      </x:c>
      <x:c r="M43" s="118" t="n">
        <x:v>19.18</x:v>
      </x:c>
      <x:c r="N43" s="118" t="n">
        <x:v>22.27</x:v>
      </x:c>
      <x:c r="O43" s="118" t="n">
        <x:v>14.62</x:v>
      </x:c>
      <x:c r="P43" s="118" t="n">
        <x:v>17.44</x:v>
      </x:c>
      <x:c r="Q43" s="118" t="n">
        <x:v>16.63</x:v>
      </x:c>
      <x:c r="R43" s="118" t="n">
        <x:v>17.9</x:v>
      </x:c>
      <x:c r="S43" s="118" t="n">
        <x:v>217.74</x:v>
      </x:c>
    </x:row>
    <x:row r="44">
      <x:c r="A44" s="107" t="str">
        <x:v>Chine</x:v>
      </x:c>
      <x:c r="B44" s="107" t="str">
        <x:v>REPRESENTANT CHINE - A VALIDER</x:v>
      </x:c>
      <x:c r="C44" s="108" t="str">
        <x:v>FP1 COUPE</x:v>
      </x:c>
      <x:c r="D44" s="108" t="str">
        <x:v>USD</x:v>
      </x:c>
      <x:c r="E44" s="108" t="str">
        <x:v>Chiffre d'affaires devise</x:v>
      </x:c>
      <x:c r="F44" s="108" t="str">
        <x:v>USD</x:v>
      </x:c>
      <x:c r="G44" s="118" t="n">
        <x:v>30185.43</x:v>
      </x:c>
      <x:c r="H44" s="118" t="n">
        <x:v>23569.26</x:v>
      </x:c>
      <x:c r="I44" s="118" t="n">
        <x:v>17196.63</x:v>
      </x:c>
      <x:c r="J44" s="118" t="n">
        <x:v>29035.38</x:v>
      </x:c>
      <x:c r="K44" s="118" t="n">
        <x:v>30158.37</x:v>
      </x:c>
      <x:c r="L44" s="118" t="n">
        <x:v>18279.03</x:v>
      </x:c>
      <x:c r="M44" s="118" t="n">
        <x:v>25950.54</x:v>
      </x:c>
      <x:c r="N44" s="118" t="n">
        <x:v>30131.31</x:v>
      </x:c>
      <x:c r="O44" s="118" t="n">
        <x:v>19780.86</x:v>
      </x:c>
      <x:c r="P44" s="118" t="n">
        <x:v>23596.32</x:v>
      </x:c>
      <x:c r="Q44" s="118" t="n">
        <x:v>22500.39</x:v>
      </x:c>
      <x:c r="R44" s="118" t="n">
        <x:v>24218.7</x:v>
      </x:c>
      <x:c r="S44" s="118" t="n">
        <x:v>294602.22</x:v>
      </x:c>
    </x:row>
    <x:row r="45">
      <x:c r="A45" s="109" t="str">
        <x:v>Chine</x:v>
      </x:c>
      <x:c r="B45" s="109" t="str">
        <x:v>REPRESENTANT CHINE - A VALIDER</x:v>
      </x:c>
      <x:c r="C45" s="109" t="str">
        <x:v>FP1 COUPE</x:v>
      </x:c>
      <x:c r="D45" s="109" t="str">
        <x:v>USD</x:v>
      </x:c>
      <x:c r="E45" s="109" t="str">
        <x:v>Chiffre d'affaires MGA</x:v>
      </x:c>
      <x:c r="F45" s="109" t="str">
        <x:v>MGA</x:v>
      </x:c>
      <x:c r="G45" s="119" t="n">
        <x:f>IF($D45="USD",G44*'Donnees SOMIDA'!$B$5,IF($D45="JPY",G44*'Donnees SOMIDA'!$B$6,0))</x:f>
        <x:v>114100925.4</x:v>
      </x:c>
      <x:c r="H45" s="119" t="n">
        <x:f>IF($D45="USD",H44*'Donnees SOMIDA'!$B$5,IF($D45="JPY",H44*'Donnees SOMIDA'!$B$6,0))</x:f>
        <x:v>89091802.8</x:v>
      </x:c>
      <x:c r="I45" s="119" t="n">
        <x:f>IF($D45="USD",I44*'Donnees SOMIDA'!$B$5,IF($D45="JPY",I44*'Donnees SOMIDA'!$B$6,0))</x:f>
        <x:v>65003261.400000006</x:v>
      </x:c>
      <x:c r="J45" s="119" t="n">
        <x:f>IF($D45="USD",J44*'Donnees SOMIDA'!$B$5,IF($D45="JPY",J44*'Donnees SOMIDA'!$B$6,0))</x:f>
        <x:v>109753736.4</x:v>
      </x:c>
      <x:c r="K45" s="119" t="n">
        <x:f>IF($D45="USD",K44*'Donnees SOMIDA'!$B$5,IF($D45="JPY",K44*'Donnees SOMIDA'!$B$6,0))</x:f>
        <x:v>113998638.6</x:v>
      </x:c>
      <x:c r="L45" s="119" t="n">
        <x:f>IF($D45="USD",L44*'Donnees SOMIDA'!$B$5,IF($D45="JPY",L44*'Donnees SOMIDA'!$B$6,0))</x:f>
        <x:v>69094733.39999999</x:v>
      </x:c>
      <x:c r="M45" s="119" t="n">
        <x:f>IF($D45="USD",M44*'Donnees SOMIDA'!$B$5,IF($D45="JPY",M44*'Donnees SOMIDA'!$B$6,0))</x:f>
        <x:v>98093041.2</x:v>
      </x:c>
      <x:c r="N45" s="119" t="n">
        <x:f>IF($D45="USD",N44*'Donnees SOMIDA'!$B$5,IF($D45="JPY",N44*'Donnees SOMIDA'!$B$6,0))</x:f>
        <x:v>113896351.80000001</x:v>
      </x:c>
      <x:c r="O45" s="119" t="n">
        <x:f>IF($D45="USD",O44*'Donnees SOMIDA'!$B$5,IF($D45="JPY",O44*'Donnees SOMIDA'!$B$6,0))</x:f>
        <x:v>74771650.8</x:v>
      </x:c>
      <x:c r="P45" s="119" t="n">
        <x:f>IF($D45="USD",P44*'Donnees SOMIDA'!$B$5,IF($D45="JPY",P44*'Donnees SOMIDA'!$B$6,0))</x:f>
        <x:v>89194089.6</x:v>
      </x:c>
      <x:c r="Q45" s="119" t="n">
        <x:f>IF($D45="USD",Q44*'Donnees SOMIDA'!$B$5,IF($D45="JPY",Q44*'Donnees SOMIDA'!$B$6,0))</x:f>
        <x:v>85051474.2</x:v>
      </x:c>
      <x:c r="R45" s="119" t="n">
        <x:f>IF($D45="USD",R44*'Donnees SOMIDA'!$B$5,IF($D45="JPY",R44*'Donnees SOMIDA'!$B$6,0))</x:f>
        <x:v>91546686</x:v>
      </x:c>
      <x:c r="S45" s="119" t="n">
        <x:f>SUM(G45:R45)</x:f>
        <x:v>1113596391.6</x:v>
      </x:c>
    </x:row>
    <x:row r="46">
      <x:c r="A46" s="107" t="str">
        <x:v>Chine</x:v>
      </x:c>
      <x:c r="B46" s="107" t="str">
        <x:v>REPRESENTANT CHINE - A VALIDER</x:v>
      </x:c>
      <x:c r="C46" s="108" t="str">
        <x:v>FP2 COUPE</x:v>
      </x:c>
      <x:c r="D46" s="108" t="str">
        <x:v>USD</x:v>
      </x:c>
      <x:c r="E46" s="108" t="str">
        <x:v>Quantité exportée</x:v>
      </x:c>
      <x:c r="F46" s="108" t="str">
        <x:v>tonnes</x:v>
      </x:c>
      <x:c r="G46" s="118" t="n">
        <x:v>12.42</x:v>
      </x:c>
      <x:c r="H46" s="118" t="n">
        <x:v>12.18</x:v>
      </x:c>
      <x:c r="I46" s="118" t="n">
        <x:v>13.32</x:v>
      </x:c>
      <x:c r="J46" s="118" t="n">
        <x:v>11.58</x:v>
      </x:c>
      <x:c r="K46" s="118" t="n">
        <x:v>18.16</x:v>
      </x:c>
      <x:c r="L46" s="118" t="n">
        <x:v>14.94</x:v>
      </x:c>
      <x:c r="M46" s="118" t="n">
        <x:v>19.51</x:v>
      </x:c>
      <x:c r="N46" s="118" t="n">
        <x:v>19.72</x:v>
      </x:c>
      <x:c r="O46" s="118" t="n">
        <x:v>11.21</x:v>
      </x:c>
      <x:c r="P46" s="118" t="n">
        <x:v>11.75</x:v>
      </x:c>
      <x:c r="Q46" s="118" t="n">
        <x:v>11.67</x:v>
      </x:c>
      <x:c r="R46" s="118" t="n">
        <x:v>16.55</x:v>
      </x:c>
      <x:c r="S46" s="118" t="n">
        <x:v>173.01</x:v>
      </x:c>
    </x:row>
    <x:row r="47">
      <x:c r="A47" s="107" t="str">
        <x:v>Chine</x:v>
      </x:c>
      <x:c r="B47" s="107" t="str">
        <x:v>REPRESENTANT CHINE - A VALIDER</x:v>
      </x:c>
      <x:c r="C47" s="108" t="str">
        <x:v>FP2 COUPE</x:v>
      </x:c>
      <x:c r="D47" s="108" t="str">
        <x:v>USD</x:v>
      </x:c>
      <x:c r="E47" s="108" t="str">
        <x:v>Chiffre d'affaires devise</x:v>
      </x:c>
      <x:c r="F47" s="108" t="str">
        <x:v>USD</x:v>
      </x:c>
      <x:c r="G47" s="118" t="n">
        <x:v>16167.74</x:v>
      </x:c>
      <x:c r="H47" s="118" t="n">
        <x:v>15855.32</x:v>
      </x:c>
      <x:c r="I47" s="118" t="n">
        <x:v>17339.31</x:v>
      </x:c>
      <x:c r="J47" s="118" t="n">
        <x:v>15074.26</x:v>
      </x:c>
      <x:c r="K47" s="118" t="n">
        <x:v>23639.78</x:v>
      </x:c>
      <x:c r="L47" s="118" t="n">
        <x:v>19448.15</x:v>
      </x:c>
      <x:c r="M47" s="118" t="n">
        <x:v>25397.14</x:v>
      </x:c>
      <x:c r="N47" s="118" t="n">
        <x:v>25670.51</x:v>
      </x:c>
      <x:c r="O47" s="118" t="n">
        <x:v>14592.62</x:v>
      </x:c>
      <x:c r="P47" s="118" t="n">
        <x:v>15295.56</x:v>
      </x:c>
      <x:c r="Q47" s="118" t="n">
        <x:v>15191.42</x:v>
      </x:c>
      <x:c r="R47" s="118" t="n">
        <x:v>21543.96</x:v>
      </x:c>
      <x:c r="S47" s="118" t="n">
        <x:v>225215.77</x:v>
      </x:c>
    </x:row>
    <x:row r="48">
      <x:c r="A48" s="109" t="str">
        <x:v>Chine</x:v>
      </x:c>
      <x:c r="B48" s="109" t="str">
        <x:v>REPRESENTANT CHINE - A VALIDER</x:v>
      </x:c>
      <x:c r="C48" s="109" t="str">
        <x:v>FP2 COUPE</x:v>
      </x:c>
      <x:c r="D48" s="109" t="str">
        <x:v>USD</x:v>
      </x:c>
      <x:c r="E48" s="109" t="str">
        <x:v>Chiffre d'affaires MGA</x:v>
      </x:c>
      <x:c r="F48" s="109" t="str">
        <x:v>MGA</x:v>
      </x:c>
      <x:c r="G48" s="119" t="n">
        <x:f>IF($D48="USD",G47*'Donnees SOMIDA'!$B$5,IF($D48="JPY",G47*'Donnees SOMIDA'!$B$6,0))</x:f>
        <x:v>61114057.199999996</x:v>
      </x:c>
      <x:c r="H48" s="119" t="n">
        <x:f>IF($D48="USD",H47*'Donnees SOMIDA'!$B$5,IF($D48="JPY",H47*'Donnees SOMIDA'!$B$6,0))</x:f>
        <x:v>59933109.6</x:v>
      </x:c>
      <x:c r="I48" s="119" t="n">
        <x:f>IF($D48="USD",I47*'Donnees SOMIDA'!$B$5,IF($D48="JPY",I47*'Donnees SOMIDA'!$B$6,0))</x:f>
        <x:v>65542591.800000004</x:v>
      </x:c>
      <x:c r="J48" s="119" t="n">
        <x:f>IF($D48="USD",J47*'Donnees SOMIDA'!$B$5,IF($D48="JPY",J47*'Donnees SOMIDA'!$B$6,0))</x:f>
        <x:v>56980702.800000004</x:v>
      </x:c>
      <x:c r="K48" s="119" t="n">
        <x:f>IF($D48="USD",K47*'Donnees SOMIDA'!$B$5,IF($D48="JPY",K47*'Donnees SOMIDA'!$B$6,0))</x:f>
        <x:v>89358368.39999999</x:v>
      </x:c>
      <x:c r="L48" s="119" t="n">
        <x:f>IF($D48="USD",L47*'Donnees SOMIDA'!$B$5,IF($D48="JPY",L47*'Donnees SOMIDA'!$B$6,0))</x:f>
        <x:v>73514007</x:v>
      </x:c>
      <x:c r="M48" s="119" t="n">
        <x:f>IF($D48="USD",M47*'Donnees SOMIDA'!$B$5,IF($D48="JPY",M47*'Donnees SOMIDA'!$B$6,0))</x:f>
        <x:v>96001189.2</x:v>
      </x:c>
      <x:c r="N48" s="119" t="n">
        <x:f>IF($D48="USD",N47*'Donnees SOMIDA'!$B$5,IF($D48="JPY",N47*'Donnees SOMIDA'!$B$6,0))</x:f>
        <x:v>97034527.8</x:v>
      </x:c>
      <x:c r="O48" s="119" t="n">
        <x:f>IF($D48="USD",O47*'Donnees SOMIDA'!$B$5,IF($D48="JPY",O47*'Donnees SOMIDA'!$B$6,0))</x:f>
        <x:v>55160103.6</x:v>
      </x:c>
      <x:c r="P48" s="119" t="n">
        <x:f>IF($D48="USD",P47*'Donnees SOMIDA'!$B$5,IF($D48="JPY",P47*'Donnees SOMIDA'!$B$6,0))</x:f>
        <x:v>57817216.8</x:v>
      </x:c>
      <x:c r="Q48" s="119" t="n">
        <x:f>IF($D48="USD",Q47*'Donnees SOMIDA'!$B$5,IF($D48="JPY",Q47*'Donnees SOMIDA'!$B$6,0))</x:f>
        <x:v>57423567.6</x:v>
      </x:c>
      <x:c r="R48" s="119" t="n">
        <x:f>IF($D48="USD",R47*'Donnees SOMIDA'!$B$5,IF($D48="JPY",R47*'Donnees SOMIDA'!$B$6,0))</x:f>
        <x:v>81436168.8</x:v>
      </x:c>
      <x:c r="S48" s="119" t="n">
        <x:f>SUM(G48:R48)</x:f>
        <x:v>851315610.5999999</x:v>
      </x:c>
    </x:row>
    <x:row r="49">
      <x:c r="A49" s="107" t="str">
        <x:v>Chine</x:v>
      </x:c>
      <x:c r="B49" s="107" t="str">
        <x:v>REPRESENTANT CHINE - A VALIDER</x:v>
      </x:c>
      <x:c r="C49" s="108" t="str">
        <x:v>TRA</x:v>
      </x:c>
      <x:c r="D49" s="108" t="str">
        <x:v>USD</x:v>
      </x:c>
      <x:c r="E49" s="108" t="str">
        <x:v>Quantité exportée</x:v>
      </x:c>
      <x:c r="F49" s="108" t="str">
        <x:v>tonnes</x:v>
      </x:c>
      <x:c r="G49" s="118" t="n">
        <x:v>20.77</x:v>
      </x:c>
      <x:c r="H49" s="118" t="n">
        <x:v>17.04</x:v>
      </x:c>
      <x:c r="I49" s="118" t="n">
        <x:v>24.03</x:v>
      </x:c>
      <x:c r="J49" s="118" t="n">
        <x:v>19.43</x:v>
      </x:c>
      <x:c r="K49" s="118" t="n">
        <x:v>25.01</x:v>
      </x:c>
      <x:c r="L49" s="118" t="n">
        <x:v>17.84</x:v>
      </x:c>
      <x:c r="M49" s="118" t="n">
        <x:v>21.01</x:v>
      </x:c>
      <x:c r="N49" s="118" t="n">
        <x:v>25.6</x:v>
      </x:c>
      <x:c r="O49" s="118" t="n">
        <x:v>17.41</x:v>
      </x:c>
      <x:c r="P49" s="118" t="n">
        <x:v>21.82</x:v>
      </x:c>
      <x:c r="Q49" s="118" t="n">
        <x:v>17.39</x:v>
      </x:c>
      <x:c r="R49" s="118" t="n">
        <x:v>21.9</x:v>
      </x:c>
      <x:c r="S49" s="118" t="n">
        <x:v>249.25</x:v>
      </x:c>
    </x:row>
    <x:row r="50">
      <x:c r="A50" s="107" t="str">
        <x:v>Chine</x:v>
      </x:c>
      <x:c r="B50" s="107" t="str">
        <x:v>REPRESENTANT CHINE - A VALIDER</x:v>
      </x:c>
      <x:c r="C50" s="108" t="str">
        <x:v>TRA</x:v>
      </x:c>
      <x:c r="D50" s="108" t="str">
        <x:v>USD</x:v>
      </x:c>
      <x:c r="E50" s="108" t="str">
        <x:v>Chiffre d'affaires devise</x:v>
      </x:c>
      <x:c r="F50" s="108" t="str">
        <x:v>USD</x:v>
      </x:c>
      <x:c r="G50" s="118" t="n">
        <x:v>29592.06</x:v>
      </x:c>
      <x:c r="H50" s="118" t="n">
        <x:v>24277.74</x:v>
      </x:c>
      <x:c r="I50" s="118" t="n">
        <x:v>34236.74</x:v>
      </x:c>
      <x:c r="J50" s="118" t="n">
        <x:v>27682.89</x:v>
      </x:c>
      <x:c r="K50" s="118" t="n">
        <x:v>35633</x:v>
      </x:c>
      <x:c r="L50" s="118" t="n">
        <x:v>25417.54</x:v>
      </x:c>
      <x:c r="M50" s="118" t="n">
        <x:v>29934</x:v>
      </x:c>
      <x:c r="N50" s="118" t="n">
        <x:v>36473.6</x:v>
      </x:c>
      <x:c r="O50" s="118" t="n">
        <x:v>24804.9</x:v>
      </x:c>
      <x:c r="P50" s="118" t="n">
        <x:v>31088.04</x:v>
      </x:c>
      <x:c r="Q50" s="118" t="n">
        <x:v>24776.4</x:v>
      </x:c>
      <x:c r="R50" s="118" t="n">
        <x:v>31202.02</x:v>
      </x:c>
      <x:c r="S50" s="118" t="n">
        <x:v>355118.93</x:v>
      </x:c>
    </x:row>
    <x:row r="51">
      <x:c r="A51" s="109" t="str">
        <x:v>Chine</x:v>
      </x:c>
      <x:c r="B51" s="109" t="str">
        <x:v>REPRESENTANT CHINE - A VALIDER</x:v>
      </x:c>
      <x:c r="C51" s="109" t="str">
        <x:v>TRA</x:v>
      </x:c>
      <x:c r="D51" s="109" t="str">
        <x:v>USD</x:v>
      </x:c>
      <x:c r="E51" s="109" t="str">
        <x:v>Chiffre d'affaires MGA</x:v>
      </x:c>
      <x:c r="F51" s="109" t="str">
        <x:v>MGA</x:v>
      </x:c>
      <x:c r="G51" s="119" t="n">
        <x:f>IF($D51="USD",G50*'Donnees SOMIDA'!$B$5,IF($D51="JPY",G50*'Donnees SOMIDA'!$B$6,0))</x:f>
        <x:v>111857986.80000001</x:v>
      </x:c>
      <x:c r="H51" s="119" t="n">
        <x:f>IF($D51="USD",H50*'Donnees SOMIDA'!$B$5,IF($D51="JPY",H50*'Donnees SOMIDA'!$B$6,0))</x:f>
        <x:v>91769857.2</x:v>
      </x:c>
      <x:c r="I51" s="119" t="n">
        <x:f>IF($D51="USD",I50*'Donnees SOMIDA'!$B$5,IF($D51="JPY",I50*'Donnees SOMIDA'!$B$6,0))</x:f>
        <x:v>129414877.19999999</x:v>
      </x:c>
      <x:c r="J51" s="119" t="n">
        <x:f>IF($D51="USD",J50*'Donnees SOMIDA'!$B$5,IF($D51="JPY",J50*'Donnees SOMIDA'!$B$6,0))</x:f>
        <x:v>104641324.2</x:v>
      </x:c>
      <x:c r="K51" s="119" t="n">
        <x:f>IF($D51="USD",K50*'Donnees SOMIDA'!$B$5,IF($D51="JPY",K50*'Donnees SOMIDA'!$B$6,0))</x:f>
        <x:v>134692740</x:v>
      </x:c>
      <x:c r="L51" s="119" t="n">
        <x:f>IF($D51="USD",L50*'Donnees SOMIDA'!$B$5,IF($D51="JPY",L50*'Donnees SOMIDA'!$B$6,0))</x:f>
        <x:v>96078301.2</x:v>
      </x:c>
      <x:c r="M51" s="119" t="n">
        <x:f>IF($D51="USD",M50*'Donnees SOMIDA'!$B$5,IF($D51="JPY",M50*'Donnees SOMIDA'!$B$6,0))</x:f>
        <x:v>113150520</x:v>
      </x:c>
      <x:c r="N51" s="119" t="n">
        <x:f>IF($D51="USD",N50*'Donnees SOMIDA'!$B$5,IF($D51="JPY",N50*'Donnees SOMIDA'!$B$6,0))</x:f>
        <x:v>137870208</x:v>
      </x:c>
      <x:c r="O51" s="119" t="n">
        <x:f>IF($D51="USD",O50*'Donnees SOMIDA'!$B$5,IF($D51="JPY",O50*'Donnees SOMIDA'!$B$6,0))</x:f>
        <x:v>93762522</x:v>
      </x:c>
      <x:c r="P51" s="119" t="n">
        <x:f>IF($D51="USD",P50*'Donnees SOMIDA'!$B$5,IF($D51="JPY",P50*'Donnees SOMIDA'!$B$6,0))</x:f>
        <x:v>117512791.2</x:v>
      </x:c>
      <x:c r="Q51" s="119" t="n">
        <x:f>IF($D51="USD",Q50*'Donnees SOMIDA'!$B$5,IF($D51="JPY",Q50*'Donnees SOMIDA'!$B$6,0))</x:f>
        <x:v>93654792</x:v>
      </x:c>
      <x:c r="R51" s="119" t="n">
        <x:f>IF($D51="USD",R50*'Donnees SOMIDA'!$B$5,IF($D51="JPY",R50*'Donnees SOMIDA'!$B$6,0))</x:f>
        <x:v>117943635.60000001</x:v>
      </x:c>
      <x:c r="S51" s="119" t="n">
        <x:f>SUM(G51:R51)</x:f>
        <x:v>1342349555.3999999</x:v>
      </x:c>
    </x:row>
    <x:row r="52">
      <x:c r="A52" s="107" t="str">
        <x:v>Chine</x:v>
      </x:c>
      <x:c r="B52" s="107" t="str">
        <x:v>REPRESENTANT CHINE - A VALIDER</x:v>
      </x:c>
      <x:c r="C52" s="108" t="str">
        <x:v>BSA</x:v>
      </x:c>
      <x:c r="D52" s="108" t="str">
        <x:v>USD</x:v>
      </x:c>
      <x:c r="E52" s="108" t="str">
        <x:v>Quantité exportée</x:v>
      </x:c>
      <x:c r="F52" s="108" t="str">
        <x:v>tonnes</x:v>
      </x:c>
      <x:c r="G52" s="118" t="n">
        <x:v>10.1</x:v>
      </x:c>
      <x:c r="H52" s="118" t="n">
        <x:v>13.56</x:v>
      </x:c>
      <x:c r="I52" s="118" t="n">
        <x:v>14.16</x:v>
      </x:c>
      <x:c r="J52" s="118" t="n">
        <x:v>13.22</x:v>
      </x:c>
      <x:c r="K52" s="118" t="n">
        <x:v>13.07</x:v>
      </x:c>
      <x:c r="L52" s="118" t="n">
        <x:v>11.04</x:v>
      </x:c>
      <x:c r="M52" s="118" t="n">
        <x:v>13.82</x:v>
      </x:c>
      <x:c r="N52" s="118" t="n">
        <x:v>14.34</x:v>
      </x:c>
      <x:c r="O52" s="118" t="n">
        <x:v>10.68</x:v>
      </x:c>
      <x:c r="P52" s="118" t="n">
        <x:v>10.06</x:v>
      </x:c>
      <x:c r="Q52" s="118" t="n">
        <x:v>14.38</x:v>
      </x:c>
      <x:c r="R52" s="118" t="n">
        <x:v>12.25</x:v>
      </x:c>
      <x:c r="S52" s="118" t="n">
        <x:v>150.68</x:v>
      </x:c>
    </x:row>
    <x:row r="53">
      <x:c r="A53" s="107" t="str">
        <x:v>Chine</x:v>
      </x:c>
      <x:c r="B53" s="107" t="str">
        <x:v>REPRESENTANT CHINE - A VALIDER</x:v>
      </x:c>
      <x:c r="C53" s="108" t="str">
        <x:v>BSA</x:v>
      </x:c>
      <x:c r="D53" s="108" t="str">
        <x:v>USD</x:v>
      </x:c>
      <x:c r="E53" s="108" t="str">
        <x:v>Chiffre d'affaires devise</x:v>
      </x:c>
      <x:c r="F53" s="108" t="str">
        <x:v>USD</x:v>
      </x:c>
      <x:c r="G53" s="118" t="n">
        <x:v>12215.95</x:v>
      </x:c>
      <x:c r="H53" s="118" t="n">
        <x:v>16400.82</x:v>
      </x:c>
      <x:c r="I53" s="118" t="n">
        <x:v>17126.52</x:v>
      </x:c>
      <x:c r="J53" s="118" t="n">
        <x:v>15989.59</x:v>
      </x:c>
      <x:c r="K53" s="118" t="n">
        <x:v>15808.17</x:v>
      </x:c>
      <x:c r="L53" s="118" t="n">
        <x:v>13352.88</x:v>
      </x:c>
      <x:c r="M53" s="118" t="n">
        <x:v>16715.29</x:v>
      </x:c>
      <x:c r="N53" s="118" t="n">
        <x:v>17344.23</x:v>
      </x:c>
      <x:c r="O53" s="118" t="n">
        <x:v>12917.46</x:v>
      </x:c>
      <x:c r="P53" s="118" t="n">
        <x:v>12167.57</x:v>
      </x:c>
      <x:c r="Q53" s="118" t="n">
        <x:v>17392.61</x:v>
      </x:c>
      <x:c r="R53" s="118" t="n">
        <x:v>14816.38</x:v>
      </x:c>
      <x:c r="S53" s="118" t="n">
        <x:v>182247.47</x:v>
      </x:c>
    </x:row>
    <x:row r="54">
      <x:c r="A54" s="109" t="str">
        <x:v>Chine</x:v>
      </x:c>
      <x:c r="B54" s="109" t="str">
        <x:v>REPRESENTANT CHINE - A VALIDER</x:v>
      </x:c>
      <x:c r="C54" s="109" t="str">
        <x:v>BSA</x:v>
      </x:c>
      <x:c r="D54" s="109" t="str">
        <x:v>USD</x:v>
      </x:c>
      <x:c r="E54" s="109" t="str">
        <x:v>Chiffre d'affaires MGA</x:v>
      </x:c>
      <x:c r="F54" s="109" t="str">
        <x:v>MGA</x:v>
      </x:c>
      <x:c r="G54" s="119" t="n">
        <x:f>IF($D54="USD",G53*'Donnees SOMIDA'!$B$5,IF($D54="JPY",G53*'Donnees SOMIDA'!$B$6,0))</x:f>
        <x:v>46176291</x:v>
      </x:c>
      <x:c r="H54" s="119" t="n">
        <x:f>IF($D54="USD",H53*'Donnees SOMIDA'!$B$5,IF($D54="JPY",H53*'Donnees SOMIDA'!$B$6,0))</x:f>
        <x:v>61995099.6</x:v>
      </x:c>
      <x:c r="I54" s="119" t="n">
        <x:f>IF($D54="USD",I53*'Donnees SOMIDA'!$B$5,IF($D54="JPY",I53*'Donnees SOMIDA'!$B$6,0))</x:f>
        <x:v>64738245.6</x:v>
      </x:c>
      <x:c r="J54" s="119" t="n">
        <x:f>IF($D54="USD",J53*'Donnees SOMIDA'!$B$5,IF($D54="JPY",J53*'Donnees SOMIDA'!$B$6,0))</x:f>
        <x:v>60440650.2</x:v>
      </x:c>
      <x:c r="K54" s="119" t="n">
        <x:f>IF($D54="USD",K53*'Donnees SOMIDA'!$B$5,IF($D54="JPY",K53*'Donnees SOMIDA'!$B$6,0))</x:f>
        <x:v>59754882.6</x:v>
      </x:c>
      <x:c r="L54" s="119" t="n">
        <x:f>IF($D54="USD",L53*'Donnees SOMIDA'!$B$5,IF($D54="JPY",L53*'Donnees SOMIDA'!$B$6,0))</x:f>
        <x:v>50473886.4</x:v>
      </x:c>
      <x:c r="M54" s="119" t="n">
        <x:f>IF($D54="USD",M53*'Donnees SOMIDA'!$B$5,IF($D54="JPY",M53*'Donnees SOMIDA'!$B$6,0))</x:f>
        <x:v>63183796.2</x:v>
      </x:c>
      <x:c r="N54" s="119" t="n">
        <x:f>IF($D54="USD",N53*'Donnees SOMIDA'!$B$5,IF($D54="JPY",N53*'Donnees SOMIDA'!$B$6,0))</x:f>
        <x:v>65561189.4</x:v>
      </x:c>
      <x:c r="O54" s="119" t="n">
        <x:f>IF($D54="USD",O53*'Donnees SOMIDA'!$B$5,IF($D54="JPY",O53*'Donnees SOMIDA'!$B$6,0))</x:f>
        <x:v>48827998.8</x:v>
      </x:c>
      <x:c r="P54" s="119" t="n">
        <x:f>IF($D54="USD",P53*'Donnees SOMIDA'!$B$5,IF($D54="JPY",P53*'Donnees SOMIDA'!$B$6,0))</x:f>
        <x:v>45993414.6</x:v>
      </x:c>
      <x:c r="Q54" s="119" t="n">
        <x:f>IF($D54="USD",Q53*'Donnees SOMIDA'!$B$5,IF($D54="JPY",Q53*'Donnees SOMIDA'!$B$6,0))</x:f>
        <x:v>65744065.800000004</x:v>
      </x:c>
      <x:c r="R54" s="119" t="n">
        <x:f>IF($D54="USD",R53*'Donnees SOMIDA'!$B$5,IF($D54="JPY",R53*'Donnees SOMIDA'!$B$6,0))</x:f>
        <x:v>56005916.4</x:v>
      </x:c>
      <x:c r="S54" s="119" t="n">
        <x:f>SUM(G54:R54)</x:f>
        <x:v>688895436.5999999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A5:C5"/>
    <x:mergeCell ref="D5:F5"/>
    <x:mergeCell ref="G5:I5"/>
    <x:mergeCell ref="J5:L5"/>
    <x:mergeCell ref="M5:O5"/>
    <x:mergeCell ref="P5:S5"/>
    <x:mergeCell ref="A7:S7"/>
  </x:mergeCells>
  <x:conditionalFormatting sqref="S10:S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A74A3F-6AFA-3C89-6848-3917534EA35A}">
            <x14:dataBar gradient="1">
              <x14:cfvo type="min"/>
              <x14:cfvo type="max"/>
              <x14:fillColor rgb="FFA02B93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0" hidden="0" customWidth="1"/>
    <x:col min="3" max="3" width="24" hidden="0" customWidth="1"/>
    <x:col min="4" max="4" width="4.75" hidden="0" customWidth="1"/>
    <x:col min="5" max="5" width="8.88000011444091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8.880000114440918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8.880000114440918" hidden="0" customWidth="1"/>
    <x:col min="17" max="17" width="9.880000114440918" hidden="0" customWidth="1"/>
  </x:cols>
  <x:sheetData>
    <x:row r="1">
      <x:c r="A1" s="6" t="str">
        <x:v>Pays</x:v>
      </x:c>
      <x:c r="B1" s="6" t="str">
        <x:v>Entité représentatrice</x:v>
      </x:c>
      <x:c r="C1" s="6" t="str">
        <x:v>Nature frais</x:v>
      </x:c>
      <x:c r="D1" s="6" t="str">
        <x:v>Unité</x:v>
      </x:c>
      <x:c r="E1" s="6" t="str">
        <x:v>Janvier</x:v>
      </x:c>
      <x:c r="F1" s="6" t="str">
        <x:v>Février</x:v>
      </x:c>
      <x:c r="G1" s="6" t="str">
        <x:v>Mars</x:v>
      </x:c>
      <x:c r="H1" s="6" t="str">
        <x:v>Avril</x:v>
      </x:c>
      <x:c r="I1" s="6" t="str">
        <x:v>Mai</x:v>
      </x:c>
      <x:c r="J1" s="6" t="str">
        <x:v>Juin</x:v>
      </x:c>
      <x:c r="K1" s="6" t="str">
        <x:v>Juillet</x:v>
      </x:c>
      <x:c r="L1" s="6" t="str">
        <x:v>Août</x:v>
      </x:c>
      <x:c r="M1" s="6" t="str">
        <x:v>Septembre</x:v>
      </x:c>
      <x:c r="N1" s="6" t="str">
        <x:v>Octobre</x:v>
      </x:c>
      <x:c r="O1" s="6" t="str">
        <x:v>Novembre</x:v>
      </x:c>
      <x:c r="P1" s="6" t="str">
        <x:v>Décembre</x:v>
      </x:c>
      <x:c r="Q1" s="6" t="str">
        <x:v>Total annuel</x:v>
      </x:c>
    </x:row>
    <x:row r="2">
      <x:c r="A2" t="str">
        <x:v>Japon</x:v>
      </x:c>
      <x:c r="B2" t="str">
        <x:v>GOODEIS</x:v>
      </x:c>
      <x:c r="C2" t="str">
        <x:v>Transport local</x:v>
      </x:c>
      <x:c r="D2" t="str">
        <x:v>MGA</x:v>
      </x:c>
      <x:c r="E2" s="16" t="n">
        <x:v>12540050</x:v>
      </x:c>
      <x:c r="F2" s="16" t="n">
        <x:v>11403600</x:v>
      </x:c>
      <x:c r="G2" s="16" t="n">
        <x:v>14540100</x:v>
      </x:c>
      <x:c r="H2" s="16" t="n">
        <x:v>13243850</x:v>
      </x:c>
      <x:c r="I2" s="16" t="n">
        <x:v>13635700</x:v>
      </x:c>
      <x:c r="J2" s="16" t="n">
        <x:v>13299100</x:v>
      </x:c>
      <x:c r="K2" s="16" t="n">
        <x:v>12606350</x:v>
      </x:c>
      <x:c r="L2" s="16" t="n">
        <x:v>13826950</x:v>
      </x:c>
      <x:c r="M2" s="16" t="n">
        <x:v>14195850</x:v>
      </x:c>
      <x:c r="N2" s="16" t="n">
        <x:v>11923800</x:v>
      </x:c>
      <x:c r="O2" s="16" t="n">
        <x:v>11474150</x:v>
      </x:c>
      <x:c r="P2" s="16" t="n">
        <x:v>14310600</x:v>
      </x:c>
      <x:c r="Q2" s="16" t="n">
        <x:f>SUM(E2:P2)</x:f>
        <x:v>157000100</x:v>
      </x:c>
    </x:row>
    <x:row r="3">
      <x:c r="A3" t="str">
        <x:v>Japon</x:v>
      </x:c>
      <x:c r="B3" t="str">
        <x:v>GOODEIS</x:v>
      </x:c>
      <x:c r="C3" t="str">
        <x:v>Transit &amp; documents</x:v>
      </x:c>
      <x:c r="D3" t="str">
        <x:v>MGA</x:v>
      </x:c>
      <x:c r="E3" s="16" t="n">
        <x:v>6505900</x:v>
      </x:c>
      <x:c r="F3" s="16" t="n">
        <x:v>6703950</x:v>
      </x:c>
      <x:c r="G3" s="16" t="n">
        <x:v>6676750</x:v>
      </x:c>
      <x:c r="H3" s="16" t="n">
        <x:v>6683550</x:v>
      </x:c>
      <x:c r="I3" s="16" t="n">
        <x:v>6213500</x:v>
      </x:c>
      <x:c r="J3" s="16" t="n">
        <x:v>5561550</x:v>
      </x:c>
      <x:c r="K3" s="16" t="n">
        <x:v>6054550</x:v>
      </x:c>
      <x:c r="L3" s="16" t="n">
        <x:v>6224550</x:v>
      </x:c>
      <x:c r="M3" s="16" t="n">
        <x:v>5907500</x:v>
      </x:c>
      <x:c r="N3" s="16" t="n">
        <x:v>5686500</x:v>
      </x:c>
      <x:c r="O3" s="16" t="n">
        <x:v>5223250</x:v>
      </x:c>
      <x:c r="P3" s="16" t="n">
        <x:v>6709050</x:v>
      </x:c>
      <x:c r="Q3" s="16" t="n">
        <x:f>SUM(E3:P3)</x:f>
        <x:v>74150600</x:v>
      </x:c>
    </x:row>
    <x:row r="4">
      <x:c r="A4" t="str">
        <x:v>Japon</x:v>
      </x:c>
      <x:c r="B4" t="str">
        <x:v>GOODEIS</x:v>
      </x:c>
      <x:c r="C4" t="str">
        <x:v>Manutention portuaire</x:v>
      </x:c>
      <x:c r="D4" t="str">
        <x:v>MGA</x:v>
      </x:c>
      <x:c r="E4" s="16" t="n">
        <x:v>7134050</x:v>
      </x:c>
      <x:c r="F4" s="16" t="n">
        <x:v>8518700</x:v>
      </x:c>
      <x:c r="G4" s="16" t="n">
        <x:v>7270050</x:v>
      </x:c>
      <x:c r="H4" s="16" t="n">
        <x:v>7963650</x:v>
      </x:c>
      <x:c r="I4" s="16" t="n">
        <x:v>7464700</x:v>
      </x:c>
      <x:c r="J4" s="16" t="n">
        <x:v>6947900</x:v>
      </x:c>
      <x:c r="K4" s="16" t="n">
        <x:v>9059300</x:v>
      </x:c>
      <x:c r="L4" s="16" t="n">
        <x:v>7165500</x:v>
      </x:c>
      <x:c r="M4" s="16" t="n">
        <x:v>6778750</x:v>
      </x:c>
      <x:c r="N4" s="16" t="n">
        <x:v>8502550</x:v>
      </x:c>
      <x:c r="O4" s="16" t="n">
        <x:v>7559900</x:v>
      </x:c>
      <x:c r="P4" s="16" t="n">
        <x:v>7189300</x:v>
      </x:c>
      <x:c r="Q4" s="16" t="n">
        <x:f>SUM(E4:P4)</x:f>
        <x:v>91554350</x:v>
      </x:c>
    </x:row>
    <x:row r="5">
      <x:c r="A5" t="str">
        <x:v>Japon</x:v>
      </x:c>
      <x:c r="B5" t="str">
        <x:v>GOODEIS</x:v>
      </x:c>
      <x:c r="C5" t="str">
        <x:v>Fret international</x:v>
      </x:c>
      <x:c r="D5" t="str">
        <x:v>MGA</x:v>
      </x:c>
      <x:c r="E5" s="16" t="n">
        <x:v>47898350</x:v>
      </x:c>
      <x:c r="F5" s="16" t="n">
        <x:v>38544950</x:v>
      </x:c>
      <x:c r="G5" s="16" t="n">
        <x:v>46351350</x:v>
      </x:c>
      <x:c r="H5" s="16" t="n">
        <x:v>47589800</x:v>
      </x:c>
      <x:c r="I5" s="16" t="n">
        <x:v>47771700</x:v>
      </x:c>
      <x:c r="J5" s="16" t="n">
        <x:v>45552350</x:v>
      </x:c>
      <x:c r="K5" s="16" t="n">
        <x:v>38482050</x:v>
      </x:c>
      <x:c r="L5" s="16" t="n">
        <x:v>46496700</x:v>
      </x:c>
      <x:c r="M5" s="16" t="n">
        <x:v>44860450</x:v>
      </x:c>
      <x:c r="N5" s="16" t="n">
        <x:v>39585350</x:v>
      </x:c>
      <x:c r="O5" s="16" t="n">
        <x:v>38011150</x:v>
      </x:c>
      <x:c r="P5" s="16" t="n">
        <x:v>49757300</x:v>
      </x:c>
      <x:c r="Q5" s="16" t="n">
        <x:f>SUM(E5:P5)</x:f>
        <x:v>530901500</x:v>
      </x:c>
    </x:row>
    <x:row r="6">
      <x:c r="A6" t="str">
        <x:v>Japon</x:v>
      </x:c>
      <x:c r="B6" t="str">
        <x:v>GOODEIS</x:v>
      </x:c>
      <x:c r="C6" t="str">
        <x:v>Assurance transport</x:v>
      </x:c>
      <x:c r="D6" t="str">
        <x:v>MGA</x:v>
      </x:c>
      <x:c r="E6" s="16" t="n">
        <x:v>3833500</x:v>
      </x:c>
      <x:c r="F6" s="16" t="n">
        <x:v>4223650</x:v>
      </x:c>
      <x:c r="G6" s="16" t="n">
        <x:v>3776550</x:v>
      </x:c>
      <x:c r="H6" s="16" t="n">
        <x:v>3774850</x:v>
      </x:c>
      <x:c r="I6" s="16" t="n">
        <x:v>3883650</x:v>
      </x:c>
      <x:c r="J6" s="16" t="n">
        <x:v>4156500</x:v>
      </x:c>
      <x:c r="K6" s="16" t="n">
        <x:v>3917650</x:v>
      </x:c>
      <x:c r="L6" s="16" t="n">
        <x:v>4080850</x:v>
      </x:c>
      <x:c r="M6" s="16" t="n">
        <x:v>3863250</x:v>
      </x:c>
      <x:c r="N6" s="16" t="n">
        <x:v>3762100</x:v>
      </x:c>
      <x:c r="O6" s="16" t="n">
        <x:v>3947400</x:v>
      </x:c>
      <x:c r="P6" s="16" t="n">
        <x:v>4659700</x:v>
      </x:c>
      <x:c r="Q6" s="16" t="n">
        <x:f>SUM(E6:P6)</x:f>
        <x:v>47879650</x:v>
      </x:c>
    </x:row>
    <x:row r="7">
      <x:c r="A7" t="str">
        <x:v>Japon</x:v>
      </x:c>
      <x:c r="B7" t="str">
        <x:v>GOODEIS</x:v>
      </x:c>
      <x:c r="C7" t="str">
        <x:v>Frais bancaires export</x:v>
      </x:c>
      <x:c r="D7" t="str">
        <x:v>MGA</x:v>
      </x:c>
      <x:c r="E7" s="16" t="n">
        <x:v>3368550</x:v>
      </x:c>
      <x:c r="F7" s="16" t="n">
        <x:v>2720850</x:v>
      </x:c>
      <x:c r="G7" s="16" t="n">
        <x:v>2554250</x:v>
      </x:c>
      <x:c r="H7" s="16" t="n">
        <x:v>2776100</x:v>
      </x:c>
      <x:c r="I7" s="16" t="n">
        <x:v>2587400</x:v>
      </x:c>
      <x:c r="J7" s="16" t="n">
        <x:v>3292900</x:v>
      </x:c>
      <x:c r="K7" s="16" t="n">
        <x:v>2901050</x:v>
      </x:c>
      <x:c r="L7" s="16" t="n">
        <x:v>2555950</x:v>
      </x:c>
      <x:c r="M7" s="16" t="n">
        <x:v>3412750</x:v>
      </x:c>
      <x:c r="N7" s="16" t="n">
        <x:v>3200250</x:v>
      </x:c>
      <x:c r="O7" s="16" t="n">
        <x:v>3392350</x:v>
      </x:c>
      <x:c r="P7" s="16" t="n">
        <x:v>3071900</x:v>
      </x:c>
      <x:c r="Q7" s="16" t="n">
        <x:f>SUM(E7:P7)</x:f>
        <x:v>35834300</x:v>
      </x:c>
    </x:row>
    <x:row r="8">
      <x:c r="A8" t="str">
        <x:v>Russie</x:v>
      </x:c>
      <x:c r="B8" t="str">
        <x:v>ELINAR</x:v>
      </x:c>
      <x:c r="C8" t="str">
        <x:v>Transport local</x:v>
      </x:c>
      <x:c r="D8" t="str">
        <x:v>MGA</x:v>
      </x:c>
      <x:c r="E8" s="16" t="n">
        <x:v>13161400</x:v>
      </x:c>
      <x:c r="F8" s="16" t="n">
        <x:v>12574900</x:v>
      </x:c>
      <x:c r="G8" s="16" t="n">
        <x:v>13343300</x:v>
      </x:c>
      <x:c r="H8" s="16" t="n">
        <x:v>14093850</x:v>
      </x:c>
      <x:c r="I8" s="16" t="n">
        <x:v>12300350</x:v>
      </x:c>
      <x:c r="J8" s="16" t="n">
        <x:v>12400650</x:v>
      </x:c>
      <x:c r="K8" s="16" t="n">
        <x:v>12130350</x:v>
      </x:c>
      <x:c r="L8" s="16" t="n">
        <x:v>15696950</x:v>
      </x:c>
      <x:c r="M8" s="16" t="n">
        <x:v>13632300</x:v>
      </x:c>
      <x:c r="N8" s="16" t="n">
        <x:v>13129950</x:v>
      </x:c>
      <x:c r="O8" s="16" t="n">
        <x:v>12996500</x:v>
      </x:c>
      <x:c r="P8" s="16" t="n">
        <x:v>11785250</x:v>
      </x:c>
      <x:c r="Q8" s="16" t="n">
        <x:f>SUM(E8:P8)</x:f>
        <x:v>157245750</x:v>
      </x:c>
    </x:row>
    <x:row r="9">
      <x:c r="A9" t="str">
        <x:v>Russie</x:v>
      </x:c>
      <x:c r="B9" t="str">
        <x:v>ELINAR</x:v>
      </x:c>
      <x:c r="C9" t="str">
        <x:v>Transit &amp; documents</x:v>
      </x:c>
      <x:c r="D9" t="str">
        <x:v>MGA</x:v>
      </x:c>
      <x:c r="E9" s="16" t="n">
        <x:v>7012500</x:v>
      </x:c>
      <x:c r="F9" s="16" t="n">
        <x:v>5719650</x:v>
      </x:c>
      <x:c r="G9" s="16" t="n">
        <x:v>5596400</x:v>
      </x:c>
      <x:c r="H9" s="16" t="n">
        <x:v>6136150</x:v>
      </x:c>
      <x:c r="I9" s="16" t="n">
        <x:v>5868400</x:v>
      </x:c>
      <x:c r="J9" s="16" t="n">
        <x:v>5602350</x:v>
      </x:c>
      <x:c r="K9" s="16" t="n">
        <x:v>6635100</x:v>
      </x:c>
      <x:c r="L9" s="16" t="n">
        <x:v>5451900</x:v>
      </x:c>
      <x:c r="M9" s="16" t="n">
        <x:v>5746850</x:v>
      </x:c>
      <x:c r="N9" s="16" t="n">
        <x:v>6941100</x:v>
      </x:c>
      <x:c r="O9" s="16" t="n">
        <x:v>6977650</x:v>
      </x:c>
      <x:c r="P9" s="16" t="n">
        <x:v>5848000</x:v>
      </x:c>
      <x:c r="Q9" s="16" t="n">
        <x:f>SUM(E9:P9)</x:f>
        <x:v>73536050</x:v>
      </x:c>
    </x:row>
    <x:row r="10">
      <x:c r="A10" t="str">
        <x:v>Russie</x:v>
      </x:c>
      <x:c r="B10" t="str">
        <x:v>ELINAR</x:v>
      </x:c>
      <x:c r="C10" t="str">
        <x:v>Manutention portuaire</x:v>
      </x:c>
      <x:c r="D10" t="str">
        <x:v>MGA</x:v>
      </x:c>
      <x:c r="E10" s="16" t="n">
        <x:v>9091600</x:v>
      </x:c>
      <x:c r="F10" s="16" t="n">
        <x:v>8051200</x:v>
      </x:c>
      <x:c r="G10" s="16" t="n">
        <x:v>8164250</x:v>
      </x:c>
      <x:c r="H10" s="16" t="n">
        <x:v>7387350</x:v>
      </x:c>
      <x:c r="I10" s="16" t="n">
        <x:v>7654250</x:v>
      </x:c>
      <x:c r="J10" s="16" t="n">
        <x:v>9341500</x:v>
      </x:c>
      <x:c r="K10" s="16" t="n">
        <x:v>9345750</x:v>
      </x:c>
      <x:c r="L10" s="16" t="n">
        <x:v>9872750</x:v>
      </x:c>
      <x:c r="M10" s="16" t="n">
        <x:v>9294750</x:v>
      </x:c>
      <x:c r="N10" s="16" t="n">
        <x:v>8981950</x:v>
      </x:c>
      <x:c r="O10" s="16" t="n">
        <x:v>7390750</x:v>
      </x:c>
      <x:c r="P10" s="16" t="n">
        <x:v>7860800</x:v>
      </x:c>
      <x:c r="Q10" s="16" t="n">
        <x:f>SUM(E10:P10)</x:f>
        <x:v>102436900</x:v>
      </x:c>
    </x:row>
    <x:row r="11">
      <x:c r="A11" t="str">
        <x:v>Russie</x:v>
      </x:c>
      <x:c r="B11" t="str">
        <x:v>ELINAR</x:v>
      </x:c>
      <x:c r="C11" t="str">
        <x:v>Fret international</x:v>
      </x:c>
      <x:c r="D11" t="str">
        <x:v>MGA</x:v>
      </x:c>
      <x:c r="E11" s="16" t="n">
        <x:v>54846250</x:v>
      </x:c>
      <x:c r="F11" s="16" t="n">
        <x:v>42695500</x:v>
      </x:c>
      <x:c r="G11" s="16" t="n">
        <x:v>50236700</x:v>
      </x:c>
      <x:c r="H11" s="16" t="n">
        <x:v>43548900</x:v>
      </x:c>
      <x:c r="I11" s="16" t="n">
        <x:v>48308900</x:v>
      </x:c>
      <x:c r="J11" s="16" t="n">
        <x:v>54348150</x:v>
      </x:c>
      <x:c r="K11" s="16" t="n">
        <x:v>44135400</x:v>
      </x:c>
      <x:c r="L11" s="16" t="n">
        <x:v>50252850</x:v>
      </x:c>
      <x:c r="M11" s="16" t="n">
        <x:v>41750300</x:v>
      </x:c>
      <x:c r="N11" s="16" t="n">
        <x:v>50422850</x:v>
      </x:c>
      <x:c r="O11" s="16" t="n">
        <x:v>49730950</x:v>
      </x:c>
      <x:c r="P11" s="16" t="n">
        <x:v>45436750</x:v>
      </x:c>
      <x:c r="Q11" s="16" t="n">
        <x:f>SUM(E11:P11)</x:f>
        <x:v>575713500</x:v>
      </x:c>
    </x:row>
    <x:row r="12">
      <x:c r="A12" t="str">
        <x:v>Russie</x:v>
      </x:c>
      <x:c r="B12" t="str">
        <x:v>ELINAR</x:v>
      </x:c>
      <x:c r="C12" t="str">
        <x:v>Assurance transport</x:v>
      </x:c>
      <x:c r="D12" t="str">
        <x:v>MGA</x:v>
      </x:c>
      <x:c r="E12" s="16" t="n">
        <x:v>5167150</x:v>
      </x:c>
      <x:c r="F12" s="16" t="n">
        <x:v>5032850</x:v>
      </x:c>
      <x:c r="G12" s="16" t="n">
        <x:v>4983550</x:v>
      </x:c>
      <x:c r="H12" s="16" t="n">
        <x:v>4911300</x:v>
      </x:c>
      <x:c r="I12" s="16" t="n">
        <x:v>4312050</x:v>
      </x:c>
      <x:c r="J12" s="16" t="n">
        <x:v>5069400</x:v>
      </x:c>
      <x:c r="K12" s="16" t="n">
        <x:v>4553450</x:v>
      </x:c>
      <x:c r="L12" s="16" t="n">
        <x:v>4381750</x:v>
      </x:c>
      <x:c r="M12" s="16" t="n">
        <x:v>4713250</x:v>
      </x:c>
      <x:c r="N12" s="16" t="n">
        <x:v>5125500</x:v>
      </x:c>
      <x:c r="O12" s="16" t="n">
        <x:v>5074500</x:v>
      </x:c>
      <x:c r="P12" s="16" t="n">
        <x:v>4301000</x:v>
      </x:c>
      <x:c r="Q12" s="16" t="n">
        <x:f>SUM(E12:P12)</x:f>
        <x:v>57625750</x:v>
      </x:c>
    </x:row>
    <x:row r="13">
      <x:c r="A13" t="str">
        <x:v>Russie</x:v>
      </x:c>
      <x:c r="B13" t="str">
        <x:v>ELINAR</x:v>
      </x:c>
      <x:c r="C13" t="str">
        <x:v>Frais bancaires export</x:v>
      </x:c>
      <x:c r="D13" t="str">
        <x:v>MGA</x:v>
      </x:c>
      <x:c r="E13" s="16" t="n">
        <x:v>3701750</x:v>
      </x:c>
      <x:c r="F13" s="16" t="n">
        <x:v>3370250</x:v>
      </x:c>
      <x:c r="G13" s="16" t="n">
        <x:v>3417000</x:v>
      </x:c>
      <x:c r="H13" s="16" t="n">
        <x:v>3564900</x:v>
      </x:c>
      <x:c r="I13" s="16" t="n">
        <x:v>3323500</x:v>
      </x:c>
      <x:c r="J13" s="16" t="n">
        <x:v>2757400</x:v>
      </x:c>
      <x:c r="K13" s="16" t="n">
        <x:v>3431450</x:v>
      </x:c>
      <x:c r="L13" s="16" t="n">
        <x:v>3547050</x:v>
      </x:c>
      <x:c r="M13" s="16" t="n">
        <x:v>3101650</x:v>
      </x:c>
      <x:c r="N13" s="16" t="n">
        <x:v>3514750</x:v>
      </x:c>
      <x:c r="O13" s="16" t="n">
        <x:v>2911250</x:v>
      </x:c>
      <x:c r="P13" s="16" t="n">
        <x:v>3623550</x:v>
      </x:c>
      <x:c r="Q13" s="16" t="n">
        <x:f>SUM(E13:P13)</x:f>
        <x:v>40264500</x:v>
      </x:c>
    </x:row>
    <x:row r="14">
      <x:c r="A14" t="str">
        <x:v>Chine</x:v>
      </x:c>
      <x:c r="B14" t="str">
        <x:v>REPRESENTANT CHINE - A VALIDER</x:v>
      </x:c>
      <x:c r="C14" t="str">
        <x:v>Transport local</x:v>
      </x:c>
      <x:c r="D14" t="str">
        <x:v>MGA</x:v>
      </x:c>
      <x:c r="E14" s="16" t="n">
        <x:v>9667900</x:v>
      </x:c>
      <x:c r="F14" s="16" t="n">
        <x:v>11384900</x:v>
      </x:c>
      <x:c r="G14" s="16" t="n">
        <x:v>10739750</x:v>
      </x:c>
      <x:c r="H14" s="16" t="n">
        <x:v>12267200</x:v>
      </x:c>
      <x:c r="I14" s="16" t="n">
        <x:v>11197900</x:v>
      </x:c>
      <x:c r="J14" s="16" t="n">
        <x:v>12747450</x:v>
      </x:c>
      <x:c r="K14" s="16" t="n">
        <x:v>10756750</x:v>
      </x:c>
      <x:c r="L14" s="16" t="n">
        <x:v>11171550</x:v>
      </x:c>
      <x:c r="M14" s="16" t="n">
        <x:v>10642000</x:v>
      </x:c>
      <x:c r="N14" s="16" t="n">
        <x:v>11210650</x:v>
      </x:c>
      <x:c r="O14" s="16" t="n">
        <x:v>9973050</x:v>
      </x:c>
      <x:c r="P14" s="16" t="n">
        <x:v>12859650</x:v>
      </x:c>
      <x:c r="Q14" s="16" t="n">
        <x:f>SUM(E14:P14)</x:f>
        <x:v>134618750</x:v>
      </x:c>
    </x:row>
    <x:row r="15">
      <x:c r="A15" t="str">
        <x:v>Chine</x:v>
      </x:c>
      <x:c r="B15" t="str">
        <x:v>REPRESENTANT CHINE - A VALIDER</x:v>
      </x:c>
      <x:c r="C15" t="str">
        <x:v>Transit &amp; documents</x:v>
      </x:c>
      <x:c r="D15" t="str">
        <x:v>MGA</x:v>
      </x:c>
      <x:c r="E15" s="16" t="n">
        <x:v>4731100</x:v>
      </x:c>
      <x:c r="F15" s="16" t="n">
        <x:v>5858200</x:v>
      </x:c>
      <x:c r="G15" s="16" t="n">
        <x:v>5589600</x:v>
      </x:c>
      <x:c r="H15" s="16" t="n">
        <x:v>5622750</x:v>
      </x:c>
      <x:c r="I15" s="16" t="n">
        <x:v>4851800</x:v>
      </x:c>
      <x:c r="J15" s="16" t="n">
        <x:v>5688200</x:v>
      </x:c>
      <x:c r="K15" s="16" t="n">
        <x:v>4979300</x:v>
      </x:c>
      <x:c r="L15" s="16" t="n">
        <x:v>5982300</x:v>
      </x:c>
      <x:c r="M15" s="16" t="n">
        <x:v>4510100</x:v>
      </x:c>
      <x:c r="N15" s="16" t="n">
        <x:v>4510100</x:v>
      </x:c>
      <x:c r="O15" s="16" t="n">
        <x:v>5229200</x:v>
      </x:c>
      <x:c r="P15" s="16" t="n">
        <x:v>4866250</x:v>
      </x:c>
      <x:c r="Q15" s="16" t="n">
        <x:f>SUM(E15:P15)</x:f>
        <x:v>62418900</x:v>
      </x:c>
    </x:row>
    <x:row r="16">
      <x:c r="A16" t="str">
        <x:v>Chine</x:v>
      </x:c>
      <x:c r="B16" t="str">
        <x:v>REPRESENTANT CHINE - A VALIDER</x:v>
      </x:c>
      <x:c r="C16" t="str">
        <x:v>Manutention portuaire</x:v>
      </x:c>
      <x:c r="D16" t="str">
        <x:v>MGA</x:v>
      </x:c>
      <x:c r="E16" s="16" t="n">
        <x:v>6070700</x:v>
      </x:c>
      <x:c r="F16" s="16" t="n">
        <x:v>7718850</x:v>
      </x:c>
      <x:c r="G16" s="16" t="n">
        <x:v>7667850</x:v>
      </x:c>
      <x:c r="H16" s="16" t="n">
        <x:v>7295550</x:v>
      </x:c>
      <x:c r="I16" s="16" t="n">
        <x:v>7483400</x:v>
      </x:c>
      <x:c r="J16" s="16" t="n">
        <x:v>7699300</x:v>
      </x:c>
      <x:c r="K16" s="16" t="n">
        <x:v>7634700</x:v>
      </x:c>
      <x:c r="L16" s="16" t="n">
        <x:v>6577300</x:v>
      </x:c>
      <x:c r="M16" s="16" t="n">
        <x:v>7358450</x:v>
      </x:c>
      <x:c r="N16" s="16" t="n">
        <x:v>7093250</x:v>
      </x:c>
      <x:c r="O16" s="16" t="n">
        <x:v>7477450</x:v>
      </x:c>
      <x:c r="P16" s="16" t="n">
        <x:v>6803400</x:v>
      </x:c>
      <x:c r="Q16" s="16" t="n">
        <x:f>SUM(E16:P16)</x:f>
        <x:v>86880200</x:v>
      </x:c>
    </x:row>
    <x:row r="17">
      <x:c r="A17" t="str">
        <x:v>Chine</x:v>
      </x:c>
      <x:c r="B17" t="str">
        <x:v>REPRESENTANT CHINE - A VALIDER</x:v>
      </x:c>
      <x:c r="C17" t="str">
        <x:v>Fret international</x:v>
      </x:c>
      <x:c r="D17" t="str">
        <x:v>MGA</x:v>
      </x:c>
      <x:c r="E17" s="16" t="n">
        <x:v>34263500</x:v>
      </x:c>
      <x:c r="F17" s="16" t="n">
        <x:v>39085550</x:v>
      </x:c>
      <x:c r="G17" s="16" t="n">
        <x:v>36019600</x:v>
      </x:c>
      <x:c r="H17" s="16" t="n">
        <x:v>38633350</x:v>
      </x:c>
      <x:c r="I17" s="16" t="n">
        <x:v>37861550</x:v>
      </x:c>
      <x:c r="J17" s="16" t="n">
        <x:v>40284050</x:v>
      </x:c>
      <x:c r="K17" s="16" t="n">
        <x:v>42140450</x:v>
      </x:c>
      <x:c r="L17" s="16" t="n">
        <x:v>42309600</x:v>
      </x:c>
      <x:c r="M17" s="16" t="n">
        <x:v>38975050</x:v>
      </x:c>
      <x:c r="N17" s="16" t="n">
        <x:v>42795800</x:v>
      </x:c>
      <x:c r="O17" s="16" t="n">
        <x:v>45554900</x:v>
      </x:c>
      <x:c r="P17" s="16" t="n">
        <x:v>42567150</x:v>
      </x:c>
      <x:c r="Q17" s="16" t="n">
        <x:f>SUM(E17:P17)</x:f>
        <x:v>480490550</x:v>
      </x:c>
    </x:row>
    <x:row r="18">
      <x:c r="A18" t="str">
        <x:v>Chine</x:v>
      </x:c>
      <x:c r="B18" t="str">
        <x:v>REPRESENTANT CHINE - A VALIDER</x:v>
      </x:c>
      <x:c r="C18" t="str">
        <x:v>Assurance transport</x:v>
      </x:c>
      <x:c r="D18" t="str">
        <x:v>MGA</x:v>
      </x:c>
      <x:c r="E18" s="16" t="n">
        <x:v>3915100</x:v>
      </x:c>
      <x:c r="F18" s="16" t="n">
        <x:v>4007750</x:v>
      </x:c>
      <x:c r="G18" s="16" t="n">
        <x:v>4063000</x:v>
      </x:c>
      <x:c r="H18" s="16" t="n">
        <x:v>3476500</x:v>
      </x:c>
      <x:c r="I18" s="16" t="n">
        <x:v>4337550</x:v>
      </x:c>
      <x:c r="J18" s="16" t="n">
        <x:v>3785050</x:v>
      </x:c>
      <x:c r="K18" s="16" t="n">
        <x:v>3570850</x:v>
      </x:c>
      <x:c r="L18" s="16" t="n">
        <x:v>3902350</x:v>
      </x:c>
      <x:c r="M18" s="16" t="n">
        <x:v>4083400</x:v>
      </x:c>
      <x:c r="N18" s="16" t="n">
        <x:v>3285250</x:v>
      </x:c>
      <x:c r="O18" s="16" t="n">
        <x:v>3716200</x:v>
      </x:c>
      <x:c r="P18" s="16" t="n">
        <x:v>3879400</x:v>
      </x:c>
      <x:c r="Q18" s="16" t="n">
        <x:f>SUM(E18:P18)</x:f>
        <x:v>46022400</x:v>
      </x:c>
    </x:row>
    <x:row r="19">
      <x:c r="A19" t="str">
        <x:v>Chine</x:v>
      </x:c>
      <x:c r="B19" t="str">
        <x:v>REPRESENTANT CHINE - A VALIDER</x:v>
      </x:c>
      <x:c r="C19" t="str">
        <x:v>Frais bancaires export</x:v>
      </x:c>
      <x:c r="D19" t="str">
        <x:v>MGA</x:v>
      </x:c>
      <x:c r="E19" s="16" t="n">
        <x:v>2327300</x:v>
      </x:c>
      <x:c r="F19" s="16" t="n">
        <x:v>2414850</x:v>
      </x:c>
      <x:c r="G19" s="16" t="n">
        <x:v>2951200</x:v>
      </x:c>
      <x:c r="H19" s="16" t="n">
        <x:v>2521100</x:v>
      </x:c>
      <x:c r="I19" s="16" t="n">
        <x:v>2980100</x:v>
      </x:c>
      <x:c r="J19" s="16" t="n">
        <x:v>2857700</x:v>
      </x:c>
      <x:c r="K19" s="16" t="n">
        <x:v>2490500</x:v>
      </x:c>
      <x:c r="L19" s="16" t="n">
        <x:v>2255050</x:v>
      </x:c>
      <x:c r="M19" s="16" t="n">
        <x:v>2907000</x:v>
      </x:c>
      <x:c r="N19" s="16" t="n">
        <x:v>2795650</x:v>
      </x:c>
      <x:c r="O19" s="16" t="n">
        <x:v>2356200</x:v>
      </x:c>
      <x:c r="P19" s="16" t="n">
        <x:v>2682600</x:v>
      </x:c>
      <x:c r="Q19" s="16" t="n">
        <x:f>SUM(E19:P19)</x:f>
        <x:v>31539250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.7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2.130000114440918" hidden="0" customWidth="1"/>
  </x:cols>
  <x:sheetData>
    <x:row r="1">
      <x:c r="A1" s="6" t="str">
        <x:v>Indicateur</x:v>
      </x:c>
      <x:c r="B1" s="6" t="str">
        <x:v>Unité</x:v>
      </x:c>
      <x:c r="C1" s="6" t="str">
        <x:v>Janvier</x:v>
      </x:c>
      <x:c r="D1" s="6" t="str">
        <x:v>Février</x:v>
      </x:c>
      <x:c r="E1" s="6" t="str">
        <x:v>Mars</x:v>
      </x:c>
      <x:c r="F1" s="6" t="str">
        <x:v>Avril</x:v>
      </x:c>
      <x:c r="G1" s="6" t="str">
        <x:v>Mai</x:v>
      </x:c>
      <x:c r="H1" s="6" t="str">
        <x:v>Juin</x:v>
      </x:c>
      <x:c r="I1" s="6" t="str">
        <x:v>Juillet</x:v>
      </x:c>
      <x:c r="J1" s="6" t="str">
        <x:v>Août</x:v>
      </x:c>
      <x:c r="K1" s="6" t="str">
        <x:v>Septembre</x:v>
      </x:c>
      <x:c r="L1" s="6" t="str">
        <x:v>Octobre</x:v>
      </x:c>
      <x:c r="M1" s="6" t="str">
        <x:v>Novembre</x:v>
      </x:c>
      <x:c r="N1" s="6" t="str">
        <x:v>Décembre</x:v>
      </x:c>
      <x:c r="O1" s="6" t="str">
        <x:v>Total annuel</x:v>
      </x:c>
    </x:row>
    <x:row r="2">
      <x:c r="A2" t="str">
        <x:v>CA export</x:v>
      </x:c>
      <x:c r="B2" t="str">
        <x:v>MGA</x:v>
      </x:c>
      <x:c r="C2" s="16" t="n">
        <x:f>SUMIF(Exportations!$E$10:$E$54,"Chiffre d'affaires MGA",Exportations!$G$10:$G$54)</x:f>
        <x:v>1407824424.3000002</x:v>
      </x:c>
      <x:c r="D2" s="16" t="n">
        <x:f>SUMIF(Exportations!$E$10:$E$54,"Chiffre d'affaires MGA",Exportations!$H$10:$H$54)</x:f>
        <x:v>1450212050.85</x:v>
      </x:c>
      <x:c r="E2" s="16" t="n">
        <x:f>SUMIF(Exportations!$E$10:$E$54,"Chiffre d'affaires MGA",Exportations!$I$10:$I$54)</x:f>
        <x:v>1374179317.05</x:v>
      </x:c>
      <x:c r="F2" s="16" t="n">
        <x:f>SUMIF(Exportations!$E$10:$E$54,"Chiffre d'affaires MGA",Exportations!$J$10:$J$54)</x:f>
        <x:v>1470182357.4000003</x:v>
      </x:c>
      <x:c r="G2" s="16" t="n">
        <x:f>SUMIF(Exportations!$E$10:$E$54,"Chiffre d'affaires MGA",Exportations!$K$10:$K$54)</x:f>
        <x:v>1478874148.5</x:v>
      </x:c>
      <x:c r="H2" s="16" t="n">
        <x:f>SUMIF(Exportations!$E$10:$E$54,"Chiffre d'affaires MGA",Exportations!$L$10:$L$54)</x:f>
        <x:v>1450781128.3500001</x:v>
      </x:c>
      <x:c r="I2" s="16" t="n">
        <x:f>SUMIF(Exportations!$E$10:$E$54,"Chiffre d'affaires MGA",Exportations!$M$10:$M$54)</x:f>
        <x:v>1471539289.65</x:v>
      </x:c>
      <x:c r="J2" s="16" t="n">
        <x:f>SUMIF(Exportations!$E$10:$E$54,"Chiffre d'affaires MGA",Exportations!$N$10:$N$54)</x:f>
        <x:v>1505454135.9</x:v>
      </x:c>
      <x:c r="K2" s="16" t="n">
        <x:f>SUMIF(Exportations!$E$10:$E$54,"Chiffre d'affaires MGA",Exportations!$O$10:$O$54)</x:f>
        <x:v>1481040116.0999997</x:v>
      </x:c>
      <x:c r="L2" s="16" t="n">
        <x:f>SUMIF(Exportations!$E$10:$E$54,"Chiffre d'affaires MGA",Exportations!$P$10:$P$54)</x:f>
        <x:v>1476042969.1499999</x:v>
      </x:c>
      <x:c r="M2" s="16" t="n">
        <x:f>SUMIF(Exportations!$E$10:$E$54,"Chiffre d'affaires MGA",Exportations!$Q$10:$Q$54)</x:f>
        <x:v>1494472733.2499998</x:v>
      </x:c>
      <x:c r="N2" s="16" t="n">
        <x:f>SUMIF(Exportations!$E$10:$E$54,"Chiffre d'affaires MGA",Exportations!$R$10:$R$54)</x:f>
        <x:v>1508700238.8</x:v>
      </x:c>
      <x:c r="O2" s="16" t="n">
        <x:f>SUM(C2:N2)</x:f>
        <x:v>17569302909.3</x:v>
      </x:c>
    </x:row>
    <x:row r="3">
      <x:c r="A3" t="str">
        <x:v>Charges exploitation</x:v>
      </x:c>
      <x:c r="B3" t="str">
        <x:v>MGA</x:v>
      </x:c>
      <x:c r="C3" s="16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472209850</x:v>
      </x:c>
      <x:c r="D3" s="16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450915600</x:v>
      </x:c>
      <x:c r="E3" s="16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486654600</x:v>
      </x:c>
      <x:c r="F3" s="16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467841750</x:v>
      </x:c>
      <x:c r="G3" s="16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459797150</x:v>
      </x:c>
      <x:c r="H3" s="16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483294450</x:v>
      </x:c>
      <x:c r="I3" s="16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455676050</x:v>
      </x:c>
      <x:c r="J3" s="16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491112950</x:v>
      </x:c>
      <x:c r="K3" s="16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470316500</x:v>
      </x:c>
      <x:c r="L3" s="16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467406650</x:v>
      </x:c>
      <x:c r="M3" s="16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467725850</x:v>
      </x:c>
      <x:c r="N3" s="16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479037500</x:v>
      </x:c>
      <x:c r="O3" s="16" t="n">
        <x:f>SUM(C3:N3)</x:f>
        <x:v>5651988900</x:v>
      </x:c>
    </x:row>
    <x:row r="4">
      <x:c r="A4" t="str">
        <x:v>Frais export</x:v>
      </x:c>
      <x:c r="B4" t="str">
        <x:v>MGA</x:v>
      </x:c>
      <x:c r="C4" s="16" t="n">
        <x:f>SUM('Frais Export'!E2:E19)</x:f>
        <x:v>235236650</x:v>
      </x:c>
      <x:c r="D4" s="16" t="n">
        <x:f>SUM('Frais Export'!F2:F19)</x:f>
        <x:v>220030150</x:v>
      </x:c>
      <x:c r="E4" s="16" t="n">
        <x:f>SUM('Frais Export'!G2:G19)</x:f>
        <x:v>233941250</x:v>
      </x:c>
      <x:c r="F4" s="16" t="n">
        <x:f>SUM('Frais Export'!H2:H19)</x:f>
        <x:v>231490700</x:v>
      </x:c>
      <x:c r="G4" s="16" t="n">
        <x:f>SUM('Frais Export'!I2:I19)</x:f>
        <x:v>232036400</x:v>
      </x:c>
      <x:c r="H4" s="16" t="n">
        <x:f>SUM('Frais Export'!J2:J19)</x:f>
        <x:v>241391500</x:v>
      </x:c>
      <x:c r="I4" s="16" t="n">
        <x:f>SUM('Frais Export'!K2:K19)</x:f>
        <x:v>224825000</x:v>
      </x:c>
      <x:c r="J4" s="16" t="n">
        <x:f>SUM('Frais Export'!L2:L19)</x:f>
        <x:v>241751900</x:v>
      </x:c>
      <x:c r="K4" s="16" t="n">
        <x:f>SUM('Frais Export'!M2:M19)</x:f>
        <x:v>225733650</x:v>
      </x:c>
      <x:c r="L4" s="16" t="n">
        <x:f>SUM('Frais Export'!N2:N19)</x:f>
        <x:v>232467350</x:v>
      </x:c>
      <x:c r="M4" s="16" t="n">
        <x:f>SUM('Frais Export'!O2:O19)</x:f>
        <x:v>228996800</x:v>
      </x:c>
      <x:c r="N4" s="16" t="n">
        <x:f>SUM('Frais Export'!P2:P19)</x:f>
        <x:v>238211650</x:v>
      </x:c>
      <x:c r="O4" s="16" t="n">
        <x:f>SUM(C4:N4)</x:f>
        <x:v>2786113000</x:v>
      </x:c>
    </x:row>
    <x:row r="5">
      <x:c r="A5" t="str">
        <x:v>Masse salariale</x:v>
      </x:c>
      <x:c r="B5" t="str">
        <x:v>MGA</x:v>
      </x:c>
      <x:c r="C5" s="16" t="n">
        <x:f>SUM(Employes!$I$2:$I$61)</x:f>
        <x:v>218496661</x:v>
      </x:c>
      <x:c r="D5" s="16" t="n">
        <x:f>SUM(Employes!$I$2:$I$61)</x:f>
        <x:v>218496661</x:v>
      </x:c>
      <x:c r="E5" s="16" t="n">
        <x:f>SUM(Employes!$I$2:$I$61)</x:f>
        <x:v>218496661</x:v>
      </x:c>
      <x:c r="F5" s="16" t="n">
        <x:f>SUM(Employes!$I$2:$I$61)</x:f>
        <x:v>218496661</x:v>
      </x:c>
      <x:c r="G5" s="16" t="n">
        <x:f>SUM(Employes!$I$2:$I$61)</x:f>
        <x:v>218496661</x:v>
      </x:c>
      <x:c r="H5" s="16" t="n">
        <x:f>SUM(Employes!$I$2:$I$61)</x:f>
        <x:v>218496661</x:v>
      </x:c>
      <x:c r="I5" s="16" t="n">
        <x:f>SUM(Employes!$I$2:$I$61)</x:f>
        <x:v>218496661</x:v>
      </x:c>
      <x:c r="J5" s="16" t="n">
        <x:f>SUM(Employes!$I$2:$I$61)</x:f>
        <x:v>218496661</x:v>
      </x:c>
      <x:c r="K5" s="16" t="n">
        <x:f>SUM(Employes!$I$2:$I$61)</x:f>
        <x:v>218496661</x:v>
      </x:c>
      <x:c r="L5" s="16" t="n">
        <x:f>SUM(Employes!$I$2:$I$61)</x:f>
        <x:v>218496661</x:v>
      </x:c>
      <x:c r="M5" s="16" t="n">
        <x:f>SUM(Employes!$I$2:$I$61)</x:f>
        <x:v>218496661</x:v>
      </x:c>
      <x:c r="N5" s="16" t="n">
        <x:f>SUM(Employes!$I$2:$I$61)</x:f>
        <x:v>218496661</x:v>
      </x:c>
      <x:c r="O5" s="16" t="n">
        <x:f>SUM(C5:N5)</x:f>
        <x:v>2621959932</x:v>
      </x:c>
    </x:row>
    <x:row r="6">
      <x:c r="A6" t="str">
        <x:v>Amortissements</x:v>
      </x:c>
      <x:c r="B6" t="str">
        <x:v>MGA</x:v>
      </x:c>
      <x:c r="C6" s="16" t="n">
        <x:f>SUM(Amortissements!E2:E40)</x:f>
        <x:v>4990330.100000001</x:v>
      </x:c>
      <x:c r="D6" s="16" t="n">
        <x:f>SUM(Amortissements!F2:F40)</x:f>
        <x:v>9699913.43</x:v>
      </x:c>
      <x:c r="E6" s="16" t="n">
        <x:f>SUM(Amortissements!G2:G40)</x:f>
        <x:v>9699913.43</x:v>
      </x:c>
      <x:c r="F6" s="16" t="n">
        <x:f>SUM(Amortissements!H2:H40)</x:f>
        <x:v>9699913.43</x:v>
      </x:c>
      <x:c r="G6" s="16" t="n">
        <x:f>SUM(Amortissements!I2:I40)</x:f>
        <x:v>9699913.43</x:v>
      </x:c>
      <x:c r="H6" s="16" t="n">
        <x:f>SUM(Amortissements!J2:J40)</x:f>
        <x:v>9699913.43</x:v>
      </x:c>
      <x:c r="I6" s="16" t="n">
        <x:f>SUM(Amortissements!K2:K40)</x:f>
        <x:v>9699913.43</x:v>
      </x:c>
      <x:c r="J6" s="16" t="n">
        <x:f>SUM(Amortissements!L2:L40)</x:f>
        <x:v>9699913.43</x:v>
      </x:c>
      <x:c r="K6" s="16" t="n">
        <x:f>SUM(Amortissements!M2:M40)</x:f>
        <x:v>9699913.43</x:v>
      </x:c>
      <x:c r="L6" s="16" t="n">
        <x:f>SUM(Amortissements!N2:N40)</x:f>
        <x:v>9699913.43</x:v>
      </x:c>
      <x:c r="M6" s="16" t="n">
        <x:f>SUM(Amortissements!O2:O40)</x:f>
        <x:v>9699913.43</x:v>
      </x:c>
      <x:c r="N6" s="16" t="n">
        <x:f>SUM(Amortissements!P2:P40)</x:f>
        <x:v>9699913.43</x:v>
      </x:c>
      <x:c r="O6" s="16" t="n">
        <x:f>SUM(C6:N6)</x:f>
        <x:v>111689377.83000001</x:v>
      </x:c>
    </x:row>
    <x:row r="7">
      <x:c r="A7" t="str">
        <x:v>Résultat opérationnel</x:v>
      </x:c>
      <x:c r="B7" t="str">
        <x:v>MGA</x:v>
      </x:c>
      <x:c r="C7" s="20" t="n">
        <x:f>C2-C3-C4-C5-C6</x:f>
        <x:v>476890933.20000017</x:v>
      </x:c>
      <x:c r="D7" s="20" t="n">
        <x:f>D2-D3-D4-D5-D6</x:f>
        <x:v>551069726.42</x:v>
      </x:c>
      <x:c r="E7" s="20" t="n">
        <x:f>E2-E3-E4-E5-E6</x:f>
        <x:v>425386892.61999995</x:v>
      </x:c>
      <x:c r="F7" s="20" t="n">
        <x:f>F2-F3-F4-F5-F6</x:f>
        <x:v>542653332.9700004</x:v>
      </x:c>
      <x:c r="G7" s="20" t="n">
        <x:f>G2-G3-G4-G5-G6</x:f>
        <x:v>558844024.07</x:v>
      </x:c>
      <x:c r="H7" s="20" t="n">
        <x:f>H2-H3-H4-H5-H6</x:f>
        <x:v>497898603.92000014</x:v>
      </x:c>
      <x:c r="I7" s="20" t="n">
        <x:f>I2-I3-I4-I5-I6</x:f>
        <x:v>562841665.2200001</x:v>
      </x:c>
      <x:c r="J7" s="20" t="n">
        <x:f>J2-J3-J4-J5-J6</x:f>
        <x:v>544392711.4700001</x:v>
      </x:c>
      <x:c r="K7" s="20" t="n">
        <x:f>K2-K3-K4-K5-K6</x:f>
        <x:v>556793391.6699997</x:v>
      </x:c>
      <x:c r="L7" s="20" t="n">
        <x:f>L2-L3-L4-L5-L6</x:f>
        <x:v>547972394.7199999</x:v>
      </x:c>
      <x:c r="M7" s="20" t="n">
        <x:f>M2-M3-M4-M5-M6</x:f>
        <x:v>569553508.8199998</x:v>
      </x:c>
      <x:c r="N7" s="20" t="n">
        <x:f>N2-N3-N4-N5-N6</x:f>
        <x:v>563254514.37</x:v>
      </x:c>
      <x:c r="O7" s="20" t="n">
        <x:f>SUM(C7:N7)</x:f>
        <x:v>6397551699.470001</x:v>
      </x:c>
    </x:row>
    <x:row r="8">
      <x:c r="A8" t="str">
        <x:v>Marge opérationnelle</x:v>
      </x:c>
      <x:c r="B8" t="str">
        <x:v>%</x:v>
      </x:c>
      <x:c r="C8" s="164" t="n">
        <x:f>IFERROR(C7/C2,0)</x:f>
        <x:v>0.3387431876933946</x:v>
      </x:c>
      <x:c r="D8" s="164" t="n">
        <x:f>IFERROR(D7/D2,0)</x:f>
        <x:v>0.37999251633373643</x:v>
      </x:c>
      <x:c r="E8" s="164" t="n">
        <x:f>IFERROR(E7/E2,0)</x:f>
        <x:v>0.3095570478627151</x:v>
      </x:c>
      <x:c r="F8" s="164" t="n">
        <x:f>IFERROR(F7/F2,0)</x:f>
        <x:v>0.3691061385947225</x:v>
      </x:c>
      <x:c r="G8" s="164" t="n">
        <x:f>IFERROR(G7/G2,0)</x:f>
        <x:v>0.3778847744663244</x:v>
      </x:c>
      <x:c r="H8" s="164" t="n">
        <x:f>IFERROR(H7/H2,0)</x:f>
        <x:v>0.34319346605112605</x:v>
      </x:c>
      <x:c r="I8" s="164" t="n">
        <x:f>IFERROR(I7/I2,0)</x:f>
        <x:v>0.38248497282996086</x:v>
      </x:c>
      <x:c r="J8" s="164" t="n">
        <x:f>IFERROR(J7/J2,0)</x:f>
        <x:v>0.36161361444900336</x:v>
      </x:c>
      <x:c r="K8" s="164" t="n">
        <x:f>IFERROR(K7/K2,0)</x:f>
        <x:v>0.37594754228278116</x:v>
      </x:c>
      <x:c r="L8" s="164" t="n">
        <x:f>IFERROR(L7/L2,0)</x:f>
        <x:v>0.3712442023524271</x:v>
      </x:c>
      <x:c r="M8" s="164" t="n">
        <x:f>IFERROR(M7/M2,0)</x:f>
        <x:v>0.3811066579859261</x:v>
      </x:c>
      <x:c r="N8" s="164" t="n">
        <x:f>IFERROR(N7/N2,0)</x:f>
        <x:v>0.37333759211041495</x:v>
      </x:c>
      <x:c r="O8" s="164" t="n">
        <x:f>IFERROR(O7/O2,0)</x:f>
        <x:v>0.3641323581531269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30" t="str">
        <x:v>Catégorie</x:v>
      </x:c>
      <x:c r="B1" s="130" t="str">
        <x:v>Nature</x:v>
      </x:c>
      <x:c r="C1" s="130" t="str">
        <x:v>Périmètre général</x:v>
      </x:c>
      <x:c r="D1" s="130" t="str">
        <x:v>Unité</x:v>
      </x:c>
      <x:c r="E1" s="130" t="str">
        <x:v>Janvier</x:v>
      </x:c>
      <x:c r="F1" s="130" t="str">
        <x:v>Février</x:v>
      </x:c>
      <x:c r="G1" s="130" t="str">
        <x:v>Mars</x:v>
      </x:c>
      <x:c r="H1" s="130" t="str">
        <x:v>Avril</x:v>
      </x:c>
      <x:c r="I1" s="130" t="str">
        <x:v>Mai</x:v>
      </x:c>
      <x:c r="J1" s="130" t="str">
        <x:v>Juin</x:v>
      </x:c>
      <x:c r="K1" s="130" t="str">
        <x:v>Juillet</x:v>
      </x:c>
      <x:c r="L1" s="130" t="str">
        <x:v>Août</x:v>
      </x:c>
      <x:c r="M1" s="130" t="str">
        <x:v>Septembre</x:v>
      </x:c>
      <x:c r="N1" s="130" t="str">
        <x:v>Octobre</x:v>
      </x:c>
      <x:c r="O1" s="130" t="str">
        <x:v>Novembre</x:v>
      </x:c>
      <x:c r="P1" s="130" t="str">
        <x:v>Décembre</x:v>
      </x:c>
      <x:c r="Q1" s="130" t="str">
        <x:v>Total annuel</x:v>
      </x:c>
    </x:row>
    <x:row r="2" ht="21" customHeight="1">
      <x:c r="A2" s="133" t="str">
        <x:v>AMORTISSEMENT</x:v>
      </x:c>
      <x:c r="B2" s="133" t="str">
        <x:v>DOT.AMORT.MAT &amp; OUTILLAGE</x:v>
      </x:c>
      <x:c r="C2" s="133" t="str">
        <x:v>GENERAL</x:v>
      </x:c>
      <x:c r="D2" s="133" t="str">
        <x:v>MGA</x:v>
      </x:c>
      <x:c r="E2" s="134" t="n">
        <x:v>1130724.08</x:v>
      </x:c>
      <x:c r="F2" s="134" t="n">
        <x:v>1130724.08</x:v>
      </x:c>
      <x:c r="G2" s="134" t="n">
        <x:v>1130724.08</x:v>
      </x:c>
      <x:c r="H2" s="134" t="n">
        <x:v>1130724.08</x:v>
      </x:c>
      <x:c r="I2" s="134" t="n">
        <x:v>1130724.08</x:v>
      </x:c>
      <x:c r="J2" s="134" t="n">
        <x:v>1130724.08</x:v>
      </x:c>
      <x:c r="K2" s="134" t="n">
        <x:v>1130724.08</x:v>
      </x:c>
      <x:c r="L2" s="134" t="n">
        <x:v>1130724.08</x:v>
      </x:c>
      <x:c r="M2" s="134" t="n">
        <x:v>1130724.08</x:v>
      </x:c>
      <x:c r="N2" s="134" t="n">
        <x:v>1130724.08</x:v>
      </x:c>
      <x:c r="O2" s="134" t="n">
        <x:v>1130724.08</x:v>
      </x:c>
      <x:c r="P2" s="134" t="n">
        <x:v>1130724.08</x:v>
      </x:c>
      <x:c r="Q2" s="134" t="n">
        <x:f>SUM(E2:P2)</x:f>
        <x:v>13568688.96</x:v>
      </x:c>
    </x:row>
    <x:row r="3" ht="21" customHeight="1">
      <x:c r="A3" s="131" t="str">
        <x:v>AMORTISSEMENT</x:v>
      </x:c>
      <x:c r="B3" s="131" t="str">
        <x:v>DOT.AMORT.VEHICULE UTILITAIRE</x:v>
      </x:c>
      <x:c r="C3" s="131" t="str">
        <x:v>GENERAL</x:v>
      </x:c>
      <x:c r="D3" s="131" t="str">
        <x:v>MGA</x:v>
      </x:c>
      <x:c r="E3" s="132" t="n">
        <x:v>1906539.88</x:v>
      </x:c>
      <x:c r="F3" s="132" t="n">
        <x:v>1906539.88</x:v>
      </x:c>
      <x:c r="G3" s="132" t="n">
        <x:v>1906539.88</x:v>
      </x:c>
      <x:c r="H3" s="132" t="n">
        <x:v>1906539.88</x:v>
      </x:c>
      <x:c r="I3" s="132" t="n">
        <x:v>1906539.88</x:v>
      </x:c>
      <x:c r="J3" s="132" t="n">
        <x:v>1906539.88</x:v>
      </x:c>
      <x:c r="K3" s="132" t="n">
        <x:v>1906539.88</x:v>
      </x:c>
      <x:c r="L3" s="132" t="n">
        <x:v>1906539.88</x:v>
      </x:c>
      <x:c r="M3" s="132" t="n">
        <x:v>1906539.88</x:v>
      </x:c>
      <x:c r="N3" s="132" t="n">
        <x:v>1906539.88</x:v>
      </x:c>
      <x:c r="O3" s="132" t="n">
        <x:v>1906539.88</x:v>
      </x:c>
      <x:c r="P3" s="132" t="n">
        <x:v>1906539.88</x:v>
      </x:c>
      <x:c r="Q3" s="132" t="n">
        <x:f>SUM(E3:P3)</x:f>
        <x:v>22878478.55999999</x:v>
      </x:c>
    </x:row>
    <x:row r="4" ht="21" customHeight="1">
      <x:c r="A4" s="133" t="str">
        <x:v>AMORTISSEMENT</x:v>
      </x:c>
      <x:c r="B4" s="133" t="str">
        <x:v>Autres immobilisations 1</x:v>
      </x:c>
      <x:c r="C4" s="133" t="str">
        <x:v>GENERAL</x:v>
      </x:c>
      <x:c r="D4" s="133" t="str">
        <x:v>MGA</x:v>
      </x:c>
      <x:c r="E4" s="134" t="n">
        <x:v>0</x:v>
      </x:c>
      <x:c r="F4" s="134" t="n">
        <x:v>282222.22</x:v>
      </x:c>
      <x:c r="G4" s="134" t="n">
        <x:v>282222.22</x:v>
      </x:c>
      <x:c r="H4" s="134" t="n">
        <x:v>282222.22</x:v>
      </x:c>
      <x:c r="I4" s="134" t="n">
        <x:v>282222.22</x:v>
      </x:c>
      <x:c r="J4" s="134" t="n">
        <x:v>282222.22</x:v>
      </x:c>
      <x:c r="K4" s="134" t="n">
        <x:v>282222.22</x:v>
      </x:c>
      <x:c r="L4" s="134" t="n">
        <x:v>282222.22</x:v>
      </x:c>
      <x:c r="M4" s="134" t="n">
        <x:v>282222.22</x:v>
      </x:c>
      <x:c r="N4" s="134" t="n">
        <x:v>282222.22</x:v>
      </x:c>
      <x:c r="O4" s="134" t="n">
        <x:v>282222.22</x:v>
      </x:c>
      <x:c r="P4" s="134" t="n">
        <x:v>282222.22</x:v>
      </x:c>
      <x:c r="Q4" s="134" t="n">
        <x:f>SUM(E4:P4)</x:f>
        <x:v>3104444.419999999</x:v>
      </x:c>
    </x:row>
    <x:row r="5" ht="21" customHeight="1">
      <x:c r="A5" s="131" t="str">
        <x:v>AMORTISSEMENT</x:v>
      </x:c>
      <x:c r="B5" s="131" t="str">
        <x:v>DOT.AMORT Réparations toitures</x:v>
      </x:c>
      <x:c r="C5" s="131" t="str">
        <x:v>GENERAL</x:v>
      </x:c>
      <x:c r="D5" s="131" t="str">
        <x:v>MGA</x:v>
      </x:c>
      <x:c r="E5" s="132" t="n">
        <x:v>0</x:v>
      </x:c>
      <x:c r="F5" s="132" t="n">
        <x:v>4233333.33</x:v>
      </x:c>
      <x:c r="G5" s="132" t="n">
        <x:v>4233333.33</x:v>
      </x:c>
      <x:c r="H5" s="132" t="n">
        <x:v>4233333.33</x:v>
      </x:c>
      <x:c r="I5" s="132" t="n">
        <x:v>4233333.33</x:v>
      </x:c>
      <x:c r="J5" s="132" t="n">
        <x:v>4233333.33</x:v>
      </x:c>
      <x:c r="K5" s="132" t="n">
        <x:v>4233333.33</x:v>
      </x:c>
      <x:c r="L5" s="132" t="n">
        <x:v>4233333.33</x:v>
      </x:c>
      <x:c r="M5" s="132" t="n">
        <x:v>4233333.33</x:v>
      </x:c>
      <x:c r="N5" s="132" t="n">
        <x:v>4233333.33</x:v>
      </x:c>
      <x:c r="O5" s="132" t="n">
        <x:v>4233333.33</x:v>
      </x:c>
      <x:c r="P5" s="132" t="n">
        <x:v>4233333.33</x:v>
      </x:c>
      <x:c r="Q5" s="132" t="n">
        <x:f>SUM(E5:P5)</x:f>
        <x:v>46566666.62999999</x:v>
      </x:c>
    </x:row>
    <x:row r="6" ht="21" customHeight="1">
      <x:c r="A6" s="133" t="str">
        <x:v>AMORTISSEMENT</x:v>
      </x:c>
      <x:c r="B6" s="133" t="str">
        <x:v>Autres immobilisations 2</x:v>
      </x:c>
      <x:c r="C6" s="133" t="str">
        <x:v>GENERAL</x:v>
      </x:c>
      <x:c r="D6" s="133" t="str">
        <x:v>MGA</x:v>
      </x:c>
      <x:c r="E6" s="134" t="n">
        <x:v>0</x:v>
      </x:c>
      <x:c r="F6" s="134" t="n">
        <x:v>70555.56</x:v>
      </x:c>
      <x:c r="G6" s="134" t="n">
        <x:v>70555.56</x:v>
      </x:c>
      <x:c r="H6" s="134" t="n">
        <x:v>70555.56</x:v>
      </x:c>
      <x:c r="I6" s="134" t="n">
        <x:v>70555.56</x:v>
      </x:c>
      <x:c r="J6" s="134" t="n">
        <x:v>70555.56</x:v>
      </x:c>
      <x:c r="K6" s="134" t="n">
        <x:v>70555.56</x:v>
      </x:c>
      <x:c r="L6" s="134" t="n">
        <x:v>70555.56</x:v>
      </x:c>
      <x:c r="M6" s="134" t="n">
        <x:v>70555.56</x:v>
      </x:c>
      <x:c r="N6" s="134" t="n">
        <x:v>70555.56</x:v>
      </x:c>
      <x:c r="O6" s="134" t="n">
        <x:v>70555.56</x:v>
      </x:c>
      <x:c r="P6" s="134" t="n">
        <x:v>70555.56</x:v>
      </x:c>
      <x:c r="Q6" s="134" t="n">
        <x:f>SUM(E6:P6)</x:f>
        <x:v>776111.1600000001</x:v>
      </x:c>
    </x:row>
    <x:row r="7" ht="21" customHeight="1">
      <x:c r="A7" s="131" t="str">
        <x:v>AMORTISSEMENT</x:v>
      </x:c>
      <x:c r="B7" s="131" t="str">
        <x:v>DOT.AMORT.AGENC AMENAG CONSTRUC</x:v>
      </x:c>
      <x:c r="C7" s="131" t="str">
        <x:v>GENERAL</x:v>
      </x:c>
      <x:c r="D7" s="131" t="str">
        <x:v>MGA</x:v>
      </x:c>
      <x:c r="E7" s="132" t="n">
        <x:v>0</x:v>
      </x:c>
      <x:c r="F7" s="132" t="n">
        <x:v>0</x:v>
      </x:c>
      <x:c r="G7" s="132" t="n">
        <x:v>0</x:v>
      </x:c>
      <x:c r="H7" s="132" t="n">
        <x:v>0</x:v>
      </x:c>
      <x:c r="I7" s="132" t="n">
        <x:v>0</x:v>
      </x:c>
      <x:c r="J7" s="132" t="n">
        <x:v>0</x:v>
      </x:c>
      <x:c r="K7" s="132" t="n">
        <x:v>0</x:v>
      </x:c>
      <x:c r="L7" s="132" t="n">
        <x:v>0</x:v>
      </x:c>
      <x:c r="M7" s="132" t="n">
        <x:v>0</x:v>
      </x:c>
      <x:c r="N7" s="132" t="n">
        <x:v>0</x:v>
      </x:c>
      <x:c r="O7" s="132" t="n">
        <x:v>0</x:v>
      </x:c>
      <x:c r="P7" s="132" t="n">
        <x:v>0</x:v>
      </x:c>
      <x:c r="Q7" s="132" t="n">
        <x:f>SUM(E7:P7)</x:f>
        <x:v>0</x:v>
      </x:c>
    </x:row>
    <x:row r="8" ht="21" customHeight="1">
      <x:c r="A8" s="133" t="str">
        <x:v>AMORTISSEMENT</x:v>
      </x:c>
      <x:c r="B8" s="133" t="str">
        <x:v>DOT.AMORT.AUTRES INSTALLATIONS</x:v>
      </x:c>
      <x:c r="C8" s="133" t="str">
        <x:v>GENERAL</x:v>
      </x:c>
      <x:c r="D8" s="133" t="str">
        <x:v>MGA</x:v>
      </x:c>
      <x:c r="E8" s="134" t="n">
        <x:v>10019.63</x:v>
      </x:c>
      <x:c r="F8" s="134" t="n">
        <x:v>10019.63</x:v>
      </x:c>
      <x:c r="G8" s="134" t="n">
        <x:v>10019.63</x:v>
      </x:c>
      <x:c r="H8" s="134" t="n">
        <x:v>10019.63</x:v>
      </x:c>
      <x:c r="I8" s="134" t="n">
        <x:v>10019.63</x:v>
      </x:c>
      <x:c r="J8" s="134" t="n">
        <x:v>10019.63</x:v>
      </x:c>
      <x:c r="K8" s="134" t="n">
        <x:v>10019.63</x:v>
      </x:c>
      <x:c r="L8" s="134" t="n">
        <x:v>10019.63</x:v>
      </x:c>
      <x:c r="M8" s="134" t="n">
        <x:v>10019.63</x:v>
      </x:c>
      <x:c r="N8" s="134" t="n">
        <x:v>10019.63</x:v>
      </x:c>
      <x:c r="O8" s="134" t="n">
        <x:v>10019.63</x:v>
      </x:c>
      <x:c r="P8" s="134" t="n">
        <x:v>10019.63</x:v>
      </x:c>
      <x:c r="Q8" s="134" t="n">
        <x:f>SUM(E8:P8)</x:f>
        <x:v>120235.56000000001</x:v>
      </x:c>
    </x:row>
    <x:row r="9" ht="21" customHeight="1">
      <x:c r="A9" s="131" t="str">
        <x:v>AMORTISSEMENT</x:v>
      </x:c>
      <x:c r="B9" s="131" t="str">
        <x:v>DOT.AMORT.MATERIEL DE BUREAU</x:v>
      </x:c>
      <x:c r="C9" s="131" t="str">
        <x:v>GENERAL</x:v>
      </x:c>
      <x:c r="D9" s="131" t="str">
        <x:v>MGA</x:v>
      </x:c>
      <x:c r="E9" s="132" t="n">
        <x:v>1581915.61</x:v>
      </x:c>
      <x:c r="F9" s="132" t="n">
        <x:v>1581915.61</x:v>
      </x:c>
      <x:c r="G9" s="132" t="n">
        <x:v>1581915.61</x:v>
      </x:c>
      <x:c r="H9" s="132" t="n">
        <x:v>1581915.61</x:v>
      </x:c>
      <x:c r="I9" s="132" t="n">
        <x:v>1581915.61</x:v>
      </x:c>
      <x:c r="J9" s="132" t="n">
        <x:v>1581915.61</x:v>
      </x:c>
      <x:c r="K9" s="132" t="n">
        <x:v>1581915.61</x:v>
      </x:c>
      <x:c r="L9" s="132" t="n">
        <x:v>1581915.61</x:v>
      </x:c>
      <x:c r="M9" s="132" t="n">
        <x:v>1581915.61</x:v>
      </x:c>
      <x:c r="N9" s="132" t="n">
        <x:v>1581915.61</x:v>
      </x:c>
      <x:c r="O9" s="132" t="n">
        <x:v>1581915.61</x:v>
      </x:c>
      <x:c r="P9" s="132" t="n">
        <x:v>1581915.61</x:v>
      </x:c>
      <x:c r="Q9" s="132" t="n">
        <x:f>SUM(E9:P9)</x:f>
        <x:v>18982987.319999997</x:v>
      </x:c>
    </x:row>
    <x:row r="10" ht="21" customHeight="1">
      <x:c r="A10" s="133" t="str">
        <x:v>AMORTISSEMENT</x:v>
      </x:c>
      <x:c r="B10" s="133" t="str">
        <x:v>DOT.AMORT.MATERIEL INFORMATIQUE</x:v>
      </x:c>
      <x:c r="C10" s="133" t="str">
        <x:v>GENERAL</x:v>
      </x:c>
      <x:c r="D10" s="133" t="str">
        <x:v>MGA</x:v>
      </x:c>
      <x:c r="E10" s="134" t="n">
        <x:v>136224.25</x:v>
      </x:c>
      <x:c r="F10" s="134" t="n">
        <x:v>136224.25</x:v>
      </x:c>
      <x:c r="G10" s="134" t="n">
        <x:v>136224.25</x:v>
      </x:c>
      <x:c r="H10" s="134" t="n">
        <x:v>136224.25</x:v>
      </x:c>
      <x:c r="I10" s="134" t="n">
        <x:v>136224.25</x:v>
      </x:c>
      <x:c r="J10" s="134" t="n">
        <x:v>136224.25</x:v>
      </x:c>
      <x:c r="K10" s="134" t="n">
        <x:v>136224.25</x:v>
      </x:c>
      <x:c r="L10" s="134" t="n">
        <x:v>136224.25</x:v>
      </x:c>
      <x:c r="M10" s="134" t="n">
        <x:v>136224.25</x:v>
      </x:c>
      <x:c r="N10" s="134" t="n">
        <x:v>136224.25</x:v>
      </x:c>
      <x:c r="O10" s="134" t="n">
        <x:v>136224.25</x:v>
      </x:c>
      <x:c r="P10" s="134" t="n">
        <x:v>136224.25</x:v>
      </x:c>
      <x:c r="Q10" s="134" t="n">
        <x:f>SUM(E10:P10)</x:f>
        <x:v>1634691</x:v>
      </x:c>
    </x:row>
    <x:row r="11" ht="21" customHeight="1">
      <x:c r="A11" s="131" t="str">
        <x:v>AMORTISSEMENT</x:v>
      </x:c>
      <x:c r="B11" s="131" t="str">
        <x:v>DOT.AMORT.MAT.&amp; MOB.DE LOGEMENT</x:v>
      </x:c>
      <x:c r="C11" s="131" t="str">
        <x:v>GENERAL</x:v>
      </x:c>
      <x:c r="D11" s="131" t="str">
        <x:v>MGA</x:v>
      </x:c>
      <x:c r="E11" s="132" t="n">
        <x:v>224906.65</x:v>
      </x:c>
      <x:c r="F11" s="132" t="n">
        <x:v>224906.65</x:v>
      </x:c>
      <x:c r="G11" s="132" t="n">
        <x:v>224906.65</x:v>
      </x:c>
      <x:c r="H11" s="132" t="n">
        <x:v>224906.65</x:v>
      </x:c>
      <x:c r="I11" s="132" t="n">
        <x:v>224906.65</x:v>
      </x:c>
      <x:c r="J11" s="132" t="n">
        <x:v>224906.65</x:v>
      </x:c>
      <x:c r="K11" s="132" t="n">
        <x:v>224906.65</x:v>
      </x:c>
      <x:c r="L11" s="132" t="n">
        <x:v>224906.65</x:v>
      </x:c>
      <x:c r="M11" s="132" t="n">
        <x:v>224906.65</x:v>
      </x:c>
      <x:c r="N11" s="132" t="n">
        <x:v>224906.65</x:v>
      </x:c>
      <x:c r="O11" s="132" t="n">
        <x:v>224906.65</x:v>
      </x:c>
      <x:c r="P11" s="132" t="n">
        <x:v>224906.65</x:v>
      </x:c>
      <x:c r="Q11" s="132" t="n">
        <x:f>SUM(E11:P11)</x:f>
        <x:v>2698879.7999999993</x:v>
      </x:c>
    </x:row>
    <x:row r="12" ht="21" customHeight="1">
      <x:c r="A12" s="133" t="str">
        <x:v>AMORTISSEMENT</x:v>
      </x:c>
      <x:c r="B12" s="133" t="str">
        <x:v>Autres amortissements</x:v>
      </x:c>
      <x:c r="C12" s="133" t="str">
        <x:v>GENERAL</x:v>
      </x:c>
      <x:c r="D12" s="133" t="str">
        <x:v>MGA</x:v>
      </x:c>
      <x:c r="E12" s="134" t="n">
        <x:v>0</x:v>
      </x:c>
      <x:c r="F12" s="134" t="n">
        <x:v>123472.22</x:v>
      </x:c>
      <x:c r="G12" s="134" t="n">
        <x:v>123472.22</x:v>
      </x:c>
      <x:c r="H12" s="134" t="n">
        <x:v>123472.22</x:v>
      </x:c>
      <x:c r="I12" s="134" t="n">
        <x:v>123472.22</x:v>
      </x:c>
      <x:c r="J12" s="134" t="n">
        <x:v>123472.22</x:v>
      </x:c>
      <x:c r="K12" s="134" t="n">
        <x:v>123472.22</x:v>
      </x:c>
      <x:c r="L12" s="134" t="n">
        <x:v>123472.22</x:v>
      </x:c>
      <x:c r="M12" s="134" t="n">
        <x:v>123472.22</x:v>
      </x:c>
      <x:c r="N12" s="134" t="n">
        <x:v>123472.22</x:v>
      </x:c>
      <x:c r="O12" s="134" t="n">
        <x:v>123472.22</x:v>
      </x:c>
      <x:c r="P12" s="134" t="n">
        <x:v>123472.22</x:v>
      </x:c>
      <x:c r="Q12" s="134" t="n">
        <x:f>SUM(E12:P12)</x:f>
        <x:v>1358194.42</x:v>
      </x:c>
    </x:row>
    <x:row r="13" ht="21" customHeight="1">
      <x:c r="A13" s="131"/>
      <x:c r="B13" s="131"/>
      <x:c r="C13" s="131"/>
      <x:c r="D13" s="131"/>
      <x:c r="E13" s="132"/>
      <x:c r="F13" s="132"/>
      <x:c r="G13" s="132"/>
      <x:c r="H13" s="132"/>
      <x:c r="I13" s="132"/>
      <x:c r="J13" s="132"/>
      <x:c r="K13" s="132"/>
      <x:c r="L13" s="132"/>
      <x:c r="M13" s="132"/>
      <x:c r="N13" s="132"/>
      <x:c r="O13" s="132"/>
      <x:c r="P13" s="132"/>
      <x:c r="Q13" s="132"/>
    </x:row>
    <x:row r="14" ht="21" customHeight="1">
      <x:c r="A14" s="133"/>
      <x:c r="B14" s="133"/>
      <x:c r="C14" s="133"/>
      <x:c r="D14" s="133"/>
      <x:c r="E14" s="134"/>
      <x:c r="F14" s="134"/>
      <x:c r="G14" s="134"/>
      <x:c r="H14" s="134"/>
      <x:c r="I14" s="134"/>
      <x:c r="J14" s="134"/>
      <x:c r="K14" s="134"/>
      <x:c r="L14" s="134"/>
      <x:c r="M14" s="134"/>
      <x:c r="N14" s="134"/>
      <x:c r="O14" s="134"/>
      <x:c r="P14" s="134"/>
      <x:c r="Q14" s="134"/>
    </x:row>
    <x:row r="15" ht="21" customHeight="1">
      <x:c r="A15" s="131"/>
      <x:c r="B15" s="131"/>
      <x:c r="C15" s="131"/>
      <x:c r="D15" s="131"/>
      <x:c r="E15" s="132"/>
      <x:c r="F15" s="132"/>
      <x:c r="G15" s="132"/>
      <x:c r="H15" s="132"/>
      <x:c r="I15" s="132"/>
      <x:c r="J15" s="132"/>
      <x:c r="K15" s="132"/>
      <x:c r="L15" s="132"/>
      <x:c r="M15" s="132"/>
      <x:c r="N15" s="132"/>
      <x:c r="O15" s="132"/>
      <x:c r="P15" s="132"/>
      <x:c r="Q15" s="132"/>
    </x:row>
    <x:row r="16" ht="21" customHeight="1">
      <x:c r="A16" s="133"/>
      <x:c r="B16" s="133"/>
      <x:c r="C16" s="133"/>
      <x:c r="D16" s="133"/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134"/>
      <x:c r="O16" s="134"/>
      <x:c r="P16" s="134"/>
      <x:c r="Q16" s="134"/>
    </x:row>
    <x:row r="17" ht="21" customHeight="1">
      <x:c r="A17" s="131"/>
      <x:c r="B17" s="131"/>
      <x:c r="C17" s="131"/>
      <x:c r="D17" s="131"/>
      <x:c r="E17" s="132"/>
      <x:c r="F17" s="132"/>
      <x:c r="G17" s="132"/>
      <x:c r="H17" s="132"/>
      <x:c r="I17" s="132"/>
      <x:c r="J17" s="132"/>
      <x:c r="K17" s="132"/>
      <x:c r="L17" s="132"/>
      <x:c r="M17" s="132"/>
      <x:c r="N17" s="132"/>
      <x:c r="O17" s="132"/>
      <x:c r="P17" s="132"/>
      <x:c r="Q17" s="132"/>
    </x:row>
    <x:row r="18" ht="21" customHeight="1">
      <x:c r="A18" s="133"/>
      <x:c r="B18" s="133"/>
      <x:c r="C18" s="133"/>
      <x:c r="D18" s="133"/>
      <x:c r="E18" s="134"/>
      <x:c r="F18" s="134"/>
      <x:c r="G18" s="134"/>
      <x:c r="H18" s="134"/>
      <x:c r="I18" s="134"/>
      <x:c r="J18" s="134"/>
      <x:c r="K18" s="134"/>
      <x:c r="L18" s="134"/>
      <x:c r="M18" s="134"/>
      <x:c r="N18" s="134"/>
      <x:c r="O18" s="134"/>
      <x:c r="P18" s="134"/>
      <x:c r="Q18" s="134"/>
    </x:row>
    <x:row r="19" ht="21" customHeight="1">
      <x:c r="A19" s="131"/>
      <x:c r="B19" s="131"/>
      <x:c r="C19" s="131"/>
      <x:c r="D19" s="131"/>
      <x:c r="E19" s="132"/>
      <x:c r="F19" s="132"/>
      <x:c r="G19" s="132"/>
      <x:c r="H19" s="132"/>
      <x:c r="I19" s="132"/>
      <x:c r="J19" s="132"/>
      <x:c r="K19" s="132"/>
      <x:c r="L19" s="132"/>
      <x:c r="M19" s="132"/>
      <x:c r="N19" s="132"/>
      <x:c r="O19" s="132"/>
      <x:c r="P19" s="132"/>
      <x:c r="Q19" s="132"/>
    </x:row>
    <x:row r="20" ht="21" customHeight="1">
      <x:c r="A20" s="133"/>
      <x:c r="B20" s="133"/>
      <x:c r="C20" s="133"/>
      <x:c r="D20" s="133"/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134"/>
      <x:c r="O20" s="134"/>
      <x:c r="P20" s="134"/>
      <x:c r="Q20" s="134"/>
    </x:row>
    <x:row r="21" ht="21" customHeight="1">
      <x:c r="A21" s="131"/>
      <x:c r="B21" s="131"/>
      <x:c r="C21" s="131"/>
      <x:c r="D21" s="131"/>
      <x:c r="E21" s="132"/>
      <x:c r="F21" s="132"/>
      <x:c r="G21" s="132"/>
      <x:c r="H21" s="132"/>
      <x:c r="I21" s="132"/>
      <x:c r="J21" s="132"/>
      <x:c r="K21" s="132"/>
      <x:c r="L21" s="132"/>
      <x:c r="M21" s="132"/>
      <x:c r="N21" s="132"/>
      <x:c r="O21" s="132"/>
      <x:c r="P21" s="132"/>
      <x:c r="Q21" s="132"/>
    </x:row>
    <x:row r="22" ht="21" customHeight="1">
      <x:c r="A22" s="133"/>
      <x:c r="B22" s="133"/>
      <x:c r="C22" s="133"/>
      <x:c r="D22" s="133"/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/>
      <x:c r="O22" s="134"/>
      <x:c r="P22" s="134"/>
      <x:c r="Q22" s="134"/>
    </x:row>
    <x:row r="23" ht="21" customHeight="1">
      <x:c r="A23" s="131"/>
      <x:c r="B23" s="131"/>
      <x:c r="C23" s="131"/>
      <x:c r="D23" s="131"/>
      <x:c r="E23" s="132"/>
      <x:c r="F23" s="132"/>
      <x:c r="G23" s="132"/>
      <x:c r="H23" s="132"/>
      <x:c r="I23" s="132"/>
      <x:c r="J23" s="132"/>
      <x:c r="K23" s="132"/>
      <x:c r="L23" s="132"/>
      <x:c r="M23" s="132"/>
      <x:c r="N23" s="132"/>
      <x:c r="O23" s="132"/>
      <x:c r="P23" s="132"/>
      <x:c r="Q23" s="132"/>
    </x:row>
    <x:row r="24" ht="21" customHeight="1">
      <x:c r="A24" s="133"/>
      <x:c r="B24" s="133"/>
      <x:c r="C24" s="133"/>
      <x:c r="D24" s="133"/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/>
      <x:c r="O24" s="134"/>
      <x:c r="P24" s="134"/>
      <x:c r="Q24" s="134"/>
    </x:row>
    <x:row r="25" ht="21" customHeight="1">
      <x:c r="A25" s="131"/>
      <x:c r="B25" s="131"/>
      <x:c r="C25" s="131"/>
      <x:c r="D25" s="131"/>
      <x:c r="E25" s="132"/>
      <x:c r="F25" s="132"/>
      <x:c r="G25" s="132"/>
      <x:c r="H25" s="132"/>
      <x:c r="I25" s="132"/>
      <x:c r="J25" s="132"/>
      <x:c r="K25" s="132"/>
      <x:c r="L25" s="132"/>
      <x:c r="M25" s="132"/>
      <x:c r="N25" s="132"/>
      <x:c r="O25" s="132"/>
      <x:c r="P25" s="132"/>
      <x:c r="Q25" s="132"/>
    </x:row>
    <x:row r="26" ht="21" customHeight="1">
      <x:c r="A26" s="133"/>
      <x:c r="B26" s="133"/>
      <x:c r="C26" s="133"/>
      <x:c r="D26" s="133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/>
      <x:c r="O26" s="134"/>
      <x:c r="P26" s="134"/>
      <x:c r="Q26" s="134"/>
    </x:row>
    <x:row r="27" ht="21" customHeight="1">
      <x:c r="A27" s="131"/>
      <x:c r="B27" s="131"/>
      <x:c r="C27" s="131"/>
      <x:c r="D27" s="131"/>
      <x:c r="E27" s="132"/>
      <x:c r="F27" s="132"/>
      <x:c r="G27" s="132"/>
      <x:c r="H27" s="132"/>
      <x:c r="I27" s="132"/>
      <x:c r="J27" s="132"/>
      <x:c r="K27" s="132"/>
      <x:c r="L27" s="132"/>
      <x:c r="M27" s="132"/>
      <x:c r="N27" s="132"/>
      <x:c r="O27" s="132"/>
      <x:c r="P27" s="132"/>
      <x:c r="Q27" s="132"/>
    </x:row>
    <x:row r="28" ht="21" customHeight="1">
      <x:c r="A28" s="133"/>
      <x:c r="B28" s="133"/>
      <x:c r="C28" s="133"/>
      <x:c r="D28" s="133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</x:row>
    <x:row r="29" ht="21" customHeight="1">
      <x:c r="A29" s="131"/>
      <x:c r="B29" s="131"/>
      <x:c r="C29" s="131"/>
      <x:c r="D29" s="131"/>
      <x:c r="E29" s="132"/>
      <x:c r="F29" s="132"/>
      <x:c r="G29" s="132"/>
      <x:c r="H29" s="132"/>
      <x:c r="I29" s="132"/>
      <x:c r="J29" s="132"/>
      <x:c r="K29" s="132"/>
      <x:c r="L29" s="132"/>
      <x:c r="M29" s="132"/>
      <x:c r="N29" s="132"/>
      <x:c r="O29" s="132"/>
      <x:c r="P29" s="132"/>
      <x:c r="Q29" s="132"/>
    </x:row>
    <x:row r="30" ht="21" customHeight="1">
      <x:c r="A30" s="133"/>
      <x:c r="B30" s="133"/>
      <x:c r="C30" s="133"/>
      <x:c r="D30" s="133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</x:row>
    <x:row r="31" ht="21" customHeight="1">
      <x:c r="A31" s="131"/>
      <x:c r="B31" s="131"/>
      <x:c r="C31" s="131"/>
      <x:c r="D31" s="131"/>
      <x:c r="E31" s="132"/>
      <x:c r="F31" s="132"/>
      <x:c r="G31" s="132"/>
      <x:c r="H31" s="132"/>
      <x:c r="I31" s="132"/>
      <x:c r="J31" s="132"/>
      <x:c r="K31" s="132"/>
      <x:c r="L31" s="132"/>
      <x:c r="M31" s="132"/>
      <x:c r="N31" s="132"/>
      <x:c r="O31" s="132"/>
      <x:c r="P31" s="132"/>
      <x:c r="Q31" s="132"/>
    </x:row>
    <x:row r="32" ht="21" customHeight="1">
      <x:c r="A32" s="133"/>
      <x:c r="B32" s="133"/>
      <x:c r="C32" s="133"/>
      <x:c r="D32" s="133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</x:row>
    <x:row r="33" ht="21" customHeight="1">
      <x:c r="A33" s="131"/>
      <x:c r="B33" s="131"/>
      <x:c r="C33" s="131"/>
      <x:c r="D33" s="131"/>
      <x:c r="E33" s="132"/>
      <x:c r="F33" s="132"/>
      <x:c r="G33" s="132"/>
      <x:c r="H33" s="132"/>
      <x:c r="I33" s="132"/>
      <x:c r="J33" s="132"/>
      <x:c r="K33" s="132"/>
      <x:c r="L33" s="132"/>
      <x:c r="M33" s="132"/>
      <x:c r="N33" s="132"/>
      <x:c r="O33" s="132"/>
      <x:c r="P33" s="132"/>
      <x:c r="Q33" s="132"/>
    </x:row>
    <x:row r="34" ht="21" customHeight="1">
      <x:c r="A34" s="133"/>
      <x:c r="B34" s="133"/>
      <x:c r="C34" s="133"/>
      <x:c r="D34" s="133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</x:row>
    <x:row r="35" ht="21" customHeight="1">
      <x:c r="A35" s="131"/>
      <x:c r="B35" s="131"/>
      <x:c r="C35" s="131"/>
      <x:c r="D35" s="131"/>
      <x:c r="E35" s="132"/>
      <x:c r="F35" s="132"/>
      <x:c r="G35" s="132"/>
      <x:c r="H35" s="132"/>
      <x:c r="I35" s="132"/>
      <x:c r="J35" s="132"/>
      <x:c r="K35" s="132"/>
      <x:c r="L35" s="132"/>
      <x:c r="M35" s="132"/>
      <x:c r="N35" s="132"/>
      <x:c r="O35" s="132"/>
      <x:c r="P35" s="132"/>
      <x:c r="Q35" s="132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141" t="str">
        <x:v>COMPTE DE RÉSULTAT PAR NATURE — SOMIDA 2020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1" customHeight="1">
      <x:c r="A2" s="143" t="str">
        <x:v>Montants en MGA</x:v>
      </x:c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  <x:c r="M2" s="143"/>
      <x:c r="N2" s="143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</x:row>
    <x:row r="4" ht="25" customHeight="1">
      <x:c r="A4" s="147" t="str">
        <x:v>Rubriques</x:v>
      </x:c>
      <x:c r="B4" s="146" t="str">
        <x:v>Janvier</x:v>
      </x:c>
      <x:c r="C4" s="146" t="str">
        <x:v>Février</x:v>
      </x:c>
      <x:c r="D4" s="146" t="str">
        <x:v>Mars</x:v>
      </x:c>
      <x:c r="E4" s="146" t="str">
        <x:v>Avril</x:v>
      </x:c>
      <x:c r="F4" s="146" t="str">
        <x:v>Mai</x:v>
      </x:c>
      <x:c r="G4" s="146" t="str">
        <x:v>Juin</x:v>
      </x:c>
      <x:c r="H4" s="146" t="str">
        <x:v>Juillet</x:v>
      </x:c>
      <x:c r="I4" s="146" t="str">
        <x:v>Août</x:v>
      </x:c>
      <x:c r="J4" s="146" t="str">
        <x:v>Septembre</x:v>
      </x:c>
      <x:c r="K4" s="146" t="str">
        <x:v>Octobre</x:v>
      </x:c>
      <x:c r="L4" s="146" t="str">
        <x:v>Novembre</x:v>
      </x:c>
      <x:c r="M4" s="146" t="str">
        <x:v>Décembre</x:v>
      </x:c>
      <x:c r="N4" s="146" t="str">
        <x:v>Total annuel</x:v>
      </x:c>
    </x:row>
    <x:row r="5">
      <x:c r="A5" s="137" t="str">
        <x:v>Chiffre d'affaires</x:v>
      </x:c>
      <x:c r="B5" s="138" t="n">
        <x:f>Synthese!C2</x:f>
        <x:v>1407824424.3000002</x:v>
      </x:c>
      <x:c r="C5" s="138" t="n">
        <x:f>Synthese!D2</x:f>
        <x:v>1450212050.85</x:v>
      </x:c>
      <x:c r="D5" s="138" t="n">
        <x:f>Synthese!E2</x:f>
        <x:v>1374179317.05</x:v>
      </x:c>
      <x:c r="E5" s="138" t="n">
        <x:f>Synthese!F2</x:f>
        <x:v>1470182357.4000003</x:v>
      </x:c>
      <x:c r="F5" s="138" t="n">
        <x:f>Synthese!G2</x:f>
        <x:v>1478874148.5</x:v>
      </x:c>
      <x:c r="G5" s="138" t="n">
        <x:f>Synthese!H2</x:f>
        <x:v>1450781128.3500001</x:v>
      </x:c>
      <x:c r="H5" s="138" t="n">
        <x:f>Synthese!I2</x:f>
        <x:v>1471539289.65</x:v>
      </x:c>
      <x:c r="I5" s="138" t="n">
        <x:f>Synthese!J2</x:f>
        <x:v>1505454135.9</x:v>
      </x:c>
      <x:c r="J5" s="138" t="n">
        <x:f>Synthese!K2</x:f>
        <x:v>1481040116.0999997</x:v>
      </x:c>
      <x:c r="K5" s="138" t="n">
        <x:f>Synthese!L2</x:f>
        <x:v>1476042969.1499999</x:v>
      </x:c>
      <x:c r="L5" s="138" t="n">
        <x:f>Synthese!M2</x:f>
        <x:v>1494472733.2499998</x:v>
      </x:c>
      <x:c r="M5" s="138" t="n">
        <x:f>Synthese!N2</x:f>
        <x:v>1508700238.8</x:v>
      </x:c>
      <x:c r="N5" s="138" t="n">
        <x:f>SUM(B5:M5)</x:f>
        <x:v>17569302909.3</x:v>
      </x:c>
    </x:row>
    <x:row r="6">
      <x:c r="A6" s="148" t="str">
        <x:v>Production stockée</x:v>
      </x:c>
      <x:c r="B6" s="149" t="n">
        <x:f>0</x:f>
        <x:v>0</x:v>
      </x:c>
      <x:c r="C6" s="149" t="n">
        <x:f>0</x:f>
        <x:v>0</x:v>
      </x:c>
      <x:c r="D6" s="149" t="n">
        <x:f>0</x:f>
        <x:v>0</x:v>
      </x:c>
      <x:c r="E6" s="149" t="n">
        <x:f>0</x:f>
        <x:v>0</x:v>
      </x:c>
      <x:c r="F6" s="149" t="n">
        <x:f>0</x:f>
        <x:v>0</x:v>
      </x:c>
      <x:c r="G6" s="149" t="n">
        <x:f>0</x:f>
        <x:v>0</x:v>
      </x:c>
      <x:c r="H6" s="149" t="n">
        <x:f>0</x:f>
        <x:v>0</x:v>
      </x:c>
      <x:c r="I6" s="149" t="n">
        <x:f>0</x:f>
        <x:v>0</x:v>
      </x:c>
      <x:c r="J6" s="149" t="n">
        <x:f>0</x:f>
        <x:v>0</x:v>
      </x:c>
      <x:c r="K6" s="149" t="n">
        <x:f>0</x:f>
        <x:v>0</x:v>
      </x:c>
      <x:c r="L6" s="149" t="n">
        <x:f>0</x:f>
        <x:v>0</x:v>
      </x:c>
      <x:c r="M6" s="149" t="n">
        <x:f>0</x:f>
        <x:v>0</x:v>
      </x:c>
      <x:c r="N6" s="149" t="n">
        <x:f>SUM(B6:M6)</x:f>
        <x:v>0</x:v>
      </x:c>
    </x:row>
    <x:row r="7">
      <x:c r="A7" s="137" t="str">
        <x:v>Production immobilisée</x:v>
      </x:c>
      <x:c r="B7" s="138" t="n">
        <x:f>0</x:f>
        <x:v>0</x:v>
      </x:c>
      <x:c r="C7" s="138" t="n">
        <x:f>0</x:f>
        <x:v>0</x:v>
      </x:c>
      <x:c r="D7" s="138" t="n">
        <x:f>0</x:f>
        <x:v>0</x:v>
      </x:c>
      <x:c r="E7" s="138" t="n">
        <x:f>0</x:f>
        <x:v>0</x:v>
      </x:c>
      <x:c r="F7" s="138" t="n">
        <x:f>0</x:f>
        <x:v>0</x:v>
      </x:c>
      <x:c r="G7" s="138" t="n">
        <x:f>0</x:f>
        <x:v>0</x:v>
      </x:c>
      <x:c r="H7" s="138" t="n">
        <x:f>0</x:f>
        <x:v>0</x:v>
      </x:c>
      <x:c r="I7" s="138" t="n">
        <x:f>0</x:f>
        <x:v>0</x:v>
      </x:c>
      <x:c r="J7" s="138" t="n">
        <x:f>0</x:f>
        <x:v>0</x:v>
      </x:c>
      <x:c r="K7" s="138" t="n">
        <x:f>0</x:f>
        <x:v>0</x:v>
      </x:c>
      <x:c r="L7" s="138" t="n">
        <x:f>0</x:f>
        <x:v>0</x:v>
      </x:c>
      <x:c r="M7" s="138" t="n">
        <x:f>0</x:f>
        <x:v>0</x:v>
      </x:c>
      <x:c r="N7" s="138" t="n">
        <x:f>SUM(B7:M7)</x:f>
        <x:v>0</x:v>
      </x:c>
    </x:row>
    <x:row r="8" ht="23" customHeight="1">
      <x:c r="A8" s="152" t="str">
        <x:v>I. PRODUCTION DE L'EXERCICE</x:v>
      </x:c>
      <x:c r="B8" s="153" t="n">
        <x:f>SUM(B5:B7)</x:f>
        <x:v>1407824424.3000002</x:v>
      </x:c>
      <x:c r="C8" s="153" t="n">
        <x:f>SUM(C5:C7)</x:f>
        <x:v>1450212050.85</x:v>
      </x:c>
      <x:c r="D8" s="153" t="n">
        <x:f>SUM(D5:D7)</x:f>
        <x:v>1374179317.05</x:v>
      </x:c>
      <x:c r="E8" s="153" t="n">
        <x:f>SUM(E5:E7)</x:f>
        <x:v>1470182357.4000003</x:v>
      </x:c>
      <x:c r="F8" s="153" t="n">
        <x:f>SUM(F5:F7)</x:f>
        <x:v>1478874148.5</x:v>
      </x:c>
      <x:c r="G8" s="153" t="n">
        <x:f>SUM(G5:G7)</x:f>
        <x:v>1450781128.3500001</x:v>
      </x:c>
      <x:c r="H8" s="153" t="n">
        <x:f>SUM(H5:H7)</x:f>
        <x:v>1471539289.65</x:v>
      </x:c>
      <x:c r="I8" s="153" t="n">
        <x:f>SUM(I5:I7)</x:f>
        <x:v>1505454135.9</x:v>
      </x:c>
      <x:c r="J8" s="153" t="n">
        <x:f>SUM(J5:J7)</x:f>
        <x:v>1481040116.0999997</x:v>
      </x:c>
      <x:c r="K8" s="153" t="n">
        <x:f>SUM(K5:K7)</x:f>
        <x:v>1476042969.1499999</x:v>
      </x:c>
      <x:c r="L8" s="153" t="n">
        <x:f>SUM(L5:L7)</x:f>
        <x:v>1494472733.2499998</x:v>
      </x:c>
      <x:c r="M8" s="153" t="n">
        <x:f>SUM(M5:M7)</x:f>
        <x:v>1508700238.8</x:v>
      </x:c>
      <x:c r="N8" s="153" t="n">
        <x:f>SUM(B8:M8)</x:f>
        <x:v>17569302909.3</x:v>
      </x:c>
    </x:row>
    <x:row r="9">
      <x:c r="A9" s="137" t="str">
        <x:v>Achats consommés / charges directes de production</x:v>
      </x:c>
      <x:c r="B9" s="138" t="n">
        <x:f>SUMIF(Charges!$A$2:$A$40,"PRODUCTION",Charges!$E$2:$E$40)</x:f>
        <x:v>336903250</x:v>
      </x:c>
      <x:c r="C9" s="138" t="n">
        <x:f>SUMIF(Charges!$A$2:$A$40,"PRODUCTION",Charges!$F$2:$F$40)</x:f>
        <x:v>317459600</x:v>
      </x:c>
      <x:c r="D9" s="138" t="n">
        <x:f>SUMIF(Charges!$A$2:$A$40,"PRODUCTION",Charges!$G$2:$G$40)</x:f>
        <x:v>350726700</x:v>
      </x:c>
      <x:c r="E9" s="138" t="n">
        <x:f>SUMIF(Charges!$A$2:$A$40,"PRODUCTION",Charges!$H$2:$H$40)</x:f>
        <x:v>326811400</x:v>
      </x:c>
      <x:c r="F9" s="138" t="n">
        <x:f>SUMIF(Charges!$A$2:$A$40,"PRODUCTION",Charges!$I$2:$I$40)</x:f>
        <x:v>320069250</x:v>
      </x:c>
      <x:c r="G9" s="138" t="n">
        <x:f>SUMIF(Charges!$A$2:$A$40,"PRODUCTION",Charges!$J$2:$J$40)</x:f>
        <x:v>335181850</x:v>
      </x:c>
      <x:c r="H9" s="138" t="n">
        <x:f>SUMIF(Charges!$A$2:$A$40,"PRODUCTION",Charges!$K$2:$K$40)</x:f>
        <x:v>320081600</x:v>
      </x:c>
      <x:c r="I9" s="138" t="n">
        <x:f>SUMIF(Charges!$A$2:$A$40,"PRODUCTION",Charges!$L$2:$L$40)</x:f>
        <x:v>348528400</x:v>
      </x:c>
      <x:c r="J9" s="138" t="n">
        <x:f>SUMIF(Charges!$A$2:$A$40,"PRODUCTION",Charges!$M$2:$M$40)</x:f>
        <x:v>324165650</x:v>
      </x:c>
      <x:c r="K9" s="138" t="n">
        <x:f>SUMIF(Charges!$A$2:$A$40,"PRODUCTION",Charges!$N$2:$N$40)</x:f>
        <x:v>330436600</x:v>
      </x:c>
      <x:c r="L9" s="138" t="n">
        <x:f>SUMIF(Charges!$A$2:$A$40,"PRODUCTION",Charges!$O$2:$O$40)</x:f>
        <x:v>332607350</x:v>
      </x:c>
      <x:c r="M9" s="138" t="n">
        <x:f>SUMIF(Charges!$A$2:$A$40,"PRODUCTION",Charges!$P$2:$P$40)</x:f>
        <x:v>334501650</x:v>
      </x:c>
      <x:c r="N9" s="138" t="n">
        <x:f>SUM(B9:M9)</x:f>
        <x:v>3977473300</x:v>
      </x:c>
    </x:row>
    <x:row r="10">
      <x:c r="A10" s="148" t="str">
        <x:v>Services extérieurs et autres consommations</x:v>
      </x:c>
      <x:c r="B10" s="149" t="n">
        <x:f>SUMIF(Charges!$A$2:$A$40,"ADMINISTRATION",Charges!$E$2:$E$40)+SUMIF(Charges!$A$2:$A$40,"LOGISTIQUE",Charges!$E$2:$E$40)+SUMIF(Charges!$A$2:$A$40,"SECURITE",Charges!$E$2:$E$40)+SUM('Frais Export'!$E$2:$E$50)</x:f>
        <x:v>342761450</x:v>
      </x:c>
      <x:c r="C10" s="149" t="n">
        <x:f>SUMIF(Charges!$A$2:$A$40,"ADMINISTRATION",Charges!$F$2:$F$40)+SUMIF(Charges!$A$2:$A$40,"LOGISTIQUE",Charges!$F$2:$F$40)+SUMIF(Charges!$A$2:$A$40,"SECURITE",Charges!$F$2:$F$40)+SUM('Frais Export'!$F$2:$F$50)</x:f>
        <x:v>327833300</x:v>
      </x:c>
      <x:c r="D10" s="149" t="n">
        <x:f>SUMIF(Charges!$A$2:$A$40,"ADMINISTRATION",Charges!$G$2:$G$40)+SUMIF(Charges!$A$2:$A$40,"LOGISTIQUE",Charges!$G$2:$G$40)+SUMIF(Charges!$A$2:$A$40,"SECURITE",Charges!$G$2:$G$40)+SUM('Frais Export'!$G$2:$G$50)</x:f>
        <x:v>345774300</x:v>
      </x:c>
      <x:c r="E10" s="149" t="n">
        <x:f>SUMIF(Charges!$A$2:$A$40,"ADMINISTRATION",Charges!$H$2:$H$40)+SUMIF(Charges!$A$2:$A$40,"LOGISTIQUE",Charges!$H$2:$H$40)+SUMIF(Charges!$A$2:$A$40,"SECURITE",Charges!$H$2:$H$40)+SUM('Frais Export'!$H$2:$H$50)</x:f>
        <x:v>348130750</x:v>
      </x:c>
      <x:c r="F10" s="149" t="n">
        <x:f>SUMIF(Charges!$A$2:$A$40,"ADMINISTRATION",Charges!$I$2:$I$40)+SUMIF(Charges!$A$2:$A$40,"LOGISTIQUE",Charges!$I$2:$I$40)+SUMIF(Charges!$A$2:$A$40,"SECURITE",Charges!$I$2:$I$40)+SUM('Frais Export'!$I$2:$I$50)</x:f>
        <x:v>341978950</x:v>
      </x:c>
      <x:c r="G10" s="149" t="n">
        <x:f>SUMIF(Charges!$A$2:$A$40,"ADMINISTRATION",Charges!$J$2:$J$40)+SUMIF(Charges!$A$2:$A$40,"LOGISTIQUE",Charges!$J$2:$J$40)+SUMIF(Charges!$A$2:$A$40,"SECURITE",Charges!$J$2:$J$40)+SUM('Frais Export'!$J$2:$J$50)</x:f>
        <x:v>360977500</x:v>
      </x:c>
      <x:c r="H10" s="149" t="n">
        <x:f>SUMIF(Charges!$A$2:$A$40,"ADMINISTRATION",Charges!$K$2:$K$40)+SUMIF(Charges!$A$2:$A$40,"LOGISTIQUE",Charges!$K$2:$K$40)+SUMIF(Charges!$A$2:$A$40,"SECURITE",Charges!$K$2:$K$40)+SUM('Frais Export'!$K$2:$K$50)</x:f>
        <x:v>336112750</x:v>
      </x:c>
      <x:c r="I10" s="149" t="n">
        <x:f>SUMIF(Charges!$A$2:$A$40,"ADMINISTRATION",Charges!$L$2:$L$40)+SUMIF(Charges!$A$2:$A$40,"LOGISTIQUE",Charges!$L$2:$L$40)+SUMIF(Charges!$A$2:$A$40,"SECURITE",Charges!$L$2:$L$40)+SUM('Frais Export'!$L$2:$L$50)</x:f>
        <x:v>354253750</x:v>
      </x:c>
      <x:c r="J10" s="149" t="n">
        <x:f>SUMIF(Charges!$A$2:$A$40,"ADMINISTRATION",Charges!$M$2:$M$40)+SUMIF(Charges!$A$2:$A$40,"LOGISTIQUE",Charges!$M$2:$M$40)+SUMIF(Charges!$A$2:$A$40,"SECURITE",Charges!$M$2:$M$40)+SUM('Frais Export'!$M$2:$M$50)</x:f>
        <x:v>342006050</x:v>
      </x:c>
      <x:c r="K10" s="149" t="n">
        <x:f>SUMIF(Charges!$A$2:$A$40,"ADMINISTRATION",Charges!$N$2:$N$40)+SUMIF(Charges!$A$2:$A$40,"LOGISTIQUE",Charges!$N$2:$N$40)+SUMIF(Charges!$A$2:$A$40,"SECURITE",Charges!$N$2:$N$40)+SUM('Frais Export'!$N$2:$N$50)</x:f>
        <x:v>344928350</x:v>
      </x:c>
      <x:c r="L10" s="149" t="n">
        <x:f>SUMIF(Charges!$A$2:$A$40,"ADMINISTRATION",Charges!$O$2:$O$40)+SUMIF(Charges!$A$2:$A$40,"LOGISTIQUE",Charges!$O$2:$O$40)+SUMIF(Charges!$A$2:$A$40,"SECURITE",Charges!$O$2:$O$40)+SUM('Frais Export'!$O$2:$O$50)</x:f>
        <x:v>338306650</x:v>
      </x:c>
      <x:c r="M10" s="149" t="n">
        <x:f>SUMIF(Charges!$A$2:$A$40,"ADMINISTRATION",Charges!$P$2:$P$40)+SUMIF(Charges!$A$2:$A$40,"LOGISTIQUE",Charges!$P$2:$P$40)+SUMIF(Charges!$A$2:$A$40,"SECURITE",Charges!$P$2:$P$40)+SUM('Frais Export'!$P$2:$P$50)</x:f>
        <x:v>352539400</x:v>
      </x:c>
      <x:c r="N10" s="149" t="n">
        <x:f>SUM(B10:M10)</x:f>
        <x:v>4135603200</x:v>
      </x:c>
    </x:row>
    <x:row r="11" ht="23" customHeight="1">
      <x:c r="A11" s="152" t="str">
        <x:v>II. CONSOMMATION DE L'EXERCICE</x:v>
      </x:c>
      <x:c r="B11" s="153" t="n">
        <x:f>SUM(B9:B10)</x:f>
        <x:v>679664700</x:v>
      </x:c>
      <x:c r="C11" s="153" t="n">
        <x:f>SUM(C9:C10)</x:f>
        <x:v>645292900</x:v>
      </x:c>
      <x:c r="D11" s="153" t="n">
        <x:f>SUM(D9:D10)</x:f>
        <x:v>696501000</x:v>
      </x:c>
      <x:c r="E11" s="153" t="n">
        <x:f>SUM(E9:E10)</x:f>
        <x:v>674942150</x:v>
      </x:c>
      <x:c r="F11" s="153" t="n">
        <x:f>SUM(F9:F10)</x:f>
        <x:v>662048200</x:v>
      </x:c>
      <x:c r="G11" s="153" t="n">
        <x:f>SUM(G9:G10)</x:f>
        <x:v>696159350</x:v>
      </x:c>
      <x:c r="H11" s="153" t="n">
        <x:f>SUM(H9:H10)</x:f>
        <x:v>656194350</x:v>
      </x:c>
      <x:c r="I11" s="153" t="n">
        <x:f>SUM(I9:I10)</x:f>
        <x:v>702782150</x:v>
      </x:c>
      <x:c r="J11" s="153" t="n">
        <x:f>SUM(J9:J10)</x:f>
        <x:v>666171700</x:v>
      </x:c>
      <x:c r="K11" s="153" t="n">
        <x:f>SUM(K9:K10)</x:f>
        <x:v>675364950</x:v>
      </x:c>
      <x:c r="L11" s="153" t="n">
        <x:f>SUM(L9:L10)</x:f>
        <x:v>670914000</x:v>
      </x:c>
      <x:c r="M11" s="153" t="n">
        <x:f>SUM(M9:M10)</x:f>
        <x:v>687041050</x:v>
      </x:c>
      <x:c r="N11" s="153" t="n">
        <x:f>SUM(B11:M11)</x:f>
        <x:v>8113076500</x:v>
      </x:c>
    </x:row>
    <x:row r="12" ht="23" customHeight="1">
      <x:c r="A12" s="152" t="str">
        <x:v>III. VALEUR AJOUTÉE D'EXPLOITATION (I-II)</x:v>
      </x:c>
      <x:c r="B12" s="153" t="n">
        <x:f>B8-B11</x:f>
        <x:v>728159724.3000002</x:v>
      </x:c>
      <x:c r="C12" s="153" t="n">
        <x:f>C8-C11</x:f>
        <x:v>804919150.8499999</x:v>
      </x:c>
      <x:c r="D12" s="153" t="n">
        <x:f>D8-D11</x:f>
        <x:v>677678317.05</x:v>
      </x:c>
      <x:c r="E12" s="153" t="n">
        <x:f>E8-E11</x:f>
        <x:v>795240207.4000003</x:v>
      </x:c>
      <x:c r="F12" s="153" t="n">
        <x:f>F8-F11</x:f>
        <x:v>816825948.5</x:v>
      </x:c>
      <x:c r="G12" s="153" t="n">
        <x:f>G8-G11</x:f>
        <x:v>754621778.3500001</x:v>
      </x:c>
      <x:c r="H12" s="153" t="n">
        <x:f>H8-H11</x:f>
        <x:v>815344939.6500001</x:v>
      </x:c>
      <x:c r="I12" s="153" t="n">
        <x:f>I8-I11</x:f>
        <x:v>802671985.9000001</x:v>
      </x:c>
      <x:c r="J12" s="153" t="n">
        <x:f>J8-J11</x:f>
        <x:v>814868416.0999997</x:v>
      </x:c>
      <x:c r="K12" s="153" t="n">
        <x:f>K8-K11</x:f>
        <x:v>800678019.1499999</x:v>
      </x:c>
      <x:c r="L12" s="153" t="n">
        <x:f>L8-L11</x:f>
        <x:v>823558733.2499998</x:v>
      </x:c>
      <x:c r="M12" s="153" t="n">
        <x:f>M8-M11</x:f>
        <x:v>821659188.8</x:v>
      </x:c>
      <x:c r="N12" s="153" t="n">
        <x:f>SUM(B12:M12)</x:f>
        <x:v>9456226409.299997</x:v>
      </x:c>
    </x:row>
    <x:row r="13">
      <x:c r="A13" s="137" t="str">
        <x:v>Subventions d'exploitation</x:v>
      </x:c>
      <x:c r="B13" s="138" t="n">
        <x:f>0</x:f>
        <x:v>0</x:v>
      </x:c>
      <x:c r="C13" s="138" t="n">
        <x:f>0</x:f>
        <x:v>0</x:v>
      </x:c>
      <x:c r="D13" s="138" t="n">
        <x:f>0</x:f>
        <x:v>0</x:v>
      </x:c>
      <x:c r="E13" s="138" t="n">
        <x:f>0</x:f>
        <x:v>0</x:v>
      </x:c>
      <x:c r="F13" s="138" t="n">
        <x:f>0</x:f>
        <x:v>0</x:v>
      </x:c>
      <x:c r="G13" s="138" t="n">
        <x:f>0</x:f>
        <x:v>0</x:v>
      </x:c>
      <x:c r="H13" s="138" t="n">
        <x:f>0</x:f>
        <x:v>0</x:v>
      </x:c>
      <x:c r="I13" s="138" t="n">
        <x:f>0</x:f>
        <x:v>0</x:v>
      </x:c>
      <x:c r="J13" s="138" t="n">
        <x:f>0</x:f>
        <x:v>0</x:v>
      </x:c>
      <x:c r="K13" s="138" t="n">
        <x:f>0</x:f>
        <x:v>0</x:v>
      </x:c>
      <x:c r="L13" s="138" t="n">
        <x:f>0</x:f>
        <x:v>0</x:v>
      </x:c>
      <x:c r="M13" s="138" t="n">
        <x:f>0</x:f>
        <x:v>0</x:v>
      </x:c>
      <x:c r="N13" s="138" t="n">
        <x:f>SUM(B13:M13)</x:f>
        <x:v>0</x:v>
      </x:c>
    </x:row>
    <x:row r="14">
      <x:c r="A14" s="148" t="str">
        <x:v>Impôts, taxes et versements assimilés</x:v>
      </x:c>
      <x:c r="B14" s="149" t="n">
        <x:f>SUMIF(Charges!$A$2:$A$40,"FISCAL",Charges!$E$2:$E$40)</x:f>
        <x:v>27781800</x:v>
      </x:c>
      <x:c r="C14" s="149" t="n">
        <x:f>SUMIF(Charges!$A$2:$A$40,"FISCAL",Charges!$F$2:$F$40)</x:f>
        <x:v>25652850</x:v>
      </x:c>
      <x:c r="D14" s="149" t="n">
        <x:f>SUMIF(Charges!$A$2:$A$40,"FISCAL",Charges!$G$2:$G$40)</x:f>
        <x:v>24094850</x:v>
      </x:c>
      <x:c r="E14" s="149" t="n">
        <x:f>SUMIF(Charges!$A$2:$A$40,"FISCAL",Charges!$H$2:$H$40)</x:f>
        <x:v>24390300</x:v>
      </x:c>
      <x:c r="F14" s="149" t="n">
        <x:f>SUMIF(Charges!$A$2:$A$40,"FISCAL",Charges!$I$2:$I$40)</x:f>
        <x:v>29785350</x:v>
      </x:c>
      <x:c r="G14" s="149" t="n">
        <x:f>SUMIF(Charges!$A$2:$A$40,"FISCAL",Charges!$J$2:$J$40)</x:f>
        <x:v>28526600</x:v>
      </x:c>
      <x:c r="H14" s="149" t="n">
        <x:f>SUMIF(Charges!$A$2:$A$40,"FISCAL",Charges!$K$2:$K$40)</x:f>
        <x:v>24306700</x:v>
      </x:c>
      <x:c r="I14" s="149" t="n">
        <x:f>SUMIF(Charges!$A$2:$A$40,"FISCAL",Charges!$L$2:$L$40)</x:f>
        <x:v>30082700</x:v>
      </x:c>
      <x:c r="J14" s="149" t="n">
        <x:f>SUMIF(Charges!$A$2:$A$40,"FISCAL",Charges!$M$2:$M$40)</x:f>
        <x:v>29878450</x:v>
      </x:c>
      <x:c r="K14" s="149" t="n">
        <x:f>SUMIF(Charges!$A$2:$A$40,"FISCAL",Charges!$N$2:$N$40)</x:f>
        <x:v>24509050</x:v>
      </x:c>
      <x:c r="L14" s="149" t="n">
        <x:f>SUMIF(Charges!$A$2:$A$40,"FISCAL",Charges!$O$2:$O$40)</x:f>
        <x:v>25808650</x:v>
      </x:c>
      <x:c r="M14" s="149" t="n">
        <x:f>SUMIF(Charges!$A$2:$A$40,"FISCAL",Charges!$P$2:$P$40)</x:f>
        <x:v>30208100</x:v>
      </x:c>
      <x:c r="N14" s="149" t="n">
        <x:f>SUM(B14:M14)</x:f>
        <x:v>325025400</x:v>
      </x:c>
    </x:row>
    <x:row r="15">
      <x:c r="A15" s="137" t="str">
        <x:v>Charges de personnel</x:v>
      </x:c>
      <x:c r="B15" s="138" t="n">
        <x:f>Synthese!C5</x:f>
        <x:v>218496661</x:v>
      </x:c>
      <x:c r="C15" s="138" t="n">
        <x:f>Synthese!D5</x:f>
        <x:v>218496661</x:v>
      </x:c>
      <x:c r="D15" s="138" t="n">
        <x:f>Synthese!E5</x:f>
        <x:v>218496661</x:v>
      </x:c>
      <x:c r="E15" s="138" t="n">
        <x:f>Synthese!F5</x:f>
        <x:v>218496661</x:v>
      </x:c>
      <x:c r="F15" s="138" t="n">
        <x:f>Synthese!G5</x:f>
        <x:v>218496661</x:v>
      </x:c>
      <x:c r="G15" s="138" t="n">
        <x:f>Synthese!H5</x:f>
        <x:v>218496661</x:v>
      </x:c>
      <x:c r="H15" s="138" t="n">
        <x:f>Synthese!I5</x:f>
        <x:v>218496661</x:v>
      </x:c>
      <x:c r="I15" s="138" t="n">
        <x:f>Synthese!J5</x:f>
        <x:v>218496661</x:v>
      </x:c>
      <x:c r="J15" s="138" t="n">
        <x:f>Synthese!K5</x:f>
        <x:v>218496661</x:v>
      </x:c>
      <x:c r="K15" s="138" t="n">
        <x:f>Synthese!L5</x:f>
        <x:v>218496661</x:v>
      </x:c>
      <x:c r="L15" s="138" t="n">
        <x:f>Synthese!M5</x:f>
        <x:v>218496661</x:v>
      </x:c>
      <x:c r="M15" s="138" t="n">
        <x:f>Synthese!N5</x:f>
        <x:v>218496661</x:v>
      </x:c>
      <x:c r="N15" s="138" t="n">
        <x:f>SUM(B15:M15)</x:f>
        <x:v>2621959932</x:v>
      </x:c>
    </x:row>
    <x:row r="16" ht="23" customHeight="1">
      <x:c r="A16" s="152" t="str">
        <x:v>IV. EXCÉDENT BRUT D'EXPLOITATION</x:v>
      </x:c>
      <x:c r="B16" s="153" t="n">
        <x:f>B12+B13-B14-B15</x:f>
        <x:v>481881263.3000002</x:v>
      </x:c>
      <x:c r="C16" s="153" t="n">
        <x:f>C12+C13-C14-C15</x:f>
        <x:v>560769639.8499999</x:v>
      </x:c>
      <x:c r="D16" s="153" t="n">
        <x:f>D12+D13-D14-D15</x:f>
        <x:v>435086806.04999995</x:v>
      </x:c>
      <x:c r="E16" s="153" t="n">
        <x:f>E12+E13-E14-E15</x:f>
        <x:v>552353246.4000003</x:v>
      </x:c>
      <x:c r="F16" s="153" t="n">
        <x:f>F12+F13-F14-F15</x:f>
        <x:v>568543937.5</x:v>
      </x:c>
      <x:c r="G16" s="153" t="n">
        <x:f>G12+G13-G14-G15</x:f>
        <x:v>507598517.35000014</x:v>
      </x:c>
      <x:c r="H16" s="153" t="n">
        <x:f>H12+H13-H14-H15</x:f>
        <x:v>572541578.6500001</x:v>
      </x:c>
      <x:c r="I16" s="153" t="n">
        <x:f>I12+I13-I14-I15</x:f>
        <x:v>554092624.9000001</x:v>
      </x:c>
      <x:c r="J16" s="153" t="n">
        <x:f>J12+J13-J14-J15</x:f>
        <x:v>566493305.0999997</x:v>
      </x:c>
      <x:c r="K16" s="153" t="n">
        <x:f>K12+K13-K14-K15</x:f>
        <x:v>557672308.1499999</x:v>
      </x:c>
      <x:c r="L16" s="153" t="n">
        <x:f>L12+L13-L14-L15</x:f>
        <x:v>579253422.2499998</x:v>
      </x:c>
      <x:c r="M16" s="153" t="n">
        <x:f>M12+M13-M14-M15</x:f>
        <x:v>572954427.8</x:v>
      </x:c>
      <x:c r="N16" s="153" t="n">
        <x:f>SUM(B16:M16)</x:f>
        <x:v>6509241077.3</x:v>
      </x:c>
    </x:row>
    <x:row r="17">
      <x:c r="A17" s="137" t="str">
        <x:v>Autres produits opérationnels</x:v>
      </x:c>
      <x:c r="B17" s="138" t="n">
        <x:f>0</x:f>
        <x:v>0</x:v>
      </x:c>
      <x:c r="C17" s="138" t="n">
        <x:f>0</x:f>
        <x:v>0</x:v>
      </x:c>
      <x:c r="D17" s="138" t="n">
        <x:f>0</x:f>
        <x:v>0</x:v>
      </x:c>
      <x:c r="E17" s="138" t="n">
        <x:f>0</x:f>
        <x:v>0</x:v>
      </x:c>
      <x:c r="F17" s="138" t="n">
        <x:f>0</x:f>
        <x:v>0</x:v>
      </x:c>
      <x:c r="G17" s="138" t="n">
        <x:f>0</x:f>
        <x:v>0</x:v>
      </x:c>
      <x:c r="H17" s="138" t="n">
        <x:f>0</x:f>
        <x:v>0</x:v>
      </x:c>
      <x:c r="I17" s="138" t="n">
        <x:f>0</x:f>
        <x:v>0</x:v>
      </x:c>
      <x:c r="J17" s="138" t="n">
        <x:f>0</x:f>
        <x:v>0</x:v>
      </x:c>
      <x:c r="K17" s="138" t="n">
        <x:f>0</x:f>
        <x:v>0</x:v>
      </x:c>
      <x:c r="L17" s="138" t="n">
        <x:f>0</x:f>
        <x:v>0</x:v>
      </x:c>
      <x:c r="M17" s="138" t="n">
        <x:f>0</x:f>
        <x:v>0</x:v>
      </x:c>
      <x:c r="N17" s="138" t="n">
        <x:f>SUM(B17:M17)</x:f>
        <x:v>0</x:v>
      </x:c>
    </x:row>
    <x:row r="18">
      <x:c r="A18" s="148" t="str">
        <x:v>Autres charges opérationnelles</x:v>
      </x:c>
      <x:c r="B18" s="149" t="n">
        <x:f>0</x:f>
        <x:v>0</x:v>
      </x:c>
      <x:c r="C18" s="149" t="n">
        <x:f>0</x:f>
        <x:v>0</x:v>
      </x:c>
      <x:c r="D18" s="149" t="n">
        <x:f>0</x:f>
        <x:v>0</x:v>
      </x:c>
      <x:c r="E18" s="149" t="n">
        <x:f>0</x:f>
        <x:v>0</x:v>
      </x:c>
      <x:c r="F18" s="149" t="n">
        <x:f>0</x:f>
        <x:v>0</x:v>
      </x:c>
      <x:c r="G18" s="149" t="n">
        <x:f>0</x:f>
        <x:v>0</x:v>
      </x:c>
      <x:c r="H18" s="149" t="n">
        <x:f>0</x:f>
        <x:v>0</x:v>
      </x:c>
      <x:c r="I18" s="149" t="n">
        <x:f>0</x:f>
        <x:v>0</x:v>
      </x:c>
      <x:c r="J18" s="149" t="n">
        <x:f>0</x:f>
        <x:v>0</x:v>
      </x:c>
      <x:c r="K18" s="149" t="n">
        <x:f>0</x:f>
        <x:v>0</x:v>
      </x:c>
      <x:c r="L18" s="149" t="n">
        <x:f>0</x:f>
        <x:v>0</x:v>
      </x:c>
      <x:c r="M18" s="149" t="n">
        <x:f>0</x:f>
        <x:v>0</x:v>
      </x:c>
      <x:c r="N18" s="149" t="n">
        <x:f>SUM(B18:M18)</x:f>
        <x:v>0</x:v>
      </x:c>
    </x:row>
    <x:row r="19">
      <x:c r="A19" s="157" t="str">
        <x:v>Dotations aux amortissements</x:v>
      </x:c>
      <x:c r="B19" s="158" t="n">
        <x:f>SUM(Amortissements!E2:E40)</x:f>
        <x:v>4990330.100000001</x:v>
      </x:c>
      <x:c r="C19" s="158" t="n">
        <x:f>SUM(Amortissements!F2:F40)</x:f>
        <x:v>9699913.43</x:v>
      </x:c>
      <x:c r="D19" s="158" t="n">
        <x:f>SUM(Amortissements!G2:G40)</x:f>
        <x:v>9699913.43</x:v>
      </x:c>
      <x:c r="E19" s="158" t="n">
        <x:f>SUM(Amortissements!H2:H40)</x:f>
        <x:v>9699913.43</x:v>
      </x:c>
      <x:c r="F19" s="158" t="n">
        <x:f>SUM(Amortissements!I2:I40)</x:f>
        <x:v>9699913.43</x:v>
      </x:c>
      <x:c r="G19" s="158" t="n">
        <x:f>SUM(Amortissements!J2:J40)</x:f>
        <x:v>9699913.43</x:v>
      </x:c>
      <x:c r="H19" s="158" t="n">
        <x:f>SUM(Amortissements!K2:K40)</x:f>
        <x:v>9699913.43</x:v>
      </x:c>
      <x:c r="I19" s="158" t="n">
        <x:f>SUM(Amortissements!L2:L40)</x:f>
        <x:v>9699913.43</x:v>
      </x:c>
      <x:c r="J19" s="158" t="n">
        <x:f>SUM(Amortissements!M2:M40)</x:f>
        <x:v>9699913.43</x:v>
      </x:c>
      <x:c r="K19" s="158" t="n">
        <x:f>SUM(Amortissements!N2:N40)</x:f>
        <x:v>9699913.43</x:v>
      </x:c>
      <x:c r="L19" s="158" t="n">
        <x:f>SUM(Amortissements!O2:O40)</x:f>
        <x:v>9699913.43</x:v>
      </x:c>
      <x:c r="M19" s="158" t="n">
        <x:f>SUM(Amortissements!P2:P40)</x:f>
        <x:v>9699913.43</x:v>
      </x:c>
      <x:c r="N19" s="158" t="n">
        <x:f>SUM(B19:M19)</x:f>
        <x:v>111689377.83000001</x:v>
      </x:c>
    </x:row>
    <x:row r="20">
      <x:c r="A20" s="148" t="str">
        <x:v>Provisions et pertes de valeur</x:v>
      </x:c>
      <x:c r="B20" s="149" t="n">
        <x:f>0</x:f>
        <x:v>0</x:v>
      </x:c>
      <x:c r="C20" s="149" t="n">
        <x:f>0</x:f>
        <x:v>0</x:v>
      </x:c>
      <x:c r="D20" s="149" t="n">
        <x:f>0</x:f>
        <x:v>0</x:v>
      </x:c>
      <x:c r="E20" s="149" t="n">
        <x:f>0</x:f>
        <x:v>0</x:v>
      </x:c>
      <x:c r="F20" s="149" t="n">
        <x:f>0</x:f>
        <x:v>0</x:v>
      </x:c>
      <x:c r="G20" s="149" t="n">
        <x:f>0</x:f>
        <x:v>0</x:v>
      </x:c>
      <x:c r="H20" s="149" t="n">
        <x:f>0</x:f>
        <x:v>0</x:v>
      </x:c>
      <x:c r="I20" s="149" t="n">
        <x:f>0</x:f>
        <x:v>0</x:v>
      </x:c>
      <x:c r="J20" s="149" t="n">
        <x:f>0</x:f>
        <x:v>0</x:v>
      </x:c>
      <x:c r="K20" s="149" t="n">
        <x:f>0</x:f>
        <x:v>0</x:v>
      </x:c>
      <x:c r="L20" s="149" t="n">
        <x:f>0</x:f>
        <x:v>0</x:v>
      </x:c>
      <x:c r="M20" s="149" t="n">
        <x:f>0</x:f>
        <x:v>0</x:v>
      </x:c>
      <x:c r="N20" s="149" t="n">
        <x:f>SUM(B20:M20)</x:f>
        <x:v>0</x:v>
      </x:c>
    </x:row>
    <x:row r="21">
      <x:c r="A21" s="137" t="str">
        <x:v>Reprises sur provisions et pertes de valeur</x:v>
      </x:c>
      <x:c r="B21" s="138" t="n">
        <x:f>0</x:f>
        <x:v>0</x:v>
      </x:c>
      <x:c r="C21" s="138" t="n">
        <x:f>0</x:f>
        <x:v>0</x:v>
      </x:c>
      <x:c r="D21" s="138" t="n">
        <x:f>0</x:f>
        <x:v>0</x:v>
      </x:c>
      <x:c r="E21" s="138" t="n">
        <x:f>0</x:f>
        <x:v>0</x:v>
      </x:c>
      <x:c r="F21" s="138" t="n">
        <x:f>0</x:f>
        <x:v>0</x:v>
      </x:c>
      <x:c r="G21" s="138" t="n">
        <x:f>0</x:f>
        <x:v>0</x:v>
      </x:c>
      <x:c r="H21" s="138" t="n">
        <x:f>0</x:f>
        <x:v>0</x:v>
      </x:c>
      <x:c r="I21" s="138" t="n">
        <x:f>0</x:f>
        <x:v>0</x:v>
      </x:c>
      <x:c r="J21" s="138" t="n">
        <x:f>0</x:f>
        <x:v>0</x:v>
      </x:c>
      <x:c r="K21" s="138" t="n">
        <x:f>0</x:f>
        <x:v>0</x:v>
      </x:c>
      <x:c r="L21" s="138" t="n">
        <x:f>0</x:f>
        <x:v>0</x:v>
      </x:c>
      <x:c r="M21" s="138" t="n">
        <x:f>0</x:f>
        <x:v>0</x:v>
      </x:c>
      <x:c r="N21" s="138" t="n">
        <x:f>SUM(B21:M21)</x:f>
        <x:v>0</x:v>
      </x:c>
    </x:row>
    <x:row r="22" ht="25" customHeight="1">
      <x:c r="A22" s="145" t="str">
        <x:v>V. RÉSULTAT OPÉRATIONNEL</x:v>
      </x:c>
      <x:c r="B22" s="156" t="n">
        <x:f>B16+B17-B18-B19-B20+B21</x:f>
        <x:v>476890933.20000017</x:v>
      </x:c>
      <x:c r="C22" s="156" t="n">
        <x:f>C16+C17-C18-C19-C20+C21</x:f>
        <x:v>551069726.42</x:v>
      </x:c>
      <x:c r="D22" s="156" t="n">
        <x:f>D16+D17-D18-D19-D20+D21</x:f>
        <x:v>425386892.61999995</x:v>
      </x:c>
      <x:c r="E22" s="156" t="n">
        <x:f>E16+E17-E18-E19-E20+E21</x:f>
        <x:v>542653332.9700004</x:v>
      </x:c>
      <x:c r="F22" s="156" t="n">
        <x:f>F16+F17-F18-F19-F20+F21</x:f>
        <x:v>558844024.07</x:v>
      </x:c>
      <x:c r="G22" s="156" t="n">
        <x:f>G16+G17-G18-G19-G20+G21</x:f>
        <x:v>497898603.92000014</x:v>
      </x:c>
      <x:c r="H22" s="156" t="n">
        <x:f>H16+H17-H18-H19-H20+H21</x:f>
        <x:v>562841665.2200001</x:v>
      </x:c>
      <x:c r="I22" s="156" t="n">
        <x:f>I16+I17-I18-I19-I20+I21</x:f>
        <x:v>544392711.4700001</x:v>
      </x:c>
      <x:c r="J22" s="156" t="n">
        <x:f>J16+J17-J18-J19-J20+J21</x:f>
        <x:v>556793391.6699997</x:v>
      </x:c>
      <x:c r="K22" s="156" t="n">
        <x:f>K16+K17-K18-K19-K20+K21</x:f>
        <x:v>547972394.7199999</x:v>
      </x:c>
      <x:c r="L22" s="156" t="n">
        <x:f>L16+L17-L18-L19-L20+L21</x:f>
        <x:v>569553508.8199998</x:v>
      </x:c>
      <x:c r="M22" s="156" t="n">
        <x:f>M16+M17-M18-M19-M20+M21</x:f>
        <x:v>563254514.37</x:v>
      </x:c>
      <x:c r="N22" s="156" t="n">
        <x:f>SUM(B22:M22)</x:f>
        <x:v>6397551699.470001</x:v>
      </x:c>
    </x:row>
    <x:row r="23">
      <x:c r="A23" s="137" t="str">
        <x:v>Produits financiers</x:v>
      </x:c>
      <x:c r="B23" s="138" t="n">
        <x:f>0</x:f>
        <x:v>0</x:v>
      </x:c>
      <x:c r="C23" s="138" t="n">
        <x:f>0</x:f>
        <x:v>0</x:v>
      </x:c>
      <x:c r="D23" s="138" t="n">
        <x:f>0</x:f>
        <x:v>0</x:v>
      </x:c>
      <x:c r="E23" s="138" t="n">
        <x:f>0</x:f>
        <x:v>0</x:v>
      </x:c>
      <x:c r="F23" s="138" t="n">
        <x:f>0</x:f>
        <x:v>0</x:v>
      </x:c>
      <x:c r="G23" s="138" t="n">
        <x:f>0</x:f>
        <x:v>0</x:v>
      </x:c>
      <x:c r="H23" s="138" t="n">
        <x:f>0</x:f>
        <x:v>0</x:v>
      </x:c>
      <x:c r="I23" s="138" t="n">
        <x:f>0</x:f>
        <x:v>0</x:v>
      </x:c>
      <x:c r="J23" s="138" t="n">
        <x:f>0</x:f>
        <x:v>0</x:v>
      </x:c>
      <x:c r="K23" s="138" t="n">
        <x:f>0</x:f>
        <x:v>0</x:v>
      </x:c>
      <x:c r="L23" s="138" t="n">
        <x:f>0</x:f>
        <x:v>0</x:v>
      </x:c>
      <x:c r="M23" s="138" t="n">
        <x:f>0</x:f>
        <x:v>0</x:v>
      </x:c>
      <x:c r="N23" s="138" t="n">
        <x:f>SUM(B23:M23)</x:f>
        <x:v>0</x:v>
      </x:c>
    </x:row>
    <x:row r="24">
      <x:c r="A24" s="148" t="str">
        <x:v>Charges financières</x:v>
      </x:c>
      <x:c r="B24" s="149" t="n">
        <x:f>SUMIF(Charges!$A$2:$A$40,"FINANCE",Charges!$E$2:$E$40)</x:f>
        <x:v>11100750</x:v>
      </x:c>
      <x:c r="C24" s="149" t="n">
        <x:f>SUMIF(Charges!$A$2:$A$40,"FINANCE",Charges!$F$2:$F$40)</x:f>
        <x:v>9916100</x:v>
      </x:c>
      <x:c r="D24" s="149" t="n">
        <x:f>SUMIF(Charges!$A$2:$A$40,"FINANCE",Charges!$G$2:$G$40)</x:f>
        <x:v>10770150</x:v>
      </x:c>
      <x:c r="E24" s="149" t="n">
        <x:f>SUMIF(Charges!$A$2:$A$40,"FINANCE",Charges!$H$2:$H$40)</x:f>
        <x:v>12032700</x:v>
      </x:c>
      <x:c r="F24" s="149" t="n">
        <x:f>SUMIF(Charges!$A$2:$A$40,"FINANCE",Charges!$I$2:$I$40)</x:f>
        <x:v>11794250</x:v>
      </x:c>
      <x:c r="G24" s="149" t="n">
        <x:f>SUMIF(Charges!$A$2:$A$40,"FINANCE",Charges!$J$2:$J$40)</x:f>
        <x:v>10170700</x:v>
      </x:c>
      <x:c r="H24" s="149" t="n">
        <x:f>SUMIF(Charges!$A$2:$A$40,"FINANCE",Charges!$K$2:$K$40)</x:f>
        <x:v>10488000</x:v>
      </x:c>
      <x:c r="I24" s="149" t="n">
        <x:f>SUMIF(Charges!$A$2:$A$40,"FINANCE",Charges!$L$2:$L$40)</x:f>
        <x:v>10914550</x:v>
      </x:c>
      <x:c r="J24" s="149" t="n">
        <x:f>SUMIF(Charges!$A$2:$A$40,"FINANCE",Charges!$M$2:$M$40)</x:f>
        <x:v>12365200</x:v>
      </x:c>
      <x:c r="K24" s="149" t="n">
        <x:f>SUMIF(Charges!$A$2:$A$40,"FINANCE",Charges!$N$2:$N$40)</x:f>
        <x:v>10939250</x:v>
      </x:c>
      <x:c r="L24" s="149" t="n">
        <x:f>SUMIF(Charges!$A$2:$A$40,"FINANCE",Charges!$O$2:$O$40)</x:f>
        <x:v>11305950</x:v>
      </x:c>
      <x:c r="M24" s="149" t="n">
        <x:f>SUMIF(Charges!$A$2:$A$40,"FINANCE",Charges!$P$2:$P$40)</x:f>
        <x:v>12540000</x:v>
      </x:c>
      <x:c r="N24" s="149" t="n">
        <x:f>SUM(B24:M24)</x:f>
        <x:v>134337600</x:v>
      </x:c>
    </x:row>
    <x:row r="25" ht="23" customHeight="1">
      <x:c r="A25" s="152" t="str">
        <x:v>VI. RÉSULTAT FINANCIER</x:v>
      </x:c>
      <x:c r="B25" s="153" t="n">
        <x:f>B23-B24</x:f>
        <x:v>-11100750</x:v>
      </x:c>
      <x:c r="C25" s="153" t="n">
        <x:f>C23-C24</x:f>
        <x:v>-9916100</x:v>
      </x:c>
      <x:c r="D25" s="153" t="n">
        <x:f>D23-D24</x:f>
        <x:v>-10770150</x:v>
      </x:c>
      <x:c r="E25" s="153" t="n">
        <x:f>E23-E24</x:f>
        <x:v>-12032700</x:v>
      </x:c>
      <x:c r="F25" s="153" t="n">
        <x:f>F23-F24</x:f>
        <x:v>-11794250</x:v>
      </x:c>
      <x:c r="G25" s="153" t="n">
        <x:f>G23-G24</x:f>
        <x:v>-10170700</x:v>
      </x:c>
      <x:c r="H25" s="153" t="n">
        <x:f>H23-H24</x:f>
        <x:v>-10488000</x:v>
      </x:c>
      <x:c r="I25" s="153" t="n">
        <x:f>I23-I24</x:f>
        <x:v>-10914550</x:v>
      </x:c>
      <x:c r="J25" s="153" t="n">
        <x:f>J23-J24</x:f>
        <x:v>-12365200</x:v>
      </x:c>
      <x:c r="K25" s="153" t="n">
        <x:f>K23-K24</x:f>
        <x:v>-10939250</x:v>
      </x:c>
      <x:c r="L25" s="153" t="n">
        <x:f>L23-L24</x:f>
        <x:v>-11305950</x:v>
      </x:c>
      <x:c r="M25" s="153" t="n">
        <x:f>M23-M24</x:f>
        <x:v>-12540000</x:v>
      </x:c>
      <x:c r="N25" s="153" t="n">
        <x:f>SUM(B25:M25)</x:f>
        <x:v>-134337600</x:v>
      </x:c>
    </x:row>
    <x:row r="26">
      <x:c r="A26" s="148" t="str">
        <x:v>VII. RÉSULTAT AVANT IMPÔTS (V+VI)</x:v>
      </x:c>
      <x:c r="B26" s="149" t="n">
        <x:f>B22+B25</x:f>
        <x:v>465790183.20000017</x:v>
      </x:c>
      <x:c r="C26" s="149" t="n">
        <x:f>C22+C25</x:f>
        <x:v>541153626.42</x:v>
      </x:c>
      <x:c r="D26" s="149" t="n">
        <x:f>D22+D25</x:f>
        <x:v>414616742.61999995</x:v>
      </x:c>
      <x:c r="E26" s="149" t="n">
        <x:f>E22+E25</x:f>
        <x:v>530620632.9700004</x:v>
      </x:c>
      <x:c r="F26" s="149" t="n">
        <x:f>F22+F25</x:f>
        <x:v>547049774.07</x:v>
      </x:c>
      <x:c r="G26" s="149" t="n">
        <x:f>G22+G25</x:f>
        <x:v>487727903.92000014</x:v>
      </x:c>
      <x:c r="H26" s="149" t="n">
        <x:f>H22+H25</x:f>
        <x:v>552353665.2200001</x:v>
      </x:c>
      <x:c r="I26" s="149" t="n">
        <x:f>I22+I25</x:f>
        <x:v>533478161.47000015</x:v>
      </x:c>
      <x:c r="J26" s="149" t="n">
        <x:f>J22+J25</x:f>
        <x:v>544428191.6699997</x:v>
      </x:c>
      <x:c r="K26" s="149" t="n">
        <x:f>K22+K25</x:f>
        <x:v>537033144.7199999</x:v>
      </x:c>
      <x:c r="L26" s="149" t="n">
        <x:f>L22+L25</x:f>
        <x:v>558247558.8199998</x:v>
      </x:c>
      <x:c r="M26" s="149" t="n">
        <x:f>M22+M25</x:f>
        <x:v>550714514.37</x:v>
      </x:c>
      <x:c r="N26" s="149" t="n">
        <x:f>SUM(B26:M26)</x:f>
        <x:v>6263214099.470001</x:v>
      </x:c>
    </x:row>
    <x:row r="27">
      <x:c r="A27" s="137" t="str">
        <x:v>Impôt exigible sur les résultats (20%)</x:v>
      </x:c>
      <x:c r="B27" s="138" t="n">
        <x:f>IF(B26&gt;0,B26*20%,0)</x:f>
        <x:v>93158036.64000005</x:v>
      </x:c>
      <x:c r="C27" s="138" t="n">
        <x:f>IF(C26&gt;0,C26*20%,0)</x:f>
        <x:v>108230725.284</x:v>
      </x:c>
      <x:c r="D27" s="138" t="n">
        <x:f>IF(D26&gt;0,D26*20%,0)</x:f>
        <x:v>82923348.52399999</x:v>
      </x:c>
      <x:c r="E27" s="138" t="n">
        <x:f>IF(E26&gt;0,E26*20%,0)</x:f>
        <x:v>106124126.59400009</x:v>
      </x:c>
      <x:c r="F27" s="138" t="n">
        <x:f>IF(F26&gt;0,F26*20%,0)</x:f>
        <x:v>109409954.81400001</x:v>
      </x:c>
      <x:c r="G27" s="138" t="n">
        <x:f>IF(G26&gt;0,G26*20%,0)</x:f>
        <x:v>97545580.78400004</x:v>
      </x:c>
      <x:c r="H27" s="138" t="n">
        <x:f>IF(H26&gt;0,H26*20%,0)</x:f>
        <x:v>110470733.04400003</x:v>
      </x:c>
      <x:c r="I27" s="138" t="n">
        <x:f>IF(I26&gt;0,I26*20%,0)</x:f>
        <x:v>106695632.29400003</x:v>
      </x:c>
      <x:c r="J27" s="138" t="n">
        <x:f>IF(J26&gt;0,J26*20%,0)</x:f>
        <x:v>108885638.33399995</x:v>
      </x:c>
      <x:c r="K27" s="138" t="n">
        <x:f>IF(K26&gt;0,K26*20%,0)</x:f>
        <x:v>107406628.94399999</x:v>
      </x:c>
      <x:c r="L27" s="138" t="n">
        <x:f>IF(L26&gt;0,L26*20%,0)</x:f>
        <x:v>111649511.76399997</x:v>
      </x:c>
      <x:c r="M27" s="138" t="n">
        <x:f>IF(M26&gt;0,M26*20%,0)</x:f>
        <x:v>110142902.87400001</x:v>
      </x:c>
      <x:c r="N27" s="138" t="n">
        <x:f>SUM(B27:M27)</x:f>
        <x:v>1252642819.8940003</x:v>
      </x:c>
    </x:row>
    <x:row r="28" ht="25" customHeight="1">
      <x:c r="A28" s="145" t="str">
        <x:v>Impôts différés</x:v>
      </x:c>
      <x:c r="B28" s="156" t="n">
        <x:f>0</x:f>
        <x:v>0</x:v>
      </x:c>
      <x:c r="C28" s="156" t="n">
        <x:f>0</x:f>
        <x:v>0</x:v>
      </x:c>
      <x:c r="D28" s="156" t="n">
        <x:f>0</x:f>
        <x:v>0</x:v>
      </x:c>
      <x:c r="E28" s="156" t="n">
        <x:f>0</x:f>
        <x:v>0</x:v>
      </x:c>
      <x:c r="F28" s="156" t="n">
        <x:f>0</x:f>
        <x:v>0</x:v>
      </x:c>
      <x:c r="G28" s="156" t="n">
        <x:f>0</x:f>
        <x:v>0</x:v>
      </x:c>
      <x:c r="H28" s="156" t="n">
        <x:f>0</x:f>
        <x:v>0</x:v>
      </x:c>
      <x:c r="I28" s="156" t="n">
        <x:f>0</x:f>
        <x:v>0</x:v>
      </x:c>
      <x:c r="J28" s="156" t="n">
        <x:f>0</x:f>
        <x:v>0</x:v>
      </x:c>
      <x:c r="K28" s="156" t="n">
        <x:f>0</x:f>
        <x:v>0</x:v>
      </x:c>
      <x:c r="L28" s="156" t="n">
        <x:f>0</x:f>
        <x:v>0</x:v>
      </x:c>
      <x:c r="M28" s="156" t="n">
        <x:f>0</x:f>
        <x:v>0</x:v>
      </x:c>
      <x:c r="N28" s="156" t="n">
        <x:f>SUM(B28:M28)</x:f>
        <x:v>0</x:v>
      </x:c>
    </x:row>
    <x:row r="29">
      <x:c r="A29" s="137" t="str">
        <x:v>VIII. RÉSULTAT NET DES ACTIVITÉS ORDINAIRES</x:v>
      </x:c>
      <x:c r="B29" s="138" t="n">
        <x:f>B26-B27-B28</x:f>
        <x:v>372632146.5600001</x:v>
      </x:c>
      <x:c r="C29" s="138" t="n">
        <x:f>C26-C27-C28</x:f>
        <x:v>432922901.136</x:v>
      </x:c>
      <x:c r="D29" s="138" t="n">
        <x:f>D26-D27-D28</x:f>
        <x:v>331693394.09599996</x:v>
      </x:c>
      <x:c r="E29" s="138" t="n">
        <x:f>E26-E27-E28</x:f>
        <x:v>424496506.3760003</x:v>
      </x:c>
      <x:c r="F29" s="138" t="n">
        <x:f>F26-F27-F28</x:f>
        <x:v>437639819.25600004</x:v>
      </x:c>
      <x:c r="G29" s="138" t="n">
        <x:f>G26-G27-G28</x:f>
        <x:v>390182323.1360001</x:v>
      </x:c>
      <x:c r="H29" s="138" t="n">
        <x:f>H26-H27-H28</x:f>
        <x:v>441882932.1760001</x:v>
      </x:c>
      <x:c r="I29" s="138" t="n">
        <x:f>I26-I27-I28</x:f>
        <x:v>426782529.1760001</x:v>
      </x:c>
      <x:c r="J29" s="138" t="n">
        <x:f>J26-J27-J28</x:f>
        <x:v>435542553.3359998</x:v>
      </x:c>
      <x:c r="K29" s="138" t="n">
        <x:f>K26-K27-K28</x:f>
        <x:v>429626515.7759999</x:v>
      </x:c>
      <x:c r="L29" s="138" t="n">
        <x:f>L26-L27-L28</x:f>
        <x:v>446598047.0559999</x:v>
      </x:c>
      <x:c r="M29" s="138" t="n">
        <x:f>M26-M27-M28</x:f>
        <x:v>440571611.496</x:v>
      </x:c>
      <x:c r="N29" s="138" t="n">
        <x:f>SUM(B29:M29)</x:f>
        <x:v>5010571279.576001</x:v>
      </x:c>
    </x:row>
    <x:row r="30">
      <x:c r="A30" s="148" t="str">
        <x:v>Éléments extraordinaires - produits</x:v>
      </x:c>
      <x:c r="B30" s="149" t="n">
        <x:f>0</x:f>
        <x:v>0</x:v>
      </x:c>
      <x:c r="C30" s="149" t="n">
        <x:f>0</x:f>
        <x:v>0</x:v>
      </x:c>
      <x:c r="D30" s="149" t="n">
        <x:f>0</x:f>
        <x:v>0</x:v>
      </x:c>
      <x:c r="E30" s="149" t="n">
        <x:f>0</x:f>
        <x:v>0</x:v>
      </x:c>
      <x:c r="F30" s="149" t="n">
        <x:f>0</x:f>
        <x:v>0</x:v>
      </x:c>
      <x:c r="G30" s="149" t="n">
        <x:f>0</x:f>
        <x:v>0</x:v>
      </x:c>
      <x:c r="H30" s="149" t="n">
        <x:f>0</x:f>
        <x:v>0</x:v>
      </x:c>
      <x:c r="I30" s="149" t="n">
        <x:f>0</x:f>
        <x:v>0</x:v>
      </x:c>
      <x:c r="J30" s="149" t="n">
        <x:f>0</x:f>
        <x:v>0</x:v>
      </x:c>
      <x:c r="K30" s="149" t="n">
        <x:f>0</x:f>
        <x:v>0</x:v>
      </x:c>
      <x:c r="L30" s="149" t="n">
        <x:f>0</x:f>
        <x:v>0</x:v>
      </x:c>
      <x:c r="M30" s="149" t="n">
        <x:f>0</x:f>
        <x:v>0</x:v>
      </x:c>
      <x:c r="N30" s="149" t="n">
        <x:f>SUM(B30:M30)</x:f>
        <x:v>0</x:v>
      </x:c>
    </x:row>
    <x:row r="31" ht="23" customHeight="1">
      <x:c r="A31" s="152" t="str">
        <x:v>Éléments extraordinaires - charges</x:v>
      </x:c>
      <x:c r="B31" s="153" t="n">
        <x:f>0</x:f>
        <x:v>0</x:v>
      </x:c>
      <x:c r="C31" s="153" t="n">
        <x:f>0</x:f>
        <x:v>0</x:v>
      </x:c>
      <x:c r="D31" s="153" t="n">
        <x:f>0</x:f>
        <x:v>0</x:v>
      </x:c>
      <x:c r="E31" s="153" t="n">
        <x:f>0</x:f>
        <x:v>0</x:v>
      </x:c>
      <x:c r="F31" s="153" t="n">
        <x:f>0</x:f>
        <x:v>0</x:v>
      </x:c>
      <x:c r="G31" s="153" t="n">
        <x:f>0</x:f>
        <x:v>0</x:v>
      </x:c>
      <x:c r="H31" s="153" t="n">
        <x:f>0</x:f>
        <x:v>0</x:v>
      </x:c>
      <x:c r="I31" s="153" t="n">
        <x:f>0</x:f>
        <x:v>0</x:v>
      </x:c>
      <x:c r="J31" s="153" t="n">
        <x:f>0</x:f>
        <x:v>0</x:v>
      </x:c>
      <x:c r="K31" s="153" t="n">
        <x:f>0</x:f>
        <x:v>0</x:v>
      </x:c>
      <x:c r="L31" s="153" t="n">
        <x:f>0</x:f>
        <x:v>0</x:v>
      </x:c>
      <x:c r="M31" s="153" t="n">
        <x:f>0</x:f>
        <x:v>0</x:v>
      </x:c>
      <x:c r="N31" s="153" t="n">
        <x:f>SUM(B31:M31)</x:f>
        <x:v>0</x:v>
      </x:c>
    </x:row>
    <x:row r="32">
      <x:c r="A32" s="148" t="str">
        <x:v>IX. RÉSULTAT EXTRAORDINAIRE</x:v>
      </x:c>
      <x:c r="B32" s="149" t="n">
        <x:f>B30-B31</x:f>
        <x:v>0</x:v>
      </x:c>
      <x:c r="C32" s="149" t="n">
        <x:f>C30-C31</x:f>
        <x:v>0</x:v>
      </x:c>
      <x:c r="D32" s="149" t="n">
        <x:f>D30-D31</x:f>
        <x:v>0</x:v>
      </x:c>
      <x:c r="E32" s="149" t="n">
        <x:f>E30-E31</x:f>
        <x:v>0</x:v>
      </x:c>
      <x:c r="F32" s="149" t="n">
        <x:f>F30-F31</x:f>
        <x:v>0</x:v>
      </x:c>
      <x:c r="G32" s="149" t="n">
        <x:f>G30-G31</x:f>
        <x:v>0</x:v>
      </x:c>
      <x:c r="H32" s="149" t="n">
        <x:f>H30-H31</x:f>
        <x:v>0</x:v>
      </x:c>
      <x:c r="I32" s="149" t="n">
        <x:f>I30-I31</x:f>
        <x:v>0</x:v>
      </x:c>
      <x:c r="J32" s="149" t="n">
        <x:f>J30-J31</x:f>
        <x:v>0</x:v>
      </x:c>
      <x:c r="K32" s="149" t="n">
        <x:f>K30-K31</x:f>
        <x:v>0</x:v>
      </x:c>
      <x:c r="L32" s="149" t="n">
        <x:f>L30-L31</x:f>
        <x:v>0</x:v>
      </x:c>
      <x:c r="M32" s="149" t="n">
        <x:f>M30-M31</x:f>
        <x:v>0</x:v>
      </x:c>
      <x:c r="N32" s="149" t="n">
        <x:f>SUM(B32:M32)</x:f>
        <x:v>0</x:v>
      </x:c>
    </x:row>
    <x:row r="33">
      <x:c r="A33" s="137" t="str">
        <x:v>X. RÉSULTAT NET DE L'EXERCICE</x:v>
      </x:c>
      <x:c r="B33" s="138" t="n">
        <x:f>B29+B32</x:f>
        <x:v>372632146.5600001</x:v>
      </x:c>
      <x:c r="C33" s="138" t="n">
        <x:f>C29+C32</x:f>
        <x:v>432922901.136</x:v>
      </x:c>
      <x:c r="D33" s="138" t="n">
        <x:f>D29+D32</x:f>
        <x:v>331693394.09599996</x:v>
      </x:c>
      <x:c r="E33" s="138" t="n">
        <x:f>E29+E32</x:f>
        <x:v>424496506.3760003</x:v>
      </x:c>
      <x:c r="F33" s="138" t="n">
        <x:f>F29+F32</x:f>
        <x:v>437639819.25600004</x:v>
      </x:c>
      <x:c r="G33" s="138" t="n">
        <x:f>G29+G32</x:f>
        <x:v>390182323.1360001</x:v>
      </x:c>
      <x:c r="H33" s="138" t="n">
        <x:f>H29+H32</x:f>
        <x:v>441882932.1760001</x:v>
      </x:c>
      <x:c r="I33" s="138" t="n">
        <x:f>I29+I32</x:f>
        <x:v>426782529.1760001</x:v>
      </x:c>
      <x:c r="J33" s="138" t="n">
        <x:f>J29+J32</x:f>
        <x:v>435542553.3359998</x:v>
      </x:c>
      <x:c r="K33" s="138" t="n">
        <x:f>K29+K32</x:f>
        <x:v>429626515.7759999</x:v>
      </x:c>
      <x:c r="L33" s="138" t="n">
        <x:f>L29+L32</x:f>
        <x:v>446598047.0559999</x:v>
      </x:c>
      <x:c r="M33" s="138" t="n">
        <x:f>M29+M32</x:f>
        <x:v>440571611.496</x:v>
      </x:c>
      <x:c r="N33" s="138" t="n">
        <x:f>SUM(B33:M33)</x:f>
        <x:v>5010571279.576001</x:v>
      </x:c>
    </x:row>
    <x:row r="34" ht="25" customHeight="1">
      <x:c r="A34" s="145" t="str">
        <x:v>Marge nette</x:v>
      </x:c>
      <x:c r="B34" s="156" t="n">
        <x:f>IFERROR(B33/B5,0)</x:f>
        <x:v>0.26468651923359027</x:v>
      </x:c>
      <x:c r="C34" s="156" t="n">
        <x:f>IFERROR(C33/C5,0)</x:f>
        <x:v>0.29852386130859604</x:v>
      </x:c>
      <x:c r="D34" s="156" t="n">
        <x:f>IFERROR(D33/D5,0)</x:f>
        <x:v>0.2413756268781996</x:v>
      </x:c>
      <x:c r="E34" s="156" t="n">
        <x:f>IFERROR(E33/E5,0)</x:f>
        <x:v>0.28873731495915733</x:v>
      </x:c>
      <x:c r="F34" s="156" t="n">
        <x:f>IFERROR(F33/F5,0)</x:f>
        <x:v>0.2959276958758739</x:v>
      </x:c>
      <x:c r="G34" s="156" t="n">
        <x:f>IFERROR(G33/G5,0)</x:f>
        <x:v>0.2689463734476348</x:v>
      </x:c>
      <x:c r="H34" s="156" t="n">
        <x:f>IFERROR(H33/H5,0)</x:f>
        <x:v>0.3002861937047568</x:v>
      </x:c>
      <x:c r="I34" s="156" t="n">
        <x:f>IFERROR(I33/I5,0)</x:f>
        <x:v>0.2834908875658695</x:v>
      </x:c>
      <x:c r="J34" s="156" t="n">
        <x:f>IFERROR(J33/J5,0)</x:f>
        <x:v>0.29407883594868944</x:v>
      </x:c>
      <x:c r="K34" s="156" t="n">
        <x:f>IFERROR(K33/K5,0)</x:f>
        <x:v>0.29106640169385206</x:v>
      </x:c>
      <x:c r="L34" s="156" t="n">
        <x:f>IFERROR(L33/L5,0)</x:f>
        <x:v>0.2988331851895297</x:v>
      </x:c>
      <x:c r="M34" s="156" t="n">
        <x:f>IFERROR(M33/M5,0)</x:f>
        <x:v>0.29202064145388135</x:v>
      </x:c>
      <x:c r="N34" s="156" t="n">
        <x:f>IFERROR(N33/N5,0)</x:f>
        <x:v>0.28518896312748665</x:v>
      </x:c>
    </x:row>
    <x:row r="35">
      <x:c r="A35" s="168" t="str">
        <x:v>Taux de résultat opérationnel (%)</x:v>
      </x:c>
      <x:c r="B35" s="169" t="n">
        <x:f>IFERROR(B22/B5,0)</x:f>
        <x:v>0.3387431876933946</x:v>
      </x:c>
      <x:c r="C35" s="169" t="n">
        <x:f>IFERROR(C22/C5,0)</x:f>
        <x:v>0.37999251633373643</x:v>
      </x:c>
      <x:c r="D35" s="169" t="n">
        <x:f>IFERROR(D22/D5,0)</x:f>
        <x:v>0.3095570478627151</x:v>
      </x:c>
      <x:c r="E35" s="169" t="n">
        <x:f>IFERROR(E22/E5,0)</x:f>
        <x:v>0.3691061385947225</x:v>
      </x:c>
      <x:c r="F35" s="169" t="n">
        <x:f>IFERROR(F22/F5,0)</x:f>
        <x:v>0.3778847744663244</x:v>
      </x:c>
      <x:c r="G35" s="169" t="n">
        <x:f>IFERROR(G22/G5,0)</x:f>
        <x:v>0.34319346605112605</x:v>
      </x:c>
      <x:c r="H35" s="169" t="n">
        <x:f>IFERROR(H22/H5,0)</x:f>
        <x:v>0.38248497282996086</x:v>
      </x:c>
      <x:c r="I35" s="169" t="n">
        <x:f>IFERROR(I22/I5,0)</x:f>
        <x:v>0.36161361444900336</x:v>
      </x:c>
      <x:c r="J35" s="169" t="n">
        <x:f>IFERROR(J22/J5,0)</x:f>
        <x:v>0.37594754228278116</x:v>
      </x:c>
      <x:c r="K35" s="169" t="n">
        <x:f>IFERROR(K22/K5,0)</x:f>
        <x:v>0.3712442023524271</x:v>
      </x:c>
      <x:c r="L35" s="169" t="n">
        <x:f>IFERROR(L22/L5,0)</x:f>
        <x:v>0.3811066579859261</x:v>
      </x:c>
      <x:c r="M35" s="169" t="n">
        <x:f>IFERROR(M22/M5,0)</x:f>
        <x:v>0.37333759211041495</x:v>
      </x:c>
      <x:c r="N35" s="169" t="n">
        <x:f>IFERROR(N22/N5,0)</x:f>
        <x:v>0.3641323581531269</x:v>
      </x:c>
    </x:row>
  </x:sheetData>
  <x:pageMargins left="0.7" right="0.7" top="0.75" bottom="0.75" header="0.3" footer="0.3"/>
</x:worksheet>
</file>